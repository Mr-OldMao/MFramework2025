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4"/>
  <workbookPr/>
  <mc:AlternateContent xmlns:mc="http://schemas.openxmlformats.org/markup-compatibility/2006">
    <mc:Choice Requires="x15">
      <x15ac:absPath xmlns:x15ac="http://schemas.microsoft.com/office/spreadsheetml/2010/11/ac" url="E:\new_plane\excels\"/>
    </mc:Choice>
  </mc:AlternateContent>
  <xr:revisionPtr revIDLastSave="0" documentId="13_ncr:1_{CB2F077A-5593-4DF3-8067-61DE9F4BDA3E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Plane" sheetId="2" r:id="rId1"/>
    <sheet name="Upgrade" sheetId="3" r:id="rId2"/>
    <sheet name="#end" sheetId="6" r:id="rId3"/>
    <sheet name="Star" sheetId="4" r:id="rId4"/>
    <sheet name="Sheet1" sheetId="5" r:id="rId5"/>
    <sheet name="Sheet2" sheetId="7" r:id="rId6"/>
    <sheet name="生命值" sheetId="9" r:id="rId7"/>
    <sheet name="数值模型" sheetId="10" r:id="rId8"/>
    <sheet name="攻击力" sheetId="8" r:id="rId9"/>
  </sheets>
  <definedNames>
    <definedName name="_xlnm._FilterDatabase" localSheetId="1" hidden="1">Upgrade!$A$7:$F$807</definedName>
  </definedNames>
  <calcPr calcId="191029" iterate="1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0" l="1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8" i="10"/>
  <c r="C8" i="10"/>
  <c r="G8" i="10"/>
  <c r="F8" i="10"/>
  <c r="E8" i="10"/>
  <c r="E9" i="10"/>
  <c r="F9" i="10"/>
  <c r="G9" i="10"/>
  <c r="E10" i="10"/>
  <c r="F10" i="10"/>
  <c r="G10" i="10"/>
  <c r="E11" i="10"/>
  <c r="F11" i="10"/>
  <c r="G11" i="10"/>
  <c r="E12" i="10"/>
  <c r="F12" i="10"/>
  <c r="G12" i="10"/>
  <c r="E13" i="10"/>
  <c r="F13" i="10"/>
  <c r="G13" i="10"/>
  <c r="E14" i="10"/>
  <c r="F14" i="10"/>
  <c r="G14" i="10"/>
  <c r="E15" i="10"/>
  <c r="F15" i="10"/>
  <c r="G15" i="10"/>
  <c r="E16" i="10"/>
  <c r="F16" i="10"/>
  <c r="G16" i="10"/>
  <c r="E17" i="10"/>
  <c r="F17" i="10"/>
  <c r="G17" i="10"/>
  <c r="E18" i="10"/>
  <c r="F18" i="10"/>
  <c r="G18" i="10"/>
  <c r="E19" i="10"/>
  <c r="F19" i="10"/>
  <c r="G19" i="10"/>
  <c r="E20" i="10"/>
  <c r="F20" i="10"/>
  <c r="G20" i="10"/>
  <c r="E21" i="10"/>
  <c r="F21" i="10"/>
  <c r="G21" i="10"/>
  <c r="E22" i="10"/>
  <c r="F22" i="10"/>
  <c r="G22" i="10"/>
  <c r="E23" i="10"/>
  <c r="F23" i="10"/>
  <c r="G23" i="10"/>
  <c r="E24" i="10"/>
  <c r="F24" i="10"/>
  <c r="G24" i="10"/>
  <c r="E25" i="10"/>
  <c r="F25" i="10"/>
  <c r="G25" i="10"/>
  <c r="E26" i="10"/>
  <c r="F26" i="10"/>
  <c r="G26" i="10"/>
  <c r="E27" i="10"/>
  <c r="F27" i="10"/>
  <c r="G27" i="10"/>
  <c r="E28" i="10"/>
  <c r="F28" i="10"/>
  <c r="G28" i="10"/>
  <c r="E29" i="10"/>
  <c r="F29" i="10"/>
  <c r="G29" i="10"/>
  <c r="E30" i="10"/>
  <c r="F30" i="10"/>
  <c r="G30" i="10"/>
  <c r="E31" i="10"/>
  <c r="F31" i="10"/>
  <c r="G31" i="10"/>
  <c r="E32" i="10"/>
  <c r="F32" i="10"/>
  <c r="G32" i="10"/>
  <c r="E33" i="10"/>
  <c r="F33" i="10"/>
  <c r="G33" i="10"/>
  <c r="E34" i="10"/>
  <c r="F34" i="10"/>
  <c r="G34" i="10"/>
  <c r="E35" i="10"/>
  <c r="F35" i="10"/>
  <c r="G35" i="10"/>
  <c r="E36" i="10"/>
  <c r="F36" i="10"/>
  <c r="G36" i="10"/>
  <c r="E37" i="10"/>
  <c r="F37" i="10"/>
  <c r="G37" i="10"/>
  <c r="E38" i="10"/>
  <c r="F38" i="10"/>
  <c r="G38" i="10"/>
  <c r="E39" i="10"/>
  <c r="F39" i="10"/>
  <c r="G39" i="10"/>
  <c r="E40" i="10"/>
  <c r="F40" i="10"/>
  <c r="G40" i="10"/>
  <c r="E41" i="10"/>
  <c r="F41" i="10"/>
  <c r="G41" i="10"/>
  <c r="E42" i="10"/>
  <c r="F42" i="10"/>
  <c r="G42" i="10"/>
  <c r="E43" i="10"/>
  <c r="F43" i="10"/>
  <c r="G43" i="10"/>
  <c r="E44" i="10"/>
  <c r="F44" i="10"/>
  <c r="G44" i="10"/>
  <c r="E45" i="10"/>
  <c r="F45" i="10"/>
  <c r="G45" i="10"/>
  <c r="E46" i="10"/>
  <c r="F46" i="10"/>
  <c r="G46" i="10"/>
  <c r="E47" i="10"/>
  <c r="F47" i="10"/>
  <c r="G47" i="10"/>
  <c r="E48" i="10"/>
  <c r="F48" i="10"/>
  <c r="G48" i="10"/>
  <c r="E49" i="10"/>
  <c r="F49" i="10"/>
  <c r="G49" i="10"/>
  <c r="E50" i="10"/>
  <c r="F50" i="10"/>
  <c r="G50" i="10"/>
  <c r="E51" i="10"/>
  <c r="F51" i="10"/>
  <c r="G51" i="10"/>
  <c r="E52" i="10"/>
  <c r="F52" i="10"/>
  <c r="G52" i="10"/>
  <c r="E53" i="10"/>
  <c r="F53" i="10"/>
  <c r="G53" i="10"/>
  <c r="E54" i="10"/>
  <c r="F54" i="10"/>
  <c r="G54" i="10"/>
  <c r="E55" i="10"/>
  <c r="F55" i="10"/>
  <c r="G55" i="10"/>
  <c r="E56" i="10"/>
  <c r="F56" i="10"/>
  <c r="G56" i="10"/>
  <c r="E57" i="10"/>
  <c r="F57" i="10"/>
  <c r="G57" i="10"/>
  <c r="E58" i="10"/>
  <c r="F58" i="10"/>
  <c r="G58" i="10"/>
  <c r="E59" i="10"/>
  <c r="F59" i="10"/>
  <c r="G59" i="10"/>
  <c r="E60" i="10"/>
  <c r="F60" i="10"/>
  <c r="G60" i="10"/>
  <c r="E61" i="10"/>
  <c r="F61" i="10"/>
  <c r="G61" i="10"/>
  <c r="E62" i="10"/>
  <c r="F62" i="10"/>
  <c r="G62" i="10"/>
  <c r="E63" i="10"/>
  <c r="F63" i="10"/>
  <c r="G63" i="10"/>
  <c r="E64" i="10"/>
  <c r="F64" i="10"/>
  <c r="G64" i="10"/>
  <c r="E65" i="10"/>
  <c r="F65" i="10"/>
  <c r="G65" i="10"/>
  <c r="E66" i="10"/>
  <c r="F66" i="10"/>
  <c r="G66" i="10"/>
  <c r="E67" i="10"/>
  <c r="F67" i="10"/>
  <c r="G67" i="10"/>
  <c r="E68" i="10"/>
  <c r="F68" i="10"/>
  <c r="G68" i="10"/>
  <c r="E69" i="10"/>
  <c r="F69" i="10"/>
  <c r="G69" i="10"/>
  <c r="E70" i="10"/>
  <c r="F70" i="10"/>
  <c r="G70" i="10"/>
  <c r="E71" i="10"/>
  <c r="F71" i="10"/>
  <c r="G71" i="10"/>
  <c r="E72" i="10"/>
  <c r="F72" i="10"/>
  <c r="G72" i="10"/>
  <c r="E73" i="10"/>
  <c r="F73" i="10"/>
  <c r="G73" i="10"/>
  <c r="E74" i="10"/>
  <c r="F74" i="10"/>
  <c r="G74" i="10"/>
  <c r="E75" i="10"/>
  <c r="F75" i="10"/>
  <c r="G75" i="10"/>
  <c r="E76" i="10"/>
  <c r="F76" i="10"/>
  <c r="G76" i="10"/>
  <c r="E77" i="10"/>
  <c r="F77" i="10"/>
  <c r="G77" i="10"/>
  <c r="E78" i="10"/>
  <c r="F78" i="10"/>
  <c r="G78" i="10"/>
  <c r="E79" i="10"/>
  <c r="F79" i="10"/>
  <c r="G79" i="10"/>
  <c r="E80" i="10"/>
  <c r="F80" i="10"/>
  <c r="G80" i="10"/>
  <c r="E81" i="10"/>
  <c r="F81" i="10"/>
  <c r="G81" i="10"/>
  <c r="E82" i="10"/>
  <c r="F82" i="10"/>
  <c r="G82" i="10"/>
  <c r="E83" i="10"/>
  <c r="F83" i="10"/>
  <c r="G83" i="10"/>
  <c r="E84" i="10"/>
  <c r="F84" i="10"/>
  <c r="G84" i="10"/>
  <c r="E85" i="10"/>
  <c r="F85" i="10"/>
  <c r="G85" i="10"/>
  <c r="E86" i="10"/>
  <c r="F86" i="10"/>
  <c r="G86" i="10"/>
  <c r="E87" i="10"/>
  <c r="F87" i="10"/>
  <c r="G87" i="10"/>
  <c r="E88" i="10"/>
  <c r="F88" i="10"/>
  <c r="G88" i="10"/>
  <c r="E89" i="10"/>
  <c r="F89" i="10"/>
  <c r="G89" i="10"/>
  <c r="E90" i="10"/>
  <c r="F90" i="10"/>
  <c r="G90" i="10"/>
  <c r="E91" i="10"/>
  <c r="F91" i="10"/>
  <c r="G91" i="10"/>
  <c r="E92" i="10"/>
  <c r="F92" i="10"/>
  <c r="G92" i="10"/>
  <c r="E93" i="10"/>
  <c r="F93" i="10"/>
  <c r="G93" i="10"/>
  <c r="E94" i="10"/>
  <c r="F94" i="10"/>
  <c r="G94" i="10"/>
  <c r="E95" i="10"/>
  <c r="F95" i="10"/>
  <c r="G95" i="10"/>
  <c r="E96" i="10"/>
  <c r="F96" i="10"/>
  <c r="G96" i="10"/>
  <c r="E97" i="10"/>
  <c r="F97" i="10"/>
  <c r="G97" i="10"/>
  <c r="E98" i="10"/>
  <c r="F98" i="10"/>
  <c r="G98" i="10"/>
  <c r="E99" i="10"/>
  <c r="F99" i="10"/>
  <c r="G99" i="10"/>
  <c r="E100" i="10"/>
  <c r="F100" i="10"/>
  <c r="G100" i="10"/>
  <c r="E101" i="10"/>
  <c r="F101" i="10"/>
  <c r="G101" i="10"/>
  <c r="E102" i="10"/>
  <c r="F102" i="10"/>
  <c r="G102" i="10"/>
  <c r="E103" i="10"/>
  <c r="F103" i="10"/>
  <c r="G103" i="10"/>
  <c r="E104" i="10"/>
  <c r="F104" i="10"/>
  <c r="G104" i="10"/>
  <c r="E105" i="10"/>
  <c r="F105" i="10"/>
  <c r="G105" i="10"/>
  <c r="E106" i="10"/>
  <c r="F106" i="10"/>
  <c r="G106" i="10"/>
  <c r="E107" i="10"/>
  <c r="F107" i="10"/>
  <c r="G107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E106" i="9"/>
  <c r="F106" i="9"/>
  <c r="G106" i="9"/>
  <c r="I106" i="9"/>
  <c r="J106" i="9"/>
  <c r="K106" i="9"/>
  <c r="M106" i="9"/>
  <c r="N106" i="9"/>
  <c r="O106" i="9"/>
  <c r="Q106" i="9"/>
  <c r="R106" i="9"/>
  <c r="S106" i="9"/>
  <c r="C106" i="9"/>
  <c r="S7" i="8"/>
  <c r="Q8" i="8"/>
  <c r="R8" i="8"/>
  <c r="S8" i="8"/>
  <c r="Q9" i="8"/>
  <c r="R9" i="8"/>
  <c r="S9" i="8"/>
  <c r="Q10" i="8"/>
  <c r="R10" i="8"/>
  <c r="S10" i="8"/>
  <c r="Q11" i="8"/>
  <c r="R11" i="8"/>
  <c r="S11" i="8"/>
  <c r="Q12" i="8"/>
  <c r="R12" i="8"/>
  <c r="S12" i="8"/>
  <c r="Q13" i="8"/>
  <c r="R13" i="8"/>
  <c r="S13" i="8"/>
  <c r="Q14" i="8"/>
  <c r="R14" i="8"/>
  <c r="S14" i="8"/>
  <c r="Q15" i="8"/>
  <c r="R15" i="8"/>
  <c r="S15" i="8"/>
  <c r="Q16" i="8"/>
  <c r="R16" i="8"/>
  <c r="S16" i="8"/>
  <c r="Q17" i="8"/>
  <c r="R17" i="8"/>
  <c r="S17" i="8"/>
  <c r="Q18" i="8"/>
  <c r="R18" i="8"/>
  <c r="S18" i="8"/>
  <c r="Q19" i="8"/>
  <c r="R19" i="8"/>
  <c r="S19" i="8"/>
  <c r="Q20" i="8"/>
  <c r="R20" i="8"/>
  <c r="S20" i="8"/>
  <c r="Q21" i="8"/>
  <c r="R21" i="8"/>
  <c r="S21" i="8"/>
  <c r="Q22" i="8"/>
  <c r="R22" i="8"/>
  <c r="S22" i="8"/>
  <c r="Q23" i="8"/>
  <c r="R23" i="8"/>
  <c r="S23" i="8"/>
  <c r="Q24" i="8"/>
  <c r="R24" i="8"/>
  <c r="S24" i="8"/>
  <c r="Q25" i="8"/>
  <c r="R25" i="8"/>
  <c r="S25" i="8"/>
  <c r="Q26" i="8"/>
  <c r="R26" i="8"/>
  <c r="S26" i="8"/>
  <c r="Q27" i="8"/>
  <c r="R27" i="8"/>
  <c r="S27" i="8"/>
  <c r="Q28" i="8"/>
  <c r="R28" i="8"/>
  <c r="S28" i="8"/>
  <c r="Q29" i="8"/>
  <c r="R29" i="8"/>
  <c r="S29" i="8"/>
  <c r="Q30" i="8"/>
  <c r="R30" i="8"/>
  <c r="S30" i="8"/>
  <c r="Q31" i="8"/>
  <c r="R31" i="8"/>
  <c r="S31" i="8"/>
  <c r="Q32" i="8"/>
  <c r="R32" i="8"/>
  <c r="S32" i="8"/>
  <c r="Q33" i="8"/>
  <c r="R33" i="8"/>
  <c r="S33" i="8"/>
  <c r="Q34" i="8"/>
  <c r="R34" i="8"/>
  <c r="S34" i="8"/>
  <c r="Q35" i="8"/>
  <c r="R35" i="8"/>
  <c r="S35" i="8"/>
  <c r="Q36" i="8"/>
  <c r="R36" i="8"/>
  <c r="S36" i="8"/>
  <c r="Q37" i="8"/>
  <c r="R37" i="8"/>
  <c r="S37" i="8"/>
  <c r="Q38" i="8"/>
  <c r="R38" i="8"/>
  <c r="S38" i="8"/>
  <c r="Q39" i="8"/>
  <c r="R39" i="8"/>
  <c r="S39" i="8"/>
  <c r="Q40" i="8"/>
  <c r="R40" i="8"/>
  <c r="S40" i="8"/>
  <c r="Q41" i="8"/>
  <c r="R41" i="8"/>
  <c r="S41" i="8"/>
  <c r="Q42" i="8"/>
  <c r="R42" i="8"/>
  <c r="S42" i="8"/>
  <c r="Q43" i="8"/>
  <c r="R43" i="8"/>
  <c r="S43" i="8"/>
  <c r="Q44" i="8"/>
  <c r="R44" i="8"/>
  <c r="S44" i="8"/>
  <c r="Q45" i="8"/>
  <c r="R45" i="8"/>
  <c r="S45" i="8"/>
  <c r="Q46" i="8"/>
  <c r="R46" i="8"/>
  <c r="S46" i="8"/>
  <c r="Q47" i="8"/>
  <c r="R47" i="8"/>
  <c r="S47" i="8"/>
  <c r="Q48" i="8"/>
  <c r="R48" i="8"/>
  <c r="S48" i="8"/>
  <c r="Q49" i="8"/>
  <c r="R49" i="8"/>
  <c r="S49" i="8"/>
  <c r="K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26" i="8"/>
  <c r="J26" i="8"/>
  <c r="K26" i="8"/>
  <c r="I27" i="8"/>
  <c r="J27" i="8"/>
  <c r="K27" i="8"/>
  <c r="I28" i="8"/>
  <c r="J28" i="8"/>
  <c r="K28" i="8"/>
  <c r="I29" i="8"/>
  <c r="J29" i="8"/>
  <c r="K29" i="8"/>
  <c r="I30" i="8"/>
  <c r="J30" i="8"/>
  <c r="K30" i="8"/>
  <c r="I31" i="8"/>
  <c r="J31" i="8"/>
  <c r="K31" i="8"/>
  <c r="I32" i="8"/>
  <c r="J32" i="8"/>
  <c r="K32" i="8"/>
  <c r="I33" i="8"/>
  <c r="J33" i="8"/>
  <c r="K33" i="8"/>
  <c r="I34" i="8"/>
  <c r="J34" i="8"/>
  <c r="K34" i="8"/>
  <c r="I35" i="8"/>
  <c r="J35" i="8"/>
  <c r="K35" i="8"/>
  <c r="I36" i="8"/>
  <c r="J36" i="8"/>
  <c r="K36" i="8"/>
  <c r="I37" i="8"/>
  <c r="J37" i="8"/>
  <c r="K37" i="8"/>
  <c r="I38" i="8"/>
  <c r="J38" i="8"/>
  <c r="K38" i="8"/>
  <c r="I39" i="8"/>
  <c r="J39" i="8"/>
  <c r="K39" i="8"/>
  <c r="I40" i="8"/>
  <c r="J40" i="8"/>
  <c r="K40" i="8"/>
  <c r="I41" i="8"/>
  <c r="J41" i="8"/>
  <c r="K41" i="8"/>
  <c r="I42" i="8"/>
  <c r="J42" i="8"/>
  <c r="K42" i="8"/>
  <c r="I43" i="8"/>
  <c r="J43" i="8"/>
  <c r="K43" i="8"/>
  <c r="I44" i="8"/>
  <c r="J44" i="8"/>
  <c r="K44" i="8"/>
  <c r="I45" i="8"/>
  <c r="J45" i="8"/>
  <c r="K45" i="8"/>
  <c r="I46" i="8"/>
  <c r="J46" i="8"/>
  <c r="K46" i="8"/>
  <c r="I47" i="8"/>
  <c r="J47" i="8"/>
  <c r="K47" i="8"/>
  <c r="I48" i="8"/>
  <c r="J48" i="8"/>
  <c r="K48" i="8"/>
  <c r="I49" i="8"/>
  <c r="J49" i="8"/>
  <c r="K49" i="8"/>
  <c r="I50" i="8"/>
  <c r="J50" i="8"/>
  <c r="K50" i="8"/>
  <c r="I51" i="8"/>
  <c r="J51" i="8"/>
  <c r="K51" i="8"/>
  <c r="I52" i="8"/>
  <c r="J52" i="8"/>
  <c r="K52" i="8"/>
  <c r="I53" i="8"/>
  <c r="J53" i="8"/>
  <c r="K53" i="8"/>
  <c r="I54" i="8"/>
  <c r="J54" i="8"/>
  <c r="K54" i="8"/>
  <c r="I55" i="8"/>
  <c r="J55" i="8"/>
  <c r="K55" i="8"/>
  <c r="I56" i="8"/>
  <c r="J56" i="8"/>
  <c r="K56" i="8"/>
  <c r="I57" i="8"/>
  <c r="J57" i="8"/>
  <c r="K57" i="8"/>
  <c r="I58" i="8"/>
  <c r="J58" i="8"/>
  <c r="K58" i="8"/>
  <c r="I59" i="8"/>
  <c r="J59" i="8"/>
  <c r="K59" i="8"/>
  <c r="I60" i="8"/>
  <c r="J60" i="8"/>
  <c r="K60" i="8"/>
  <c r="I61" i="8"/>
  <c r="J61" i="8"/>
  <c r="K61" i="8"/>
  <c r="I62" i="8"/>
  <c r="J62" i="8"/>
  <c r="K62" i="8"/>
  <c r="I63" i="8"/>
  <c r="J63" i="8"/>
  <c r="K63" i="8"/>
  <c r="I64" i="8"/>
  <c r="J64" i="8"/>
  <c r="K64" i="8"/>
  <c r="I65" i="8"/>
  <c r="J65" i="8"/>
  <c r="K65" i="8"/>
  <c r="I66" i="8"/>
  <c r="J66" i="8"/>
  <c r="K66" i="8"/>
  <c r="I67" i="8"/>
  <c r="J67" i="8"/>
  <c r="K67" i="8"/>
  <c r="I68" i="8"/>
  <c r="J68" i="8"/>
  <c r="K68" i="8"/>
  <c r="I69" i="8"/>
  <c r="J69" i="8"/>
  <c r="K69" i="8"/>
  <c r="I70" i="8"/>
  <c r="J70" i="8"/>
  <c r="K70" i="8"/>
  <c r="I71" i="8"/>
  <c r="J71" i="8"/>
  <c r="K71" i="8"/>
  <c r="I72" i="8"/>
  <c r="J72" i="8"/>
  <c r="K72" i="8"/>
  <c r="I73" i="8"/>
  <c r="J73" i="8"/>
  <c r="K73" i="8"/>
  <c r="I74" i="8"/>
  <c r="J74" i="8"/>
  <c r="K74" i="8"/>
  <c r="I75" i="8"/>
  <c r="J75" i="8"/>
  <c r="K75" i="8"/>
  <c r="I76" i="8"/>
  <c r="J76" i="8"/>
  <c r="K76" i="8"/>
  <c r="I77" i="8"/>
  <c r="J77" i="8"/>
  <c r="K77" i="8"/>
  <c r="I78" i="8"/>
  <c r="J78" i="8"/>
  <c r="K78" i="8"/>
  <c r="I79" i="8"/>
  <c r="J79" i="8"/>
  <c r="K79" i="8"/>
  <c r="I80" i="8"/>
  <c r="J80" i="8"/>
  <c r="K80" i="8"/>
  <c r="I81" i="8"/>
  <c r="J81" i="8"/>
  <c r="K81" i="8"/>
  <c r="I82" i="8"/>
  <c r="J82" i="8"/>
  <c r="K82" i="8"/>
  <c r="I83" i="8"/>
  <c r="J83" i="8"/>
  <c r="K83" i="8"/>
  <c r="I84" i="8"/>
  <c r="J84" i="8"/>
  <c r="K84" i="8"/>
  <c r="I85" i="8"/>
  <c r="J85" i="8"/>
  <c r="K85" i="8"/>
  <c r="I86" i="8"/>
  <c r="J86" i="8"/>
  <c r="K86" i="8"/>
  <c r="I87" i="8"/>
  <c r="J87" i="8"/>
  <c r="K87" i="8"/>
  <c r="I88" i="8"/>
  <c r="J88" i="8"/>
  <c r="K88" i="8"/>
  <c r="I89" i="8"/>
  <c r="J89" i="8"/>
  <c r="K89" i="8"/>
  <c r="I90" i="8"/>
  <c r="J90" i="8"/>
  <c r="K90" i="8"/>
  <c r="I91" i="8"/>
  <c r="J91" i="8"/>
  <c r="K91" i="8"/>
  <c r="I92" i="8"/>
  <c r="J92" i="8"/>
  <c r="K92" i="8"/>
  <c r="I93" i="8"/>
  <c r="J93" i="8"/>
  <c r="K93" i="8"/>
  <c r="I94" i="8"/>
  <c r="J94" i="8"/>
  <c r="K94" i="8"/>
  <c r="I95" i="8"/>
  <c r="J95" i="8"/>
  <c r="K95" i="8"/>
  <c r="I96" i="8"/>
  <c r="J96" i="8"/>
  <c r="K96" i="8"/>
  <c r="I97" i="8"/>
  <c r="J97" i="8"/>
  <c r="K97" i="8"/>
  <c r="I98" i="8"/>
  <c r="J98" i="8"/>
  <c r="K98" i="8"/>
  <c r="I99" i="8"/>
  <c r="J99" i="8"/>
  <c r="K99" i="8"/>
  <c r="I100" i="8"/>
  <c r="J100" i="8"/>
  <c r="K100" i="8"/>
  <c r="I101" i="8"/>
  <c r="J101" i="8"/>
  <c r="K101" i="8"/>
  <c r="I102" i="8"/>
  <c r="J102" i="8"/>
  <c r="K102" i="8"/>
  <c r="I103" i="8"/>
  <c r="J103" i="8"/>
  <c r="K103" i="8"/>
  <c r="I104" i="8"/>
  <c r="J104" i="8"/>
  <c r="K104" i="8"/>
  <c r="I105" i="8"/>
  <c r="J105" i="8"/>
  <c r="K105" i="8"/>
  <c r="I106" i="8"/>
  <c r="J106" i="8"/>
  <c r="K106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G7" i="8"/>
  <c r="E8" i="8"/>
  <c r="F8" i="8"/>
  <c r="G8" i="8"/>
  <c r="E9" i="8"/>
  <c r="F9" i="8"/>
  <c r="G9" i="8"/>
  <c r="O7" i="8"/>
  <c r="M8" i="8"/>
  <c r="N8" i="8"/>
  <c r="O8" i="8"/>
  <c r="E10" i="8"/>
  <c r="F10" i="8"/>
  <c r="G10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E42" i="8"/>
  <c r="F42" i="8"/>
  <c r="G42" i="8"/>
  <c r="E43" i="8"/>
  <c r="F43" i="8"/>
  <c r="G43" i="8"/>
  <c r="E44" i="8"/>
  <c r="F44" i="8"/>
  <c r="G44" i="8"/>
  <c r="E45" i="8"/>
  <c r="F45" i="8"/>
  <c r="G45" i="8"/>
  <c r="E46" i="8"/>
  <c r="F46" i="8"/>
  <c r="G46" i="8"/>
  <c r="E47" i="8"/>
  <c r="F47" i="8"/>
  <c r="G47" i="8"/>
  <c r="E48" i="8"/>
  <c r="F48" i="8"/>
  <c r="G48" i="8"/>
  <c r="E49" i="8"/>
  <c r="F49" i="8"/>
  <c r="G49" i="8"/>
  <c r="E50" i="8"/>
  <c r="F50" i="8"/>
  <c r="G50" i="8"/>
  <c r="E51" i="8"/>
  <c r="F51" i="8"/>
  <c r="G51" i="8"/>
  <c r="E52" i="8"/>
  <c r="F52" i="8"/>
  <c r="G52" i="8"/>
  <c r="E53" i="8"/>
  <c r="F53" i="8"/>
  <c r="G53" i="8"/>
  <c r="E54" i="8"/>
  <c r="F54" i="8"/>
  <c r="G54" i="8"/>
  <c r="E55" i="8"/>
  <c r="F55" i="8"/>
  <c r="G55" i="8"/>
  <c r="E56" i="8"/>
  <c r="F56" i="8"/>
  <c r="G56" i="8"/>
  <c r="E57" i="8"/>
  <c r="F57" i="8"/>
  <c r="G57" i="8"/>
  <c r="E58" i="8"/>
  <c r="F58" i="8"/>
  <c r="G58" i="8"/>
  <c r="E59" i="8"/>
  <c r="F59" i="8"/>
  <c r="G59" i="8"/>
  <c r="E60" i="8"/>
  <c r="F60" i="8"/>
  <c r="G60" i="8"/>
  <c r="E61" i="8"/>
  <c r="F61" i="8"/>
  <c r="G61" i="8"/>
  <c r="E62" i="8"/>
  <c r="F62" i="8"/>
  <c r="G62" i="8"/>
  <c r="E63" i="8"/>
  <c r="F63" i="8"/>
  <c r="G63" i="8"/>
  <c r="E64" i="8"/>
  <c r="F64" i="8"/>
  <c r="G64" i="8"/>
  <c r="E65" i="8"/>
  <c r="F65" i="8"/>
  <c r="G65" i="8"/>
  <c r="E66" i="8"/>
  <c r="F66" i="8"/>
  <c r="G66" i="8"/>
  <c r="E67" i="8"/>
  <c r="F67" i="8"/>
  <c r="G67" i="8"/>
  <c r="E68" i="8"/>
  <c r="F68" i="8"/>
  <c r="G68" i="8"/>
  <c r="E69" i="8"/>
  <c r="F69" i="8"/>
  <c r="G69" i="8"/>
  <c r="E70" i="8"/>
  <c r="F70" i="8"/>
  <c r="G70" i="8"/>
  <c r="E71" i="8"/>
  <c r="F71" i="8"/>
  <c r="G71" i="8"/>
  <c r="E72" i="8"/>
  <c r="F72" i="8"/>
  <c r="G72" i="8"/>
  <c r="E73" i="8"/>
  <c r="F73" i="8"/>
  <c r="G73" i="8"/>
  <c r="E74" i="8"/>
  <c r="F74" i="8"/>
  <c r="G74" i="8"/>
  <c r="E75" i="8"/>
  <c r="F75" i="8"/>
  <c r="G75" i="8"/>
  <c r="E76" i="8"/>
  <c r="F76" i="8"/>
  <c r="G76" i="8"/>
  <c r="E77" i="8"/>
  <c r="F77" i="8"/>
  <c r="G77" i="8"/>
  <c r="E78" i="8"/>
  <c r="F78" i="8"/>
  <c r="G78" i="8"/>
  <c r="E79" i="8"/>
  <c r="F79" i="8"/>
  <c r="G79" i="8"/>
  <c r="E80" i="8"/>
  <c r="F80" i="8"/>
  <c r="G80" i="8"/>
  <c r="E81" i="8"/>
  <c r="F81" i="8"/>
  <c r="G81" i="8"/>
  <c r="E82" i="8"/>
  <c r="F82" i="8"/>
  <c r="G82" i="8"/>
  <c r="E83" i="8"/>
  <c r="F83" i="8"/>
  <c r="G83" i="8"/>
  <c r="E84" i="8"/>
  <c r="F84" i="8"/>
  <c r="G84" i="8"/>
  <c r="E85" i="8"/>
  <c r="F85" i="8"/>
  <c r="G85" i="8"/>
  <c r="E86" i="8"/>
  <c r="F86" i="8"/>
  <c r="G86" i="8"/>
  <c r="E87" i="8"/>
  <c r="F87" i="8"/>
  <c r="G87" i="8"/>
  <c r="E88" i="8"/>
  <c r="F88" i="8"/>
  <c r="G88" i="8"/>
  <c r="E89" i="8"/>
  <c r="F89" i="8"/>
  <c r="G89" i="8"/>
  <c r="E90" i="8"/>
  <c r="F90" i="8"/>
  <c r="G90" i="8"/>
  <c r="E91" i="8"/>
  <c r="F91" i="8"/>
  <c r="G91" i="8"/>
  <c r="E92" i="8"/>
  <c r="F92" i="8"/>
  <c r="G92" i="8"/>
  <c r="E93" i="8"/>
  <c r="F93" i="8"/>
  <c r="G93" i="8"/>
  <c r="E94" i="8"/>
  <c r="F94" i="8"/>
  <c r="G94" i="8"/>
  <c r="E95" i="8"/>
  <c r="F95" i="8"/>
  <c r="G95" i="8"/>
  <c r="E96" i="8"/>
  <c r="F96" i="8"/>
  <c r="G96" i="8"/>
  <c r="E97" i="8"/>
  <c r="F97" i="8"/>
  <c r="G97" i="8"/>
  <c r="E98" i="8"/>
  <c r="F98" i="8"/>
  <c r="G98" i="8"/>
  <c r="E99" i="8"/>
  <c r="F99" i="8"/>
  <c r="G99" i="8"/>
  <c r="E100" i="8"/>
  <c r="F100" i="8"/>
  <c r="G100" i="8"/>
  <c r="E101" i="8"/>
  <c r="F101" i="8"/>
  <c r="G101" i="8"/>
  <c r="E102" i="8"/>
  <c r="F102" i="8"/>
  <c r="G102" i="8"/>
  <c r="E103" i="8"/>
  <c r="F103" i="8"/>
  <c r="G103" i="8"/>
  <c r="E104" i="8"/>
  <c r="F104" i="8"/>
  <c r="G104" i="8"/>
  <c r="E105" i="8"/>
  <c r="F105" i="8"/>
  <c r="G105" i="8"/>
  <c r="E106" i="8"/>
  <c r="F106" i="8"/>
  <c r="G106" i="8"/>
  <c r="Q50" i="8"/>
  <c r="R50" i="8"/>
  <c r="S50" i="8"/>
  <c r="Q51" i="8"/>
  <c r="R51" i="8"/>
  <c r="S51" i="8"/>
  <c r="Q52" i="8"/>
  <c r="R52" i="8"/>
  <c r="S52" i="8"/>
  <c r="Q53" i="8"/>
  <c r="R53" i="8"/>
  <c r="S53" i="8"/>
  <c r="Q54" i="8"/>
  <c r="R54" i="8"/>
  <c r="S54" i="8"/>
  <c r="Q55" i="8"/>
  <c r="R55" i="8"/>
  <c r="S55" i="8"/>
  <c r="Q56" i="8"/>
  <c r="R56" i="8"/>
  <c r="S56" i="8"/>
  <c r="Q57" i="8"/>
  <c r="R57" i="8"/>
  <c r="S57" i="8"/>
  <c r="Q58" i="8"/>
  <c r="R58" i="8"/>
  <c r="S58" i="8"/>
  <c r="Q59" i="8"/>
  <c r="R59" i="8"/>
  <c r="S59" i="8"/>
  <c r="Q60" i="8"/>
  <c r="R60" i="8"/>
  <c r="S60" i="8"/>
  <c r="Q61" i="8"/>
  <c r="R61" i="8"/>
  <c r="S61" i="8"/>
  <c r="Q62" i="8"/>
  <c r="R62" i="8"/>
  <c r="S62" i="8"/>
  <c r="Q63" i="8"/>
  <c r="R63" i="8"/>
  <c r="S63" i="8"/>
  <c r="Q64" i="8"/>
  <c r="R64" i="8"/>
  <c r="S64" i="8"/>
  <c r="Q65" i="8"/>
  <c r="R65" i="8"/>
  <c r="S65" i="8"/>
  <c r="Q66" i="8"/>
  <c r="R66" i="8"/>
  <c r="S66" i="8"/>
  <c r="Q67" i="8"/>
  <c r="R67" i="8"/>
  <c r="S67" i="8"/>
  <c r="Q68" i="8"/>
  <c r="R68" i="8"/>
  <c r="S68" i="8"/>
  <c r="Q69" i="8"/>
  <c r="R69" i="8"/>
  <c r="S69" i="8"/>
  <c r="Q70" i="8"/>
  <c r="R70" i="8"/>
  <c r="S70" i="8"/>
  <c r="Q71" i="8"/>
  <c r="R71" i="8"/>
  <c r="S71" i="8"/>
  <c r="Q72" i="8"/>
  <c r="R72" i="8"/>
  <c r="S72" i="8"/>
  <c r="Q73" i="8"/>
  <c r="R73" i="8"/>
  <c r="S73" i="8"/>
  <c r="Q74" i="8"/>
  <c r="R74" i="8"/>
  <c r="S74" i="8"/>
  <c r="Q75" i="8"/>
  <c r="R75" i="8"/>
  <c r="S75" i="8"/>
  <c r="Q76" i="8"/>
  <c r="R76" i="8"/>
  <c r="S76" i="8"/>
  <c r="Q77" i="8"/>
  <c r="R77" i="8"/>
  <c r="S77" i="8"/>
  <c r="Q78" i="8"/>
  <c r="R78" i="8"/>
  <c r="S78" i="8"/>
  <c r="Q79" i="8"/>
  <c r="R79" i="8"/>
  <c r="S79" i="8"/>
  <c r="Q80" i="8"/>
  <c r="R80" i="8"/>
  <c r="S80" i="8"/>
  <c r="Q81" i="8"/>
  <c r="R81" i="8"/>
  <c r="S81" i="8"/>
  <c r="Q82" i="8"/>
  <c r="R82" i="8"/>
  <c r="S82" i="8"/>
  <c r="Q83" i="8"/>
  <c r="R83" i="8"/>
  <c r="S83" i="8"/>
  <c r="Q84" i="8"/>
  <c r="R84" i="8"/>
  <c r="S84" i="8"/>
  <c r="Q85" i="8"/>
  <c r="R85" i="8"/>
  <c r="S85" i="8"/>
  <c r="Q86" i="8"/>
  <c r="R86" i="8"/>
  <c r="S86" i="8"/>
  <c r="Q87" i="8"/>
  <c r="R87" i="8"/>
  <c r="S87" i="8"/>
  <c r="Q88" i="8"/>
  <c r="R88" i="8"/>
  <c r="S88" i="8"/>
  <c r="Q89" i="8"/>
  <c r="R89" i="8"/>
  <c r="S89" i="8"/>
  <c r="Q90" i="8"/>
  <c r="R90" i="8"/>
  <c r="S90" i="8"/>
  <c r="Q91" i="8"/>
  <c r="R91" i="8"/>
  <c r="S91" i="8"/>
  <c r="Q92" i="8"/>
  <c r="R92" i="8"/>
  <c r="S92" i="8"/>
  <c r="Q93" i="8"/>
  <c r="R93" i="8"/>
  <c r="S93" i="8"/>
  <c r="Q94" i="8"/>
  <c r="R94" i="8"/>
  <c r="S94" i="8"/>
  <c r="Q95" i="8"/>
  <c r="R95" i="8"/>
  <c r="S95" i="8"/>
  <c r="Q96" i="8"/>
  <c r="R96" i="8"/>
  <c r="S96" i="8"/>
  <c r="Q97" i="8"/>
  <c r="R97" i="8"/>
  <c r="S97" i="8"/>
  <c r="Q98" i="8"/>
  <c r="R98" i="8"/>
  <c r="S98" i="8"/>
  <c r="Q99" i="8"/>
  <c r="R99" i="8"/>
  <c r="S99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N106" i="8"/>
  <c r="N9" i="8"/>
  <c r="O9" i="8"/>
  <c r="N10" i="8"/>
  <c r="O10" i="8"/>
  <c r="N11" i="8"/>
  <c r="O11" i="8"/>
  <c r="N12" i="8"/>
  <c r="O12" i="8"/>
  <c r="N13" i="8"/>
  <c r="O13" i="8"/>
  <c r="N14" i="8"/>
  <c r="O14" i="8"/>
  <c r="N15" i="8"/>
  <c r="O15" i="8"/>
  <c r="N16" i="8"/>
  <c r="O16" i="8"/>
  <c r="N17" i="8"/>
  <c r="O17" i="8"/>
  <c r="N18" i="8"/>
  <c r="O18" i="8"/>
  <c r="N19" i="8"/>
  <c r="O19" i="8"/>
  <c r="N20" i="8"/>
  <c r="O20" i="8"/>
  <c r="N21" i="8"/>
  <c r="O21" i="8"/>
  <c r="N22" i="8"/>
  <c r="O22" i="8"/>
  <c r="N23" i="8"/>
  <c r="O23" i="8"/>
  <c r="N24" i="8"/>
  <c r="O24" i="8"/>
  <c r="N25" i="8"/>
  <c r="O25" i="8"/>
  <c r="N26" i="8"/>
  <c r="O26" i="8"/>
  <c r="N27" i="8"/>
  <c r="O27" i="8"/>
  <c r="N28" i="8"/>
  <c r="O28" i="8"/>
  <c r="N29" i="8"/>
  <c r="O29" i="8"/>
  <c r="N30" i="8"/>
  <c r="O30" i="8"/>
  <c r="N31" i="8"/>
  <c r="O31" i="8"/>
  <c r="N32" i="8"/>
  <c r="O32" i="8"/>
  <c r="N33" i="8"/>
  <c r="O33" i="8"/>
  <c r="N34" i="8"/>
  <c r="O34" i="8"/>
  <c r="N35" i="8"/>
  <c r="O35" i="8"/>
  <c r="N36" i="8"/>
  <c r="O36" i="8"/>
  <c r="N37" i="8"/>
  <c r="O37" i="8"/>
  <c r="N38" i="8"/>
  <c r="O38" i="8"/>
  <c r="N39" i="8"/>
  <c r="O39" i="8"/>
  <c r="N40" i="8"/>
  <c r="O40" i="8"/>
  <c r="N41" i="8"/>
  <c r="O41" i="8"/>
  <c r="N42" i="8"/>
  <c r="O42" i="8"/>
  <c r="N43" i="8"/>
  <c r="O43" i="8"/>
  <c r="N44" i="8"/>
  <c r="O44" i="8"/>
  <c r="N45" i="8"/>
  <c r="O45" i="8"/>
  <c r="N46" i="8"/>
  <c r="O46" i="8"/>
  <c r="N47" i="8"/>
  <c r="O47" i="8"/>
  <c r="N48" i="8"/>
  <c r="O48" i="8"/>
  <c r="N49" i="8"/>
  <c r="O49" i="8"/>
  <c r="N50" i="8"/>
  <c r="O50" i="8"/>
  <c r="N51" i="8"/>
  <c r="O51" i="8"/>
  <c r="N52" i="8"/>
  <c r="O52" i="8"/>
  <c r="N53" i="8"/>
  <c r="O53" i="8"/>
  <c r="N54" i="8"/>
  <c r="O54" i="8"/>
  <c r="N55" i="8"/>
  <c r="O55" i="8"/>
  <c r="N56" i="8"/>
  <c r="O56" i="8"/>
  <c r="N57" i="8"/>
  <c r="O57" i="8"/>
  <c r="N58" i="8"/>
  <c r="O58" i="8"/>
  <c r="N59" i="8"/>
  <c r="O59" i="8"/>
  <c r="N60" i="8"/>
  <c r="O60" i="8"/>
  <c r="N61" i="8"/>
  <c r="O61" i="8"/>
  <c r="N62" i="8"/>
  <c r="O62" i="8"/>
  <c r="N63" i="8"/>
  <c r="O63" i="8"/>
  <c r="N64" i="8"/>
  <c r="O64" i="8"/>
  <c r="N65" i="8"/>
  <c r="O65" i="8"/>
  <c r="N66" i="8"/>
  <c r="O66" i="8"/>
  <c r="N67" i="8"/>
  <c r="O67" i="8"/>
  <c r="N68" i="8"/>
  <c r="O68" i="8"/>
  <c r="N69" i="8"/>
  <c r="O69" i="8"/>
  <c r="N70" i="8"/>
  <c r="O70" i="8"/>
  <c r="N71" i="8"/>
  <c r="O71" i="8"/>
  <c r="N72" i="8"/>
  <c r="O72" i="8"/>
  <c r="N73" i="8"/>
  <c r="O73" i="8"/>
  <c r="N74" i="8"/>
  <c r="O74" i="8"/>
  <c r="N75" i="8"/>
  <c r="O75" i="8"/>
  <c r="N76" i="8"/>
  <c r="O76" i="8"/>
  <c r="N77" i="8"/>
  <c r="O77" i="8"/>
  <c r="N78" i="8"/>
  <c r="O78" i="8"/>
  <c r="N79" i="8"/>
  <c r="O79" i="8"/>
  <c r="N80" i="8"/>
  <c r="O80" i="8"/>
  <c r="N81" i="8"/>
  <c r="O81" i="8"/>
  <c r="N82" i="8"/>
  <c r="O82" i="8"/>
  <c r="N83" i="8"/>
  <c r="O83" i="8"/>
  <c r="N84" i="8"/>
  <c r="O84" i="8"/>
  <c r="N85" i="8"/>
  <c r="O85" i="8"/>
  <c r="N86" i="8"/>
  <c r="O86" i="8"/>
  <c r="N87" i="8"/>
  <c r="O87" i="8"/>
  <c r="N88" i="8"/>
  <c r="O88" i="8"/>
  <c r="N89" i="8"/>
  <c r="O89" i="8"/>
  <c r="N90" i="8"/>
  <c r="O90" i="8"/>
  <c r="N91" i="8"/>
  <c r="O91" i="8"/>
  <c r="N92" i="8"/>
  <c r="O92" i="8"/>
  <c r="N93" i="8"/>
  <c r="O93" i="8"/>
  <c r="N94" i="8"/>
  <c r="O94" i="8"/>
  <c r="N95" i="8"/>
  <c r="O95" i="8"/>
  <c r="N96" i="8"/>
  <c r="O96" i="8"/>
  <c r="N97" i="8"/>
  <c r="O97" i="8"/>
  <c r="N98" i="8"/>
  <c r="O98" i="8"/>
  <c r="N99" i="8"/>
  <c r="O99" i="8"/>
  <c r="N100" i="8"/>
  <c r="O100" i="8"/>
  <c r="N101" i="8"/>
  <c r="O101" i="8"/>
  <c r="N102" i="8"/>
  <c r="O102" i="8"/>
  <c r="N103" i="8"/>
  <c r="O103" i="8"/>
  <c r="N104" i="8"/>
  <c r="O104" i="8"/>
  <c r="N105" i="8"/>
  <c r="O105" i="8"/>
  <c r="O106" i="8"/>
  <c r="Q100" i="8"/>
  <c r="Q101" i="8"/>
  <c r="Q102" i="8"/>
  <c r="Q103" i="8"/>
  <c r="Q104" i="8"/>
  <c r="Q105" i="8"/>
  <c r="Q106" i="8"/>
  <c r="R106" i="8"/>
  <c r="R100" i="8"/>
  <c r="S100" i="8"/>
  <c r="R101" i="8"/>
  <c r="S101" i="8"/>
  <c r="R102" i="8"/>
  <c r="S102" i="8"/>
  <c r="R103" i="8"/>
  <c r="S103" i="8"/>
  <c r="R104" i="8"/>
  <c r="S104" i="8"/>
  <c r="R105" i="8"/>
  <c r="S105" i="8"/>
  <c r="S106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S7" i="9"/>
  <c r="Q8" i="9"/>
  <c r="R8" i="9"/>
  <c r="S8" i="9"/>
  <c r="Q9" i="9"/>
  <c r="R9" i="9"/>
  <c r="S9" i="9"/>
  <c r="Q10" i="9"/>
  <c r="R10" i="9"/>
  <c r="S10" i="9"/>
  <c r="Q11" i="9"/>
  <c r="R11" i="9"/>
  <c r="S11" i="9"/>
  <c r="Q12" i="9"/>
  <c r="R12" i="9"/>
  <c r="S12" i="9"/>
  <c r="Q13" i="9"/>
  <c r="R13" i="9"/>
  <c r="S13" i="9"/>
  <c r="Q14" i="9"/>
  <c r="R14" i="9"/>
  <c r="S14" i="9"/>
  <c r="Q15" i="9"/>
  <c r="R15" i="9"/>
  <c r="S15" i="9"/>
  <c r="Q16" i="9"/>
  <c r="R16" i="9"/>
  <c r="S16" i="9"/>
  <c r="Q17" i="9"/>
  <c r="R17" i="9"/>
  <c r="S17" i="9"/>
  <c r="Q18" i="9"/>
  <c r="R18" i="9"/>
  <c r="S18" i="9"/>
  <c r="Q19" i="9"/>
  <c r="R19" i="9"/>
  <c r="S19" i="9"/>
  <c r="Q20" i="9"/>
  <c r="R20" i="9"/>
  <c r="S20" i="9"/>
  <c r="Q21" i="9"/>
  <c r="R21" i="9"/>
  <c r="S21" i="9"/>
  <c r="Q22" i="9"/>
  <c r="R22" i="9"/>
  <c r="S22" i="9"/>
  <c r="Q23" i="9"/>
  <c r="R23" i="9"/>
  <c r="S23" i="9"/>
  <c r="Q24" i="9"/>
  <c r="R24" i="9"/>
  <c r="S24" i="9"/>
  <c r="Q25" i="9"/>
  <c r="R25" i="9"/>
  <c r="S25" i="9"/>
  <c r="Q26" i="9"/>
  <c r="R26" i="9"/>
  <c r="S26" i="9"/>
  <c r="Q27" i="9"/>
  <c r="R27" i="9"/>
  <c r="S27" i="9"/>
  <c r="Q28" i="9"/>
  <c r="R28" i="9"/>
  <c r="S28" i="9"/>
  <c r="Q29" i="9"/>
  <c r="R29" i="9"/>
  <c r="S29" i="9"/>
  <c r="Q30" i="9"/>
  <c r="R30" i="9"/>
  <c r="S30" i="9"/>
  <c r="Q31" i="9"/>
  <c r="R31" i="9"/>
  <c r="S31" i="9"/>
  <c r="Q32" i="9"/>
  <c r="R32" i="9"/>
  <c r="S32" i="9"/>
  <c r="Q33" i="9"/>
  <c r="R33" i="9"/>
  <c r="S33" i="9"/>
  <c r="Q34" i="9"/>
  <c r="R34" i="9"/>
  <c r="S34" i="9"/>
  <c r="Q35" i="9"/>
  <c r="R35" i="9"/>
  <c r="S35" i="9"/>
  <c r="Q36" i="9"/>
  <c r="R36" i="9"/>
  <c r="S36" i="9"/>
  <c r="Q37" i="9"/>
  <c r="R37" i="9"/>
  <c r="S37" i="9"/>
  <c r="Q38" i="9"/>
  <c r="R38" i="9"/>
  <c r="S38" i="9"/>
  <c r="Q39" i="9"/>
  <c r="R39" i="9"/>
  <c r="S39" i="9"/>
  <c r="Q40" i="9"/>
  <c r="R40" i="9"/>
  <c r="S40" i="9"/>
  <c r="Q41" i="9"/>
  <c r="R41" i="9"/>
  <c r="S41" i="9"/>
  <c r="Q42" i="9"/>
  <c r="R42" i="9"/>
  <c r="S42" i="9"/>
  <c r="Q43" i="9"/>
  <c r="R43" i="9"/>
  <c r="S43" i="9"/>
  <c r="Q44" i="9"/>
  <c r="R44" i="9"/>
  <c r="S44" i="9"/>
  <c r="Q45" i="9"/>
  <c r="R45" i="9"/>
  <c r="S45" i="9"/>
  <c r="Q46" i="9"/>
  <c r="R46" i="9"/>
  <c r="S46" i="9"/>
  <c r="Q47" i="9"/>
  <c r="R47" i="9"/>
  <c r="S47" i="9"/>
  <c r="Q48" i="9"/>
  <c r="R48" i="9"/>
  <c r="S48" i="9"/>
  <c r="Q49" i="9"/>
  <c r="R49" i="9"/>
  <c r="S49" i="9"/>
  <c r="Q50" i="9"/>
  <c r="R50" i="9"/>
  <c r="S50" i="9"/>
  <c r="Q51" i="9"/>
  <c r="R51" i="9"/>
  <c r="S51" i="9"/>
  <c r="Q52" i="9"/>
  <c r="R52" i="9"/>
  <c r="S52" i="9"/>
  <c r="Q53" i="9"/>
  <c r="R53" i="9"/>
  <c r="S53" i="9"/>
  <c r="Q54" i="9"/>
  <c r="R54" i="9"/>
  <c r="S54" i="9"/>
  <c r="Q55" i="9"/>
  <c r="R55" i="9"/>
  <c r="S55" i="9"/>
  <c r="Q56" i="9"/>
  <c r="R56" i="9"/>
  <c r="S56" i="9"/>
  <c r="Q57" i="9"/>
  <c r="R57" i="9"/>
  <c r="S57" i="9"/>
  <c r="Q58" i="9"/>
  <c r="R58" i="9"/>
  <c r="S58" i="9"/>
  <c r="Q59" i="9"/>
  <c r="R59" i="9"/>
  <c r="S59" i="9"/>
  <c r="Q60" i="9"/>
  <c r="R60" i="9"/>
  <c r="S60" i="9"/>
  <c r="Q61" i="9"/>
  <c r="R61" i="9"/>
  <c r="S61" i="9"/>
  <c r="Q62" i="9"/>
  <c r="R62" i="9"/>
  <c r="S62" i="9"/>
  <c r="Q63" i="9"/>
  <c r="R63" i="9"/>
  <c r="S63" i="9"/>
  <c r="Q64" i="9"/>
  <c r="R64" i="9"/>
  <c r="S64" i="9"/>
  <c r="Q65" i="9"/>
  <c r="R65" i="9"/>
  <c r="S65" i="9"/>
  <c r="Q66" i="9"/>
  <c r="R66" i="9"/>
  <c r="S66" i="9"/>
  <c r="Q67" i="9"/>
  <c r="R67" i="9"/>
  <c r="S67" i="9"/>
  <c r="Q68" i="9"/>
  <c r="R68" i="9"/>
  <c r="S68" i="9"/>
  <c r="Q69" i="9"/>
  <c r="R69" i="9"/>
  <c r="S69" i="9"/>
  <c r="Q70" i="9"/>
  <c r="R70" i="9"/>
  <c r="S70" i="9"/>
  <c r="Q71" i="9"/>
  <c r="R71" i="9"/>
  <c r="S71" i="9"/>
  <c r="Q72" i="9"/>
  <c r="R72" i="9"/>
  <c r="S72" i="9"/>
  <c r="Q73" i="9"/>
  <c r="R73" i="9"/>
  <c r="S73" i="9"/>
  <c r="Q74" i="9"/>
  <c r="R74" i="9"/>
  <c r="S74" i="9"/>
  <c r="Q75" i="9"/>
  <c r="R75" i="9"/>
  <c r="S75" i="9"/>
  <c r="Q76" i="9"/>
  <c r="R76" i="9"/>
  <c r="S76" i="9"/>
  <c r="Q77" i="9"/>
  <c r="R77" i="9"/>
  <c r="S77" i="9"/>
  <c r="Q78" i="9"/>
  <c r="R78" i="9"/>
  <c r="S78" i="9"/>
  <c r="Q79" i="9"/>
  <c r="R79" i="9"/>
  <c r="S79" i="9"/>
  <c r="Q80" i="9"/>
  <c r="R80" i="9"/>
  <c r="S80" i="9"/>
  <c r="Q81" i="9"/>
  <c r="R81" i="9"/>
  <c r="S81" i="9"/>
  <c r="Q82" i="9"/>
  <c r="R82" i="9"/>
  <c r="S82" i="9"/>
  <c r="Q83" i="9"/>
  <c r="R83" i="9"/>
  <c r="S83" i="9"/>
  <c r="Q84" i="9"/>
  <c r="R84" i="9"/>
  <c r="S84" i="9"/>
  <c r="Q85" i="9"/>
  <c r="R85" i="9"/>
  <c r="S85" i="9"/>
  <c r="Q86" i="9"/>
  <c r="R86" i="9"/>
  <c r="S86" i="9"/>
  <c r="Q87" i="9"/>
  <c r="R87" i="9"/>
  <c r="S87" i="9"/>
  <c r="Q88" i="9"/>
  <c r="R88" i="9"/>
  <c r="S88" i="9"/>
  <c r="Q89" i="9"/>
  <c r="R89" i="9"/>
  <c r="S89" i="9"/>
  <c r="Q90" i="9"/>
  <c r="R90" i="9"/>
  <c r="S90" i="9"/>
  <c r="Q91" i="9"/>
  <c r="R91" i="9"/>
  <c r="S91" i="9"/>
  <c r="Q92" i="9"/>
  <c r="R92" i="9"/>
  <c r="S92" i="9"/>
  <c r="Q93" i="9"/>
  <c r="R93" i="9"/>
  <c r="S93" i="9"/>
  <c r="Q94" i="9"/>
  <c r="R94" i="9"/>
  <c r="S94" i="9"/>
  <c r="Q95" i="9"/>
  <c r="R95" i="9"/>
  <c r="S95" i="9"/>
  <c r="Q96" i="9"/>
  <c r="R96" i="9"/>
  <c r="S96" i="9"/>
  <c r="Q97" i="9"/>
  <c r="R97" i="9"/>
  <c r="S97" i="9"/>
  <c r="Q98" i="9"/>
  <c r="R98" i="9"/>
  <c r="S98" i="9"/>
  <c r="Q99" i="9"/>
  <c r="R99" i="9"/>
  <c r="S99" i="9"/>
  <c r="Q100" i="9"/>
  <c r="R100" i="9"/>
  <c r="S100" i="9"/>
  <c r="Q101" i="9"/>
  <c r="R101" i="9"/>
  <c r="S101" i="9"/>
  <c r="Q102" i="9"/>
  <c r="R102" i="9"/>
  <c r="S102" i="9"/>
  <c r="Q103" i="9"/>
  <c r="R103" i="9"/>
  <c r="S103" i="9"/>
  <c r="Q104" i="9"/>
  <c r="R104" i="9"/>
  <c r="S104" i="9"/>
  <c r="Q105" i="9"/>
  <c r="R105" i="9"/>
  <c r="S105" i="9"/>
  <c r="O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21" i="9"/>
  <c r="N21" i="9"/>
  <c r="O21" i="9"/>
  <c r="M22" i="9"/>
  <c r="N22" i="9"/>
  <c r="O22" i="9"/>
  <c r="M23" i="9"/>
  <c r="N23" i="9"/>
  <c r="O23" i="9"/>
  <c r="M24" i="9"/>
  <c r="N24" i="9"/>
  <c r="O24" i="9"/>
  <c r="M25" i="9"/>
  <c r="N25" i="9"/>
  <c r="O25" i="9"/>
  <c r="M26" i="9"/>
  <c r="N26" i="9"/>
  <c r="O26" i="9"/>
  <c r="M27" i="9"/>
  <c r="N27" i="9"/>
  <c r="O27" i="9"/>
  <c r="M28" i="9"/>
  <c r="N28" i="9"/>
  <c r="O28" i="9"/>
  <c r="M29" i="9"/>
  <c r="N29" i="9"/>
  <c r="O29" i="9"/>
  <c r="M30" i="9"/>
  <c r="N30" i="9"/>
  <c r="O30" i="9"/>
  <c r="M31" i="9"/>
  <c r="N31" i="9"/>
  <c r="O31" i="9"/>
  <c r="M32" i="9"/>
  <c r="N32" i="9"/>
  <c r="O32" i="9"/>
  <c r="M33" i="9"/>
  <c r="N33" i="9"/>
  <c r="O33" i="9"/>
  <c r="M34" i="9"/>
  <c r="N34" i="9"/>
  <c r="O34" i="9"/>
  <c r="M35" i="9"/>
  <c r="N35" i="9"/>
  <c r="O35" i="9"/>
  <c r="M36" i="9"/>
  <c r="N36" i="9"/>
  <c r="O36" i="9"/>
  <c r="M37" i="9"/>
  <c r="N37" i="9"/>
  <c r="O37" i="9"/>
  <c r="M38" i="9"/>
  <c r="N38" i="9"/>
  <c r="O38" i="9"/>
  <c r="M39" i="9"/>
  <c r="N39" i="9"/>
  <c r="O39" i="9"/>
  <c r="M40" i="9"/>
  <c r="N40" i="9"/>
  <c r="O40" i="9"/>
  <c r="M41" i="9"/>
  <c r="N41" i="9"/>
  <c r="O41" i="9"/>
  <c r="M42" i="9"/>
  <c r="N42" i="9"/>
  <c r="O42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M54" i="9"/>
  <c r="N54" i="9"/>
  <c r="O54" i="9"/>
  <c r="M55" i="9"/>
  <c r="N55" i="9"/>
  <c r="O55" i="9"/>
  <c r="M56" i="9"/>
  <c r="N56" i="9"/>
  <c r="O56" i="9"/>
  <c r="M57" i="9"/>
  <c r="N57" i="9"/>
  <c r="O57" i="9"/>
  <c r="M58" i="9"/>
  <c r="N58" i="9"/>
  <c r="O58" i="9"/>
  <c r="M59" i="9"/>
  <c r="N59" i="9"/>
  <c r="O59" i="9"/>
  <c r="M60" i="9"/>
  <c r="N60" i="9"/>
  <c r="O60" i="9"/>
  <c r="M61" i="9"/>
  <c r="N61" i="9"/>
  <c r="O61" i="9"/>
  <c r="M62" i="9"/>
  <c r="N62" i="9"/>
  <c r="O62" i="9"/>
  <c r="M63" i="9"/>
  <c r="N63" i="9"/>
  <c r="O63" i="9"/>
  <c r="M64" i="9"/>
  <c r="N64" i="9"/>
  <c r="O64" i="9"/>
  <c r="M65" i="9"/>
  <c r="N65" i="9"/>
  <c r="O65" i="9"/>
  <c r="M66" i="9"/>
  <c r="N66" i="9"/>
  <c r="O66" i="9"/>
  <c r="M67" i="9"/>
  <c r="N67" i="9"/>
  <c r="O67" i="9"/>
  <c r="M68" i="9"/>
  <c r="N68" i="9"/>
  <c r="O68" i="9"/>
  <c r="M69" i="9"/>
  <c r="N69" i="9"/>
  <c r="O69" i="9"/>
  <c r="M70" i="9"/>
  <c r="N70" i="9"/>
  <c r="O70" i="9"/>
  <c r="M71" i="9"/>
  <c r="N71" i="9"/>
  <c r="O71" i="9"/>
  <c r="M72" i="9"/>
  <c r="N72" i="9"/>
  <c r="O72" i="9"/>
  <c r="M73" i="9"/>
  <c r="N73" i="9"/>
  <c r="O73" i="9"/>
  <c r="M74" i="9"/>
  <c r="N74" i="9"/>
  <c r="O74" i="9"/>
  <c r="M75" i="9"/>
  <c r="N75" i="9"/>
  <c r="O75" i="9"/>
  <c r="M76" i="9"/>
  <c r="N76" i="9"/>
  <c r="O76" i="9"/>
  <c r="M77" i="9"/>
  <c r="N77" i="9"/>
  <c r="O77" i="9"/>
  <c r="M78" i="9"/>
  <c r="N78" i="9"/>
  <c r="O78" i="9"/>
  <c r="M79" i="9"/>
  <c r="N79" i="9"/>
  <c r="O79" i="9"/>
  <c r="M80" i="9"/>
  <c r="N80" i="9"/>
  <c r="O80" i="9"/>
  <c r="M81" i="9"/>
  <c r="N81" i="9"/>
  <c r="O81" i="9"/>
  <c r="M82" i="9"/>
  <c r="N82" i="9"/>
  <c r="O82" i="9"/>
  <c r="M83" i="9"/>
  <c r="N83" i="9"/>
  <c r="O83" i="9"/>
  <c r="M84" i="9"/>
  <c r="N84" i="9"/>
  <c r="O84" i="9"/>
  <c r="M85" i="9"/>
  <c r="N85" i="9"/>
  <c r="O85" i="9"/>
  <c r="M86" i="9"/>
  <c r="N86" i="9"/>
  <c r="O86" i="9"/>
  <c r="M87" i="9"/>
  <c r="N87" i="9"/>
  <c r="O87" i="9"/>
  <c r="M88" i="9"/>
  <c r="N88" i="9"/>
  <c r="O88" i="9"/>
  <c r="M89" i="9"/>
  <c r="N89" i="9"/>
  <c r="O89" i="9"/>
  <c r="M90" i="9"/>
  <c r="N90" i="9"/>
  <c r="O90" i="9"/>
  <c r="M91" i="9"/>
  <c r="N91" i="9"/>
  <c r="O91" i="9"/>
  <c r="M92" i="9"/>
  <c r="N92" i="9"/>
  <c r="O92" i="9"/>
  <c r="M93" i="9"/>
  <c r="N93" i="9"/>
  <c r="O93" i="9"/>
  <c r="M94" i="9"/>
  <c r="N94" i="9"/>
  <c r="O94" i="9"/>
  <c r="M95" i="9"/>
  <c r="N95" i="9"/>
  <c r="O95" i="9"/>
  <c r="M96" i="9"/>
  <c r="N96" i="9"/>
  <c r="O96" i="9"/>
  <c r="M97" i="9"/>
  <c r="N97" i="9"/>
  <c r="O97" i="9"/>
  <c r="M98" i="9"/>
  <c r="N98" i="9"/>
  <c r="O98" i="9"/>
  <c r="M99" i="9"/>
  <c r="N99" i="9"/>
  <c r="O99" i="9"/>
  <c r="M100" i="9"/>
  <c r="N100" i="9"/>
  <c r="O100" i="9"/>
  <c r="M101" i="9"/>
  <c r="N101" i="9"/>
  <c r="O101" i="9"/>
  <c r="M102" i="9"/>
  <c r="N102" i="9"/>
  <c r="O102" i="9"/>
  <c r="M103" i="9"/>
  <c r="N103" i="9"/>
  <c r="O103" i="9"/>
  <c r="M104" i="9"/>
  <c r="N104" i="9"/>
  <c r="O104" i="9"/>
  <c r="M105" i="9"/>
  <c r="N105" i="9"/>
  <c r="O105" i="9"/>
  <c r="K7" i="9"/>
  <c r="I8" i="9"/>
  <c r="J8" i="9"/>
  <c r="K8" i="9"/>
  <c r="I9" i="9"/>
  <c r="J9" i="9"/>
  <c r="K9" i="9"/>
  <c r="I10" i="9"/>
  <c r="J10" i="9"/>
  <c r="K10" i="9"/>
  <c r="I11" i="9"/>
  <c r="J11" i="9"/>
  <c r="K11" i="9"/>
  <c r="I12" i="9"/>
  <c r="J12" i="9"/>
  <c r="K12" i="9"/>
  <c r="I13" i="9"/>
  <c r="J13" i="9"/>
  <c r="K13" i="9"/>
  <c r="I14" i="9"/>
  <c r="J14" i="9"/>
  <c r="K14" i="9"/>
  <c r="I15" i="9"/>
  <c r="J15" i="9"/>
  <c r="K15" i="9"/>
  <c r="I16" i="9"/>
  <c r="J16" i="9"/>
  <c r="K16" i="9"/>
  <c r="I17" i="9"/>
  <c r="J17" i="9"/>
  <c r="K17" i="9"/>
  <c r="I18" i="9"/>
  <c r="J18" i="9"/>
  <c r="K18" i="9"/>
  <c r="I19" i="9"/>
  <c r="J19" i="9"/>
  <c r="K19" i="9"/>
  <c r="I20" i="9"/>
  <c r="J20" i="9"/>
  <c r="K20" i="9"/>
  <c r="I21" i="9"/>
  <c r="J21" i="9"/>
  <c r="K21" i="9"/>
  <c r="I22" i="9"/>
  <c r="J22" i="9"/>
  <c r="K22" i="9"/>
  <c r="I23" i="9"/>
  <c r="J23" i="9"/>
  <c r="K23" i="9"/>
  <c r="I24" i="9"/>
  <c r="J24" i="9"/>
  <c r="K24" i="9"/>
  <c r="I25" i="9"/>
  <c r="J25" i="9"/>
  <c r="K25" i="9"/>
  <c r="I26" i="9"/>
  <c r="J26" i="9"/>
  <c r="K26" i="9"/>
  <c r="I27" i="9"/>
  <c r="J27" i="9"/>
  <c r="K27" i="9"/>
  <c r="I28" i="9"/>
  <c r="J28" i="9"/>
  <c r="K28" i="9"/>
  <c r="I29" i="9"/>
  <c r="J29" i="9"/>
  <c r="K29" i="9"/>
  <c r="I30" i="9"/>
  <c r="J30" i="9"/>
  <c r="K30" i="9"/>
  <c r="I31" i="9"/>
  <c r="J31" i="9"/>
  <c r="K31" i="9"/>
  <c r="I32" i="9"/>
  <c r="J32" i="9"/>
  <c r="K32" i="9"/>
  <c r="I33" i="9"/>
  <c r="J33" i="9"/>
  <c r="K33" i="9"/>
  <c r="I34" i="9"/>
  <c r="J34" i="9"/>
  <c r="K34" i="9"/>
  <c r="I35" i="9"/>
  <c r="J35" i="9"/>
  <c r="K35" i="9"/>
  <c r="I36" i="9"/>
  <c r="J36" i="9"/>
  <c r="K36" i="9"/>
  <c r="I37" i="9"/>
  <c r="J37" i="9"/>
  <c r="K37" i="9"/>
  <c r="I38" i="9"/>
  <c r="J38" i="9"/>
  <c r="K38" i="9"/>
  <c r="I39" i="9"/>
  <c r="J39" i="9"/>
  <c r="K39" i="9"/>
  <c r="I40" i="9"/>
  <c r="J40" i="9"/>
  <c r="K40" i="9"/>
  <c r="I41" i="9"/>
  <c r="J41" i="9"/>
  <c r="K41" i="9"/>
  <c r="I42" i="9"/>
  <c r="J42" i="9"/>
  <c r="K42" i="9"/>
  <c r="I43" i="9"/>
  <c r="J43" i="9"/>
  <c r="K43" i="9"/>
  <c r="I44" i="9"/>
  <c r="J44" i="9"/>
  <c r="K44" i="9"/>
  <c r="I45" i="9"/>
  <c r="J45" i="9"/>
  <c r="K45" i="9"/>
  <c r="I46" i="9"/>
  <c r="J46" i="9"/>
  <c r="K46" i="9"/>
  <c r="I47" i="9"/>
  <c r="J47" i="9"/>
  <c r="K47" i="9"/>
  <c r="I48" i="9"/>
  <c r="J48" i="9"/>
  <c r="K48" i="9"/>
  <c r="I49" i="9"/>
  <c r="J49" i="9"/>
  <c r="K49" i="9"/>
  <c r="I50" i="9"/>
  <c r="J50" i="9"/>
  <c r="K50" i="9"/>
  <c r="I51" i="9"/>
  <c r="J51" i="9"/>
  <c r="K51" i="9"/>
  <c r="I52" i="9"/>
  <c r="J52" i="9"/>
  <c r="K52" i="9"/>
  <c r="I53" i="9"/>
  <c r="J53" i="9"/>
  <c r="K53" i="9"/>
  <c r="I54" i="9"/>
  <c r="J54" i="9"/>
  <c r="K54" i="9"/>
  <c r="I55" i="9"/>
  <c r="J55" i="9"/>
  <c r="K55" i="9"/>
  <c r="I56" i="9"/>
  <c r="J56" i="9"/>
  <c r="K56" i="9"/>
  <c r="I57" i="9"/>
  <c r="J57" i="9"/>
  <c r="K57" i="9"/>
  <c r="I58" i="9"/>
  <c r="J58" i="9"/>
  <c r="K58" i="9"/>
  <c r="I59" i="9"/>
  <c r="J59" i="9"/>
  <c r="K59" i="9"/>
  <c r="I60" i="9"/>
  <c r="J60" i="9"/>
  <c r="K60" i="9"/>
  <c r="I61" i="9"/>
  <c r="J61" i="9"/>
  <c r="K61" i="9"/>
  <c r="I62" i="9"/>
  <c r="J62" i="9"/>
  <c r="K62" i="9"/>
  <c r="I63" i="9"/>
  <c r="J63" i="9"/>
  <c r="K63" i="9"/>
  <c r="I64" i="9"/>
  <c r="J64" i="9"/>
  <c r="K64" i="9"/>
  <c r="I65" i="9"/>
  <c r="J65" i="9"/>
  <c r="K65" i="9"/>
  <c r="I66" i="9"/>
  <c r="J66" i="9"/>
  <c r="K66" i="9"/>
  <c r="I67" i="9"/>
  <c r="J67" i="9"/>
  <c r="K67" i="9"/>
  <c r="I68" i="9"/>
  <c r="J68" i="9"/>
  <c r="K68" i="9"/>
  <c r="I69" i="9"/>
  <c r="J69" i="9"/>
  <c r="K69" i="9"/>
  <c r="I70" i="9"/>
  <c r="J70" i="9"/>
  <c r="K70" i="9"/>
  <c r="I71" i="9"/>
  <c r="J71" i="9"/>
  <c r="K71" i="9"/>
  <c r="I72" i="9"/>
  <c r="J72" i="9"/>
  <c r="K72" i="9"/>
  <c r="I73" i="9"/>
  <c r="J73" i="9"/>
  <c r="K73" i="9"/>
  <c r="I74" i="9"/>
  <c r="J74" i="9"/>
  <c r="K74" i="9"/>
  <c r="I75" i="9"/>
  <c r="J75" i="9"/>
  <c r="K75" i="9"/>
  <c r="I76" i="9"/>
  <c r="J76" i="9"/>
  <c r="K76" i="9"/>
  <c r="I77" i="9"/>
  <c r="J77" i="9"/>
  <c r="K77" i="9"/>
  <c r="I78" i="9"/>
  <c r="J78" i="9"/>
  <c r="K78" i="9"/>
  <c r="I79" i="9"/>
  <c r="J79" i="9"/>
  <c r="K79" i="9"/>
  <c r="I80" i="9"/>
  <c r="J80" i="9"/>
  <c r="K80" i="9"/>
  <c r="I81" i="9"/>
  <c r="J81" i="9"/>
  <c r="K81" i="9"/>
  <c r="I82" i="9"/>
  <c r="J82" i="9"/>
  <c r="K82" i="9"/>
  <c r="I83" i="9"/>
  <c r="J83" i="9"/>
  <c r="K83" i="9"/>
  <c r="I84" i="9"/>
  <c r="J84" i="9"/>
  <c r="K84" i="9"/>
  <c r="I85" i="9"/>
  <c r="J85" i="9"/>
  <c r="K85" i="9"/>
  <c r="I86" i="9"/>
  <c r="J86" i="9"/>
  <c r="K86" i="9"/>
  <c r="I87" i="9"/>
  <c r="J87" i="9"/>
  <c r="K87" i="9"/>
  <c r="I88" i="9"/>
  <c r="J88" i="9"/>
  <c r="K88" i="9"/>
  <c r="I89" i="9"/>
  <c r="J89" i="9"/>
  <c r="K89" i="9"/>
  <c r="I90" i="9"/>
  <c r="J90" i="9"/>
  <c r="K90" i="9"/>
  <c r="I91" i="9"/>
  <c r="J91" i="9"/>
  <c r="K91" i="9"/>
  <c r="I92" i="9"/>
  <c r="J92" i="9"/>
  <c r="K92" i="9"/>
  <c r="I93" i="9"/>
  <c r="J93" i="9"/>
  <c r="K93" i="9"/>
  <c r="I94" i="9"/>
  <c r="J94" i="9"/>
  <c r="K94" i="9"/>
  <c r="I95" i="9"/>
  <c r="J95" i="9"/>
  <c r="K95" i="9"/>
  <c r="I96" i="9"/>
  <c r="J96" i="9"/>
  <c r="K96" i="9"/>
  <c r="I97" i="9"/>
  <c r="J97" i="9"/>
  <c r="K97" i="9"/>
  <c r="I98" i="9"/>
  <c r="J98" i="9"/>
  <c r="K98" i="9"/>
  <c r="I99" i="9"/>
  <c r="J99" i="9"/>
  <c r="K99" i="9"/>
  <c r="I100" i="9"/>
  <c r="J100" i="9"/>
  <c r="K100" i="9"/>
  <c r="I101" i="9"/>
  <c r="J101" i="9"/>
  <c r="K101" i="9"/>
  <c r="I102" i="9"/>
  <c r="J102" i="9"/>
  <c r="K102" i="9"/>
  <c r="I103" i="9"/>
  <c r="J103" i="9"/>
  <c r="K103" i="9"/>
  <c r="I104" i="9"/>
  <c r="J104" i="9"/>
  <c r="K104" i="9"/>
  <c r="I105" i="9"/>
  <c r="J105" i="9"/>
  <c r="K105" i="9"/>
  <c r="G7" i="9"/>
  <c r="E8" i="9"/>
  <c r="F8" i="9"/>
  <c r="G8" i="9"/>
  <c r="E9" i="9"/>
  <c r="F9" i="9"/>
  <c r="G9" i="9"/>
  <c r="E10" i="9"/>
  <c r="F10" i="9"/>
  <c r="G10" i="9"/>
  <c r="E11" i="9"/>
  <c r="F11" i="9"/>
  <c r="G11" i="9"/>
  <c r="E12" i="9"/>
  <c r="F12" i="9"/>
  <c r="G12" i="9"/>
  <c r="E13" i="9"/>
  <c r="F13" i="9"/>
  <c r="G13" i="9"/>
  <c r="E14" i="9"/>
  <c r="F14" i="9"/>
  <c r="G14" i="9"/>
  <c r="E15" i="9"/>
  <c r="F15" i="9"/>
  <c r="G15" i="9"/>
  <c r="E16" i="9"/>
  <c r="F16" i="9"/>
  <c r="G16" i="9"/>
  <c r="E17" i="9"/>
  <c r="F17" i="9"/>
  <c r="G17" i="9"/>
  <c r="E18" i="9"/>
  <c r="F18" i="9"/>
  <c r="G18" i="9"/>
  <c r="E19" i="9"/>
  <c r="F19" i="9"/>
  <c r="G19" i="9"/>
  <c r="E20" i="9"/>
  <c r="F20" i="9"/>
  <c r="G20" i="9"/>
  <c r="E21" i="9"/>
  <c r="F21" i="9"/>
  <c r="G21" i="9"/>
  <c r="E22" i="9"/>
  <c r="F22" i="9"/>
  <c r="G22" i="9"/>
  <c r="E23" i="9"/>
  <c r="F23" i="9"/>
  <c r="G23" i="9"/>
  <c r="E24" i="9"/>
  <c r="F24" i="9"/>
  <c r="G24" i="9"/>
  <c r="E25" i="9"/>
  <c r="F25" i="9"/>
  <c r="G25" i="9"/>
  <c r="E26" i="9"/>
  <c r="F26" i="9"/>
  <c r="G26" i="9"/>
  <c r="E27" i="9"/>
  <c r="F27" i="9"/>
  <c r="G27" i="9"/>
  <c r="E28" i="9"/>
  <c r="F28" i="9"/>
  <c r="G28" i="9"/>
  <c r="E29" i="9"/>
  <c r="F29" i="9"/>
  <c r="G29" i="9"/>
  <c r="E30" i="9"/>
  <c r="F30" i="9"/>
  <c r="G30" i="9"/>
  <c r="E31" i="9"/>
  <c r="F31" i="9"/>
  <c r="G31" i="9"/>
  <c r="E32" i="9"/>
  <c r="F32" i="9"/>
  <c r="G32" i="9"/>
  <c r="E33" i="9"/>
  <c r="F33" i="9"/>
  <c r="G33" i="9"/>
  <c r="E34" i="9"/>
  <c r="F34" i="9"/>
  <c r="G34" i="9"/>
  <c r="E35" i="9"/>
  <c r="F35" i="9"/>
  <c r="G35" i="9"/>
  <c r="E36" i="9"/>
  <c r="F36" i="9"/>
  <c r="G36" i="9"/>
  <c r="E37" i="9"/>
  <c r="F37" i="9"/>
  <c r="G37" i="9"/>
  <c r="E38" i="9"/>
  <c r="F38" i="9"/>
  <c r="G38" i="9"/>
  <c r="E39" i="9"/>
  <c r="F39" i="9"/>
  <c r="G39" i="9"/>
  <c r="E40" i="9"/>
  <c r="F40" i="9"/>
  <c r="G40" i="9"/>
  <c r="E41" i="9"/>
  <c r="F41" i="9"/>
  <c r="G41" i="9"/>
  <c r="E42" i="9"/>
  <c r="F42" i="9"/>
  <c r="G42" i="9"/>
  <c r="E43" i="9"/>
  <c r="F43" i="9"/>
  <c r="G43" i="9"/>
  <c r="E44" i="9"/>
  <c r="F44" i="9"/>
  <c r="G44" i="9"/>
  <c r="E45" i="9"/>
  <c r="F45" i="9"/>
  <c r="G45" i="9"/>
  <c r="E46" i="9"/>
  <c r="F46" i="9"/>
  <c r="G46" i="9"/>
  <c r="E47" i="9"/>
  <c r="F47" i="9"/>
  <c r="G47" i="9"/>
  <c r="E48" i="9"/>
  <c r="F48" i="9"/>
  <c r="G48" i="9"/>
  <c r="E49" i="9"/>
  <c r="F49" i="9"/>
  <c r="G49" i="9"/>
  <c r="E50" i="9"/>
  <c r="F50" i="9"/>
  <c r="G50" i="9"/>
  <c r="E51" i="9"/>
  <c r="F51" i="9"/>
  <c r="G51" i="9"/>
  <c r="E52" i="9"/>
  <c r="F52" i="9"/>
  <c r="G52" i="9"/>
  <c r="E53" i="9"/>
  <c r="F53" i="9"/>
  <c r="G53" i="9"/>
  <c r="E54" i="9"/>
  <c r="F54" i="9"/>
  <c r="G54" i="9"/>
  <c r="E55" i="9"/>
  <c r="F55" i="9"/>
  <c r="G55" i="9"/>
  <c r="E56" i="9"/>
  <c r="F56" i="9"/>
  <c r="G56" i="9"/>
  <c r="E57" i="9"/>
  <c r="F57" i="9"/>
  <c r="G57" i="9"/>
  <c r="E58" i="9"/>
  <c r="F58" i="9"/>
  <c r="G58" i="9"/>
  <c r="E59" i="9"/>
  <c r="F59" i="9"/>
  <c r="G59" i="9"/>
  <c r="E60" i="9"/>
  <c r="F60" i="9"/>
  <c r="G60" i="9"/>
  <c r="E61" i="9"/>
  <c r="F61" i="9"/>
  <c r="G61" i="9"/>
  <c r="E62" i="9"/>
  <c r="F62" i="9"/>
  <c r="G62" i="9"/>
  <c r="E63" i="9"/>
  <c r="F63" i="9"/>
  <c r="G63" i="9"/>
  <c r="E64" i="9"/>
  <c r="F64" i="9"/>
  <c r="G64" i="9"/>
  <c r="E65" i="9"/>
  <c r="F65" i="9"/>
  <c r="G65" i="9"/>
  <c r="E66" i="9"/>
  <c r="F66" i="9"/>
  <c r="G66" i="9"/>
  <c r="E67" i="9"/>
  <c r="F67" i="9"/>
  <c r="G67" i="9"/>
  <c r="E68" i="9"/>
  <c r="F68" i="9"/>
  <c r="G68" i="9"/>
  <c r="E69" i="9"/>
  <c r="F69" i="9"/>
  <c r="G69" i="9"/>
  <c r="E70" i="9"/>
  <c r="F70" i="9"/>
  <c r="G70" i="9"/>
  <c r="E71" i="9"/>
  <c r="F71" i="9"/>
  <c r="G71" i="9"/>
  <c r="E72" i="9"/>
  <c r="F72" i="9"/>
  <c r="G72" i="9"/>
  <c r="E73" i="9"/>
  <c r="F73" i="9"/>
  <c r="G73" i="9"/>
  <c r="E74" i="9"/>
  <c r="F74" i="9"/>
  <c r="G74" i="9"/>
  <c r="E75" i="9"/>
  <c r="F75" i="9"/>
  <c r="G75" i="9"/>
  <c r="E76" i="9"/>
  <c r="F76" i="9"/>
  <c r="G76" i="9"/>
  <c r="E77" i="9"/>
  <c r="F77" i="9"/>
  <c r="G77" i="9"/>
  <c r="E78" i="9"/>
  <c r="F78" i="9"/>
  <c r="G78" i="9"/>
  <c r="E79" i="9"/>
  <c r="F79" i="9"/>
  <c r="G79" i="9"/>
  <c r="E80" i="9"/>
  <c r="F80" i="9"/>
  <c r="G80" i="9"/>
  <c r="E81" i="9"/>
  <c r="F81" i="9"/>
  <c r="G81" i="9"/>
  <c r="E82" i="9"/>
  <c r="F82" i="9"/>
  <c r="G82" i="9"/>
  <c r="E83" i="9"/>
  <c r="F83" i="9"/>
  <c r="G83" i="9"/>
  <c r="E84" i="9"/>
  <c r="F84" i="9"/>
  <c r="G84" i="9"/>
  <c r="E85" i="9"/>
  <c r="F85" i="9"/>
  <c r="G85" i="9"/>
  <c r="E86" i="9"/>
  <c r="F86" i="9"/>
  <c r="G86" i="9"/>
  <c r="E87" i="9"/>
  <c r="F87" i="9"/>
  <c r="G87" i="9"/>
  <c r="E88" i="9"/>
  <c r="F88" i="9"/>
  <c r="G88" i="9"/>
  <c r="E89" i="9"/>
  <c r="F89" i="9"/>
  <c r="G89" i="9"/>
  <c r="E90" i="9"/>
  <c r="F90" i="9"/>
  <c r="G90" i="9"/>
  <c r="E91" i="9"/>
  <c r="F91" i="9"/>
  <c r="G91" i="9"/>
  <c r="E92" i="9"/>
  <c r="F92" i="9"/>
  <c r="G92" i="9"/>
  <c r="E93" i="9"/>
  <c r="F93" i="9"/>
  <c r="G93" i="9"/>
  <c r="E94" i="9"/>
  <c r="F94" i="9"/>
  <c r="G94" i="9"/>
  <c r="E95" i="9"/>
  <c r="F95" i="9"/>
  <c r="G95" i="9"/>
  <c r="E96" i="9"/>
  <c r="F96" i="9"/>
  <c r="G96" i="9"/>
  <c r="E97" i="9"/>
  <c r="F97" i="9"/>
  <c r="G97" i="9"/>
  <c r="E98" i="9"/>
  <c r="F98" i="9"/>
  <c r="G98" i="9"/>
  <c r="E99" i="9"/>
  <c r="F99" i="9"/>
  <c r="G99" i="9"/>
  <c r="E100" i="9"/>
  <c r="F100" i="9"/>
  <c r="G100" i="9"/>
  <c r="E101" i="9"/>
  <c r="F101" i="9"/>
  <c r="G101" i="9"/>
  <c r="E102" i="9"/>
  <c r="F102" i="9"/>
  <c r="G102" i="9"/>
  <c r="E103" i="9"/>
  <c r="F103" i="9"/>
  <c r="G103" i="9"/>
  <c r="E104" i="9"/>
  <c r="F104" i="9"/>
  <c r="G104" i="9"/>
  <c r="E105" i="9"/>
  <c r="F105" i="9"/>
  <c r="G105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AT46" i="9"/>
  <c r="AM8" i="9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BC8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BC23" i="9"/>
  <c r="BC24" i="9"/>
  <c r="BC25" i="9"/>
  <c r="BC26" i="9"/>
  <c r="BC27" i="9"/>
  <c r="BC28" i="9"/>
  <c r="BC29" i="9"/>
  <c r="BC30" i="9"/>
  <c r="BC31" i="9"/>
  <c r="BC32" i="9"/>
  <c r="BC33" i="9"/>
  <c r="BC34" i="9"/>
  <c r="BC35" i="9"/>
  <c r="BC36" i="9"/>
  <c r="BC37" i="9"/>
  <c r="BC38" i="9"/>
  <c r="BC39" i="9"/>
  <c r="BC40" i="9"/>
  <c r="BC41" i="9"/>
  <c r="BC42" i="9"/>
  <c r="BC43" i="9"/>
  <c r="BC44" i="9"/>
  <c r="BC45" i="9"/>
  <c r="BC46" i="9"/>
  <c r="BC47" i="9"/>
  <c r="BC48" i="9"/>
  <c r="BC49" i="9"/>
  <c r="BC50" i="9"/>
  <c r="BC51" i="9"/>
  <c r="BC52" i="9"/>
  <c r="BC53" i="9"/>
  <c r="BC54" i="9"/>
  <c r="BC55" i="9"/>
  <c r="BC56" i="9"/>
  <c r="BC57" i="9"/>
  <c r="BC58" i="9"/>
  <c r="BC59" i="9"/>
  <c r="BC60" i="9"/>
  <c r="BC61" i="9"/>
  <c r="BC62" i="9"/>
  <c r="BC63" i="9"/>
  <c r="BC64" i="9"/>
  <c r="BC65" i="9"/>
  <c r="BC66" i="9"/>
  <c r="BC67" i="9"/>
  <c r="BC68" i="9"/>
  <c r="BC69" i="9"/>
  <c r="BC70" i="9"/>
  <c r="BC71" i="9"/>
  <c r="BC72" i="9"/>
  <c r="BC73" i="9"/>
  <c r="BC74" i="9"/>
  <c r="BC75" i="9"/>
  <c r="BC76" i="9"/>
  <c r="BC77" i="9"/>
  <c r="BC78" i="9"/>
  <c r="BC79" i="9"/>
  <c r="BC80" i="9"/>
  <c r="BC81" i="9"/>
  <c r="BC82" i="9"/>
  <c r="BC83" i="9"/>
  <c r="BC84" i="9"/>
  <c r="BC85" i="9"/>
  <c r="BC86" i="9"/>
  <c r="BC87" i="9"/>
  <c r="BC88" i="9"/>
  <c r="BC89" i="9"/>
  <c r="BC90" i="9"/>
  <c r="BC91" i="9"/>
  <c r="BC92" i="9"/>
  <c r="BC93" i="9"/>
  <c r="BC94" i="9"/>
  <c r="BC95" i="9"/>
  <c r="BC96" i="9"/>
  <c r="BC97" i="9"/>
  <c r="BC98" i="9"/>
  <c r="BC99" i="9"/>
  <c r="BC100" i="9"/>
  <c r="BC101" i="9"/>
  <c r="BC102" i="9"/>
  <c r="BC103" i="9"/>
  <c r="BC104" i="9"/>
  <c r="BC105" i="9"/>
  <c r="AY8" i="9"/>
  <c r="AY9" i="9"/>
  <c r="AY10" i="9"/>
  <c r="AY11" i="9"/>
  <c r="AY12" i="9"/>
  <c r="AY13" i="9"/>
  <c r="AY14" i="9"/>
  <c r="AY15" i="9"/>
  <c r="AY16" i="9"/>
  <c r="AY17" i="9"/>
  <c r="AY18" i="9"/>
  <c r="AY19" i="9"/>
  <c r="AY20" i="9"/>
  <c r="AY21" i="9"/>
  <c r="AY22" i="9"/>
  <c r="AY23" i="9"/>
  <c r="AY24" i="9"/>
  <c r="AY25" i="9"/>
  <c r="AY26" i="9"/>
  <c r="AY27" i="9"/>
  <c r="AY28" i="9"/>
  <c r="AY29" i="9"/>
  <c r="AY30" i="9"/>
  <c r="AY31" i="9"/>
  <c r="AY32" i="9"/>
  <c r="AY33" i="9"/>
  <c r="AY34" i="9"/>
  <c r="AY35" i="9"/>
  <c r="AY36" i="9"/>
  <c r="AY37" i="9"/>
  <c r="AY38" i="9"/>
  <c r="AY39" i="9"/>
  <c r="AY40" i="9"/>
  <c r="AY41" i="9"/>
  <c r="AY42" i="9"/>
  <c r="AY43" i="9"/>
  <c r="AY44" i="9"/>
  <c r="AY45" i="9"/>
  <c r="AY46" i="9"/>
  <c r="AY47" i="9"/>
  <c r="AY48" i="9"/>
  <c r="AY49" i="9"/>
  <c r="AY50" i="9"/>
  <c r="AY51" i="9"/>
  <c r="AY52" i="9"/>
  <c r="AY53" i="9"/>
  <c r="AY54" i="9"/>
  <c r="AY55" i="9"/>
  <c r="AY56" i="9"/>
  <c r="AY57" i="9"/>
  <c r="AY58" i="9"/>
  <c r="AY59" i="9"/>
  <c r="AY60" i="9"/>
  <c r="AY61" i="9"/>
  <c r="AY62" i="9"/>
  <c r="AY63" i="9"/>
  <c r="AY64" i="9"/>
  <c r="AY65" i="9"/>
  <c r="AY66" i="9"/>
  <c r="AY67" i="9"/>
  <c r="AY68" i="9"/>
  <c r="AY69" i="9"/>
  <c r="AY70" i="9"/>
  <c r="AY71" i="9"/>
  <c r="AY72" i="9"/>
  <c r="AY73" i="9"/>
  <c r="AY74" i="9"/>
  <c r="AY75" i="9"/>
  <c r="AY76" i="9"/>
  <c r="AY77" i="9"/>
  <c r="AY78" i="9"/>
  <c r="AY79" i="9"/>
  <c r="AY80" i="9"/>
  <c r="AY81" i="9"/>
  <c r="AY82" i="9"/>
  <c r="AY83" i="9"/>
  <c r="AY84" i="9"/>
  <c r="AY85" i="9"/>
  <c r="AY86" i="9"/>
  <c r="AY87" i="9"/>
  <c r="AY88" i="9"/>
  <c r="AY89" i="9"/>
  <c r="AY90" i="9"/>
  <c r="AY91" i="9"/>
  <c r="AY92" i="9"/>
  <c r="AY93" i="9"/>
  <c r="AY94" i="9"/>
  <c r="AY95" i="9"/>
  <c r="AY96" i="9"/>
  <c r="AY97" i="9"/>
  <c r="AY98" i="9"/>
  <c r="AY99" i="9"/>
  <c r="AY100" i="9"/>
  <c r="AY101" i="9"/>
  <c r="AY102" i="9"/>
  <c r="AY103" i="9"/>
  <c r="AY104" i="9"/>
  <c r="AY105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34" i="9"/>
  <c r="AU35" i="9"/>
  <c r="AU36" i="9"/>
  <c r="AU37" i="9"/>
  <c r="AU38" i="9"/>
  <c r="AU39" i="9"/>
  <c r="AU40" i="9"/>
  <c r="AU41" i="9"/>
  <c r="AU42" i="9"/>
  <c r="AU43" i="9"/>
  <c r="AU44" i="9"/>
  <c r="AU45" i="9"/>
  <c r="AU46" i="9"/>
  <c r="AU47" i="9"/>
  <c r="AU48" i="9"/>
  <c r="AU49" i="9"/>
  <c r="AU50" i="9"/>
  <c r="AU51" i="9"/>
  <c r="AU52" i="9"/>
  <c r="AU53" i="9"/>
  <c r="AU54" i="9"/>
  <c r="AU55" i="9"/>
  <c r="AU56" i="9"/>
  <c r="AU57" i="9"/>
  <c r="AU58" i="9"/>
  <c r="AU59" i="9"/>
  <c r="AU60" i="9"/>
  <c r="AU61" i="9"/>
  <c r="AU62" i="9"/>
  <c r="AU63" i="9"/>
  <c r="AU64" i="9"/>
  <c r="AU65" i="9"/>
  <c r="AU66" i="9"/>
  <c r="AU67" i="9"/>
  <c r="AU68" i="9"/>
  <c r="AU69" i="9"/>
  <c r="AU70" i="9"/>
  <c r="AU71" i="9"/>
  <c r="AU72" i="9"/>
  <c r="AU73" i="9"/>
  <c r="AU74" i="9"/>
  <c r="AU75" i="9"/>
  <c r="AU76" i="9"/>
  <c r="AU77" i="9"/>
  <c r="AU78" i="9"/>
  <c r="AU79" i="9"/>
  <c r="AU80" i="9"/>
  <c r="AU81" i="9"/>
  <c r="AU82" i="9"/>
  <c r="AU83" i="9"/>
  <c r="AU84" i="9"/>
  <c r="AU85" i="9"/>
  <c r="AU86" i="9"/>
  <c r="AU87" i="9"/>
  <c r="AU88" i="9"/>
  <c r="AU89" i="9"/>
  <c r="AU90" i="9"/>
  <c r="AU91" i="9"/>
  <c r="AU92" i="9"/>
  <c r="AU93" i="9"/>
  <c r="AU94" i="9"/>
  <c r="AU95" i="9"/>
  <c r="AU96" i="9"/>
  <c r="AU97" i="9"/>
  <c r="AU98" i="9"/>
  <c r="AU99" i="9"/>
  <c r="AU100" i="9"/>
  <c r="AU101" i="9"/>
  <c r="AU102" i="9"/>
  <c r="AU103" i="9"/>
  <c r="AU104" i="9"/>
  <c r="AU105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5" i="9"/>
  <c r="AQ36" i="9"/>
  <c r="AQ37" i="9"/>
  <c r="AQ38" i="9"/>
  <c r="AQ39" i="9"/>
  <c r="AQ40" i="9"/>
  <c r="AQ41" i="9"/>
  <c r="AQ42" i="9"/>
  <c r="AQ43" i="9"/>
  <c r="AQ44" i="9"/>
  <c r="AQ45" i="9"/>
  <c r="AQ46" i="9"/>
  <c r="AQ47" i="9"/>
  <c r="AQ48" i="9"/>
  <c r="AQ49" i="9"/>
  <c r="AQ50" i="9"/>
  <c r="AQ51" i="9"/>
  <c r="AQ52" i="9"/>
  <c r="AQ53" i="9"/>
  <c r="AQ54" i="9"/>
  <c r="AQ55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0" i="9"/>
  <c r="AQ91" i="9"/>
  <c r="AQ92" i="9"/>
  <c r="AQ93" i="9"/>
  <c r="AQ94" i="9"/>
  <c r="AQ95" i="9"/>
  <c r="AQ96" i="9"/>
  <c r="AQ97" i="9"/>
  <c r="AQ98" i="9"/>
  <c r="AQ99" i="9"/>
  <c r="AQ100" i="9"/>
  <c r="AQ101" i="9"/>
  <c r="AQ102" i="9"/>
  <c r="AQ103" i="9"/>
  <c r="AQ104" i="9"/>
  <c r="AQ105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AM90" i="9"/>
  <c r="AM91" i="9"/>
  <c r="AM92" i="9"/>
  <c r="AM93" i="9"/>
  <c r="AM94" i="9"/>
  <c r="AM95" i="9"/>
  <c r="AM96" i="9"/>
  <c r="AM97" i="9"/>
  <c r="AM98" i="9"/>
  <c r="AM99" i="9"/>
  <c r="AM100" i="9"/>
  <c r="AM101" i="9"/>
  <c r="AM102" i="9"/>
  <c r="AM103" i="9"/>
  <c r="AM104" i="9"/>
  <c r="AM105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C70" i="8"/>
  <c r="BC71" i="8"/>
  <c r="BC72" i="8"/>
  <c r="BC73" i="8"/>
  <c r="BC74" i="8"/>
  <c r="BC75" i="8"/>
  <c r="BC76" i="8"/>
  <c r="BC77" i="8"/>
  <c r="BC78" i="8"/>
  <c r="BC79" i="8"/>
  <c r="BC80" i="8"/>
  <c r="BC81" i="8"/>
  <c r="BC82" i="8"/>
  <c r="BC83" i="8"/>
  <c r="BC84" i="8"/>
  <c r="BC85" i="8"/>
  <c r="BC86" i="8"/>
  <c r="BC87" i="8"/>
  <c r="BC88" i="8"/>
  <c r="BC89" i="8"/>
  <c r="BC90" i="8"/>
  <c r="BC91" i="8"/>
  <c r="BC92" i="8"/>
  <c r="BC93" i="8"/>
  <c r="BC94" i="8"/>
  <c r="BC95" i="8"/>
  <c r="BC96" i="8"/>
  <c r="BC97" i="8"/>
  <c r="BC98" i="8"/>
  <c r="BC99" i="8"/>
  <c r="BC100" i="8"/>
  <c r="BC101" i="8"/>
  <c r="BC102" i="8"/>
  <c r="BC103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96" i="8"/>
  <c r="AQ97" i="8"/>
  <c r="AQ98" i="8"/>
  <c r="AQ99" i="8"/>
  <c r="AQ100" i="8"/>
  <c r="AQ101" i="8"/>
  <c r="AQ102" i="8"/>
  <c r="AQ103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78" i="8"/>
  <c r="AM79" i="8"/>
  <c r="AM80" i="8"/>
  <c r="AM81" i="8"/>
  <c r="AM82" i="8"/>
  <c r="AM83" i="8"/>
  <c r="AM84" i="8"/>
  <c r="AM85" i="8"/>
  <c r="AM86" i="8"/>
  <c r="AM87" i="8"/>
  <c r="AM88" i="8"/>
  <c r="AM89" i="8"/>
  <c r="AM90" i="8"/>
  <c r="AM91" i="8"/>
  <c r="AM92" i="8"/>
  <c r="AM93" i="8"/>
  <c r="AM94" i="8"/>
  <c r="AM95" i="8"/>
  <c r="AM96" i="8"/>
  <c r="AM97" i="8"/>
  <c r="AM98" i="8"/>
  <c r="AM99" i="8"/>
  <c r="AM100" i="8"/>
  <c r="AM101" i="8"/>
  <c r="AM102" i="8"/>
  <c r="AM103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5" i="7"/>
  <c r="M2" i="7"/>
  <c r="N2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5" i="7"/>
  <c r="L804" i="7"/>
  <c r="B404" i="7"/>
  <c r="B504" i="7"/>
  <c r="B604" i="7"/>
  <c r="B704" i="7"/>
  <c r="B804" i="7"/>
  <c r="L803" i="7"/>
  <c r="B403" i="7"/>
  <c r="B503" i="7"/>
  <c r="B603" i="7"/>
  <c r="B703" i="7"/>
  <c r="B803" i="7"/>
  <c r="L802" i="7"/>
  <c r="B402" i="7"/>
  <c r="B502" i="7"/>
  <c r="B602" i="7"/>
  <c r="B702" i="7"/>
  <c r="B802" i="7"/>
  <c r="L801" i="7"/>
  <c r="B401" i="7"/>
  <c r="B501" i="7"/>
  <c r="B601" i="7"/>
  <c r="B701" i="7"/>
  <c r="B801" i="7"/>
  <c r="L800" i="7"/>
  <c r="B400" i="7"/>
  <c r="B500" i="7"/>
  <c r="B600" i="7"/>
  <c r="B700" i="7"/>
  <c r="B800" i="7"/>
  <c r="L799" i="7"/>
  <c r="B399" i="7"/>
  <c r="B499" i="7"/>
  <c r="B599" i="7"/>
  <c r="B699" i="7"/>
  <c r="B799" i="7"/>
  <c r="L798" i="7"/>
  <c r="B398" i="7"/>
  <c r="B498" i="7"/>
  <c r="B598" i="7"/>
  <c r="B698" i="7"/>
  <c r="B798" i="7"/>
  <c r="L797" i="7"/>
  <c r="B397" i="7"/>
  <c r="B497" i="7"/>
  <c r="B597" i="7"/>
  <c r="B697" i="7"/>
  <c r="B797" i="7"/>
  <c r="L796" i="7"/>
  <c r="B396" i="7"/>
  <c r="B496" i="7"/>
  <c r="B596" i="7"/>
  <c r="B696" i="7"/>
  <c r="B796" i="7"/>
  <c r="L795" i="7"/>
  <c r="B395" i="7"/>
  <c r="B495" i="7"/>
  <c r="B595" i="7"/>
  <c r="B695" i="7"/>
  <c r="B795" i="7"/>
  <c r="L794" i="7"/>
  <c r="B394" i="7"/>
  <c r="B494" i="7"/>
  <c r="B594" i="7"/>
  <c r="B694" i="7"/>
  <c r="B794" i="7"/>
  <c r="L793" i="7"/>
  <c r="B393" i="7"/>
  <c r="B493" i="7"/>
  <c r="B593" i="7"/>
  <c r="B693" i="7"/>
  <c r="B793" i="7"/>
  <c r="L792" i="7"/>
  <c r="B392" i="7"/>
  <c r="B492" i="7"/>
  <c r="B592" i="7"/>
  <c r="B692" i="7"/>
  <c r="B792" i="7"/>
  <c r="L791" i="7"/>
  <c r="B391" i="7"/>
  <c r="B491" i="7"/>
  <c r="B591" i="7"/>
  <c r="B691" i="7"/>
  <c r="B791" i="7"/>
  <c r="L790" i="7"/>
  <c r="B390" i="7"/>
  <c r="B490" i="7"/>
  <c r="B590" i="7"/>
  <c r="B690" i="7"/>
  <c r="B790" i="7"/>
  <c r="L789" i="7"/>
  <c r="B389" i="7"/>
  <c r="B489" i="7"/>
  <c r="B589" i="7"/>
  <c r="B689" i="7"/>
  <c r="B789" i="7"/>
  <c r="L788" i="7"/>
  <c r="B388" i="7"/>
  <c r="B488" i="7"/>
  <c r="B588" i="7"/>
  <c r="B688" i="7"/>
  <c r="B788" i="7"/>
  <c r="L787" i="7"/>
  <c r="B387" i="7"/>
  <c r="B487" i="7"/>
  <c r="B587" i="7"/>
  <c r="B687" i="7"/>
  <c r="B787" i="7"/>
  <c r="L786" i="7"/>
  <c r="B386" i="7"/>
  <c r="B486" i="7"/>
  <c r="B586" i="7"/>
  <c r="B686" i="7"/>
  <c r="B786" i="7"/>
  <c r="L785" i="7"/>
  <c r="B385" i="7"/>
  <c r="B485" i="7"/>
  <c r="B585" i="7"/>
  <c r="B685" i="7"/>
  <c r="B785" i="7"/>
  <c r="L784" i="7"/>
  <c r="B384" i="7"/>
  <c r="B484" i="7"/>
  <c r="B584" i="7"/>
  <c r="B684" i="7"/>
  <c r="B784" i="7"/>
  <c r="L783" i="7"/>
  <c r="B383" i="7"/>
  <c r="B483" i="7"/>
  <c r="B583" i="7"/>
  <c r="B683" i="7"/>
  <c r="B783" i="7"/>
  <c r="L782" i="7"/>
  <c r="B382" i="7"/>
  <c r="B482" i="7"/>
  <c r="B582" i="7"/>
  <c r="B682" i="7"/>
  <c r="B782" i="7"/>
  <c r="L781" i="7"/>
  <c r="B381" i="7"/>
  <c r="B481" i="7"/>
  <c r="B581" i="7"/>
  <c r="B681" i="7"/>
  <c r="B781" i="7"/>
  <c r="L780" i="7"/>
  <c r="B380" i="7"/>
  <c r="B480" i="7"/>
  <c r="B580" i="7"/>
  <c r="B680" i="7"/>
  <c r="B780" i="7"/>
  <c r="L779" i="7"/>
  <c r="B379" i="7"/>
  <c r="B479" i="7"/>
  <c r="B579" i="7"/>
  <c r="B679" i="7"/>
  <c r="B779" i="7"/>
  <c r="L778" i="7"/>
  <c r="B378" i="7"/>
  <c r="B478" i="7"/>
  <c r="B578" i="7"/>
  <c r="B678" i="7"/>
  <c r="B778" i="7"/>
  <c r="L777" i="7"/>
  <c r="B377" i="7"/>
  <c r="B477" i="7"/>
  <c r="B577" i="7"/>
  <c r="B677" i="7"/>
  <c r="B777" i="7"/>
  <c r="L776" i="7"/>
  <c r="B376" i="7"/>
  <c r="B476" i="7"/>
  <c r="B576" i="7"/>
  <c r="B676" i="7"/>
  <c r="B776" i="7"/>
  <c r="L775" i="7"/>
  <c r="B375" i="7"/>
  <c r="B475" i="7"/>
  <c r="B575" i="7"/>
  <c r="B675" i="7"/>
  <c r="B775" i="7"/>
  <c r="L774" i="7"/>
  <c r="B374" i="7"/>
  <c r="B474" i="7"/>
  <c r="B574" i="7"/>
  <c r="B674" i="7"/>
  <c r="B774" i="7"/>
  <c r="L773" i="7"/>
  <c r="B373" i="7"/>
  <c r="B473" i="7"/>
  <c r="B573" i="7"/>
  <c r="B673" i="7"/>
  <c r="B773" i="7"/>
  <c r="L772" i="7"/>
  <c r="B372" i="7"/>
  <c r="B472" i="7"/>
  <c r="B572" i="7"/>
  <c r="B672" i="7"/>
  <c r="B772" i="7"/>
  <c r="L771" i="7"/>
  <c r="B371" i="7"/>
  <c r="B471" i="7"/>
  <c r="B571" i="7"/>
  <c r="B671" i="7"/>
  <c r="B771" i="7"/>
  <c r="L770" i="7"/>
  <c r="B370" i="7"/>
  <c r="B470" i="7"/>
  <c r="B570" i="7"/>
  <c r="B670" i="7"/>
  <c r="B770" i="7"/>
  <c r="L769" i="7"/>
  <c r="B369" i="7"/>
  <c r="B469" i="7"/>
  <c r="B569" i="7"/>
  <c r="B669" i="7"/>
  <c r="B769" i="7"/>
  <c r="L768" i="7"/>
  <c r="B368" i="7"/>
  <c r="B468" i="7"/>
  <c r="B568" i="7"/>
  <c r="B668" i="7"/>
  <c r="B768" i="7"/>
  <c r="L767" i="7"/>
  <c r="B367" i="7"/>
  <c r="B467" i="7"/>
  <c r="B567" i="7"/>
  <c r="B667" i="7"/>
  <c r="B767" i="7"/>
  <c r="L766" i="7"/>
  <c r="B366" i="7"/>
  <c r="B466" i="7"/>
  <c r="B566" i="7"/>
  <c r="B666" i="7"/>
  <c r="B766" i="7"/>
  <c r="L765" i="7"/>
  <c r="B365" i="7"/>
  <c r="B465" i="7"/>
  <c r="B565" i="7"/>
  <c r="B665" i="7"/>
  <c r="B765" i="7"/>
  <c r="L764" i="7"/>
  <c r="B364" i="7"/>
  <c r="B464" i="7"/>
  <c r="B564" i="7"/>
  <c r="B664" i="7"/>
  <c r="B764" i="7"/>
  <c r="L763" i="7"/>
  <c r="B363" i="7"/>
  <c r="B463" i="7"/>
  <c r="B563" i="7"/>
  <c r="B663" i="7"/>
  <c r="B763" i="7"/>
  <c r="L762" i="7"/>
  <c r="B362" i="7"/>
  <c r="B462" i="7"/>
  <c r="B562" i="7"/>
  <c r="B662" i="7"/>
  <c r="B762" i="7"/>
  <c r="L761" i="7"/>
  <c r="B361" i="7"/>
  <c r="B461" i="7"/>
  <c r="B561" i="7"/>
  <c r="B661" i="7"/>
  <c r="B761" i="7"/>
  <c r="L760" i="7"/>
  <c r="B360" i="7"/>
  <c r="B460" i="7"/>
  <c r="B560" i="7"/>
  <c r="B660" i="7"/>
  <c r="B760" i="7"/>
  <c r="L759" i="7"/>
  <c r="B359" i="7"/>
  <c r="B459" i="7"/>
  <c r="B559" i="7"/>
  <c r="B659" i="7"/>
  <c r="B759" i="7"/>
  <c r="L758" i="7"/>
  <c r="B358" i="7"/>
  <c r="B458" i="7"/>
  <c r="B558" i="7"/>
  <c r="B658" i="7"/>
  <c r="B758" i="7"/>
  <c r="L757" i="7"/>
  <c r="B357" i="7"/>
  <c r="B457" i="7"/>
  <c r="B557" i="7"/>
  <c r="B657" i="7"/>
  <c r="B757" i="7"/>
  <c r="L756" i="7"/>
  <c r="B356" i="7"/>
  <c r="B456" i="7"/>
  <c r="B556" i="7"/>
  <c r="B656" i="7"/>
  <c r="B756" i="7"/>
  <c r="L755" i="7"/>
  <c r="B355" i="7"/>
  <c r="B455" i="7"/>
  <c r="B555" i="7"/>
  <c r="B655" i="7"/>
  <c r="B755" i="7"/>
  <c r="L754" i="7"/>
  <c r="B354" i="7"/>
  <c r="B454" i="7"/>
  <c r="B554" i="7"/>
  <c r="B654" i="7"/>
  <c r="B754" i="7"/>
  <c r="L753" i="7"/>
  <c r="B353" i="7"/>
  <c r="B453" i="7"/>
  <c r="B553" i="7"/>
  <c r="B653" i="7"/>
  <c r="B753" i="7"/>
  <c r="L752" i="7"/>
  <c r="B352" i="7"/>
  <c r="B452" i="7"/>
  <c r="B552" i="7"/>
  <c r="B652" i="7"/>
  <c r="B752" i="7"/>
  <c r="L751" i="7"/>
  <c r="B351" i="7"/>
  <c r="B451" i="7"/>
  <c r="B551" i="7"/>
  <c r="B651" i="7"/>
  <c r="B751" i="7"/>
  <c r="L750" i="7"/>
  <c r="B350" i="7"/>
  <c r="B450" i="7"/>
  <c r="B550" i="7"/>
  <c r="B650" i="7"/>
  <c r="B750" i="7"/>
  <c r="L749" i="7"/>
  <c r="B349" i="7"/>
  <c r="B449" i="7"/>
  <c r="B549" i="7"/>
  <c r="B649" i="7"/>
  <c r="B749" i="7"/>
  <c r="L748" i="7"/>
  <c r="B348" i="7"/>
  <c r="B448" i="7"/>
  <c r="B548" i="7"/>
  <c r="B648" i="7"/>
  <c r="B748" i="7"/>
  <c r="L747" i="7"/>
  <c r="B347" i="7"/>
  <c r="B447" i="7"/>
  <c r="B547" i="7"/>
  <c r="B647" i="7"/>
  <c r="B747" i="7"/>
  <c r="L746" i="7"/>
  <c r="B346" i="7"/>
  <c r="B446" i="7"/>
  <c r="B546" i="7"/>
  <c r="B646" i="7"/>
  <c r="B746" i="7"/>
  <c r="L745" i="7"/>
  <c r="B345" i="7"/>
  <c r="B445" i="7"/>
  <c r="B545" i="7"/>
  <c r="B645" i="7"/>
  <c r="B745" i="7"/>
  <c r="L744" i="7"/>
  <c r="B344" i="7"/>
  <c r="B444" i="7"/>
  <c r="B544" i="7"/>
  <c r="B644" i="7"/>
  <c r="B744" i="7"/>
  <c r="L743" i="7"/>
  <c r="B343" i="7"/>
  <c r="B443" i="7"/>
  <c r="B543" i="7"/>
  <c r="B643" i="7"/>
  <c r="B743" i="7"/>
  <c r="L742" i="7"/>
  <c r="B342" i="7"/>
  <c r="B442" i="7"/>
  <c r="B542" i="7"/>
  <c r="B642" i="7"/>
  <c r="B742" i="7"/>
  <c r="L741" i="7"/>
  <c r="B341" i="7"/>
  <c r="B441" i="7"/>
  <c r="B541" i="7"/>
  <c r="B641" i="7"/>
  <c r="B741" i="7"/>
  <c r="L740" i="7"/>
  <c r="B340" i="7"/>
  <c r="B440" i="7"/>
  <c r="B540" i="7"/>
  <c r="B640" i="7"/>
  <c r="B740" i="7"/>
  <c r="L739" i="7"/>
  <c r="B339" i="7"/>
  <c r="B439" i="7"/>
  <c r="B539" i="7"/>
  <c r="B639" i="7"/>
  <c r="B739" i="7"/>
  <c r="L738" i="7"/>
  <c r="B338" i="7"/>
  <c r="B438" i="7"/>
  <c r="B538" i="7"/>
  <c r="B638" i="7"/>
  <c r="B738" i="7"/>
  <c r="L737" i="7"/>
  <c r="B337" i="7"/>
  <c r="B437" i="7"/>
  <c r="B537" i="7"/>
  <c r="B637" i="7"/>
  <c r="B737" i="7"/>
  <c r="L736" i="7"/>
  <c r="B336" i="7"/>
  <c r="B436" i="7"/>
  <c r="B536" i="7"/>
  <c r="B636" i="7"/>
  <c r="B736" i="7"/>
  <c r="L735" i="7"/>
  <c r="B335" i="7"/>
  <c r="B435" i="7"/>
  <c r="B535" i="7"/>
  <c r="B635" i="7"/>
  <c r="B735" i="7"/>
  <c r="L734" i="7"/>
  <c r="B334" i="7"/>
  <c r="B434" i="7"/>
  <c r="B534" i="7"/>
  <c r="B634" i="7"/>
  <c r="B734" i="7"/>
  <c r="L733" i="7"/>
  <c r="B333" i="7"/>
  <c r="B433" i="7"/>
  <c r="B533" i="7"/>
  <c r="B633" i="7"/>
  <c r="B733" i="7"/>
  <c r="L732" i="7"/>
  <c r="B332" i="7"/>
  <c r="B432" i="7"/>
  <c r="B532" i="7"/>
  <c r="B632" i="7"/>
  <c r="B732" i="7"/>
  <c r="L731" i="7"/>
  <c r="B331" i="7"/>
  <c r="B431" i="7"/>
  <c r="B531" i="7"/>
  <c r="B631" i="7"/>
  <c r="B731" i="7"/>
  <c r="L730" i="7"/>
  <c r="B330" i="7"/>
  <c r="B430" i="7"/>
  <c r="B530" i="7"/>
  <c r="B630" i="7"/>
  <c r="B730" i="7"/>
  <c r="L729" i="7"/>
  <c r="B329" i="7"/>
  <c r="B429" i="7"/>
  <c r="B529" i="7"/>
  <c r="B629" i="7"/>
  <c r="B729" i="7"/>
  <c r="L728" i="7"/>
  <c r="B328" i="7"/>
  <c r="B428" i="7"/>
  <c r="B528" i="7"/>
  <c r="B628" i="7"/>
  <c r="B728" i="7"/>
  <c r="L727" i="7"/>
  <c r="B327" i="7"/>
  <c r="B427" i="7"/>
  <c r="B527" i="7"/>
  <c r="B627" i="7"/>
  <c r="B727" i="7"/>
  <c r="L726" i="7"/>
  <c r="B326" i="7"/>
  <c r="B426" i="7"/>
  <c r="B526" i="7"/>
  <c r="B626" i="7"/>
  <c r="B726" i="7"/>
  <c r="L725" i="7"/>
  <c r="B325" i="7"/>
  <c r="B425" i="7"/>
  <c r="B525" i="7"/>
  <c r="B625" i="7"/>
  <c r="B725" i="7"/>
  <c r="L724" i="7"/>
  <c r="B324" i="7"/>
  <c r="B424" i="7"/>
  <c r="B524" i="7"/>
  <c r="B624" i="7"/>
  <c r="B724" i="7"/>
  <c r="L723" i="7"/>
  <c r="B323" i="7"/>
  <c r="B423" i="7"/>
  <c r="B523" i="7"/>
  <c r="B623" i="7"/>
  <c r="B723" i="7"/>
  <c r="L722" i="7"/>
  <c r="B322" i="7"/>
  <c r="B422" i="7"/>
  <c r="B522" i="7"/>
  <c r="B622" i="7"/>
  <c r="B722" i="7"/>
  <c r="L721" i="7"/>
  <c r="B321" i="7"/>
  <c r="B421" i="7"/>
  <c r="B521" i="7"/>
  <c r="B621" i="7"/>
  <c r="B721" i="7"/>
  <c r="L720" i="7"/>
  <c r="B320" i="7"/>
  <c r="B420" i="7"/>
  <c r="B520" i="7"/>
  <c r="B620" i="7"/>
  <c r="B720" i="7"/>
  <c r="L719" i="7"/>
  <c r="B319" i="7"/>
  <c r="B419" i="7"/>
  <c r="B519" i="7"/>
  <c r="B619" i="7"/>
  <c r="B719" i="7"/>
  <c r="L718" i="7"/>
  <c r="B318" i="7"/>
  <c r="B418" i="7"/>
  <c r="B518" i="7"/>
  <c r="B618" i="7"/>
  <c r="B718" i="7"/>
  <c r="L717" i="7"/>
  <c r="B317" i="7"/>
  <c r="B417" i="7"/>
  <c r="B517" i="7"/>
  <c r="B617" i="7"/>
  <c r="B717" i="7"/>
  <c r="L716" i="7"/>
  <c r="B316" i="7"/>
  <c r="B416" i="7"/>
  <c r="B516" i="7"/>
  <c r="B616" i="7"/>
  <c r="B716" i="7"/>
  <c r="L715" i="7"/>
  <c r="B315" i="7"/>
  <c r="B415" i="7"/>
  <c r="B515" i="7"/>
  <c r="B615" i="7"/>
  <c r="B715" i="7"/>
  <c r="L714" i="7"/>
  <c r="B314" i="7"/>
  <c r="B414" i="7"/>
  <c r="B514" i="7"/>
  <c r="B614" i="7"/>
  <c r="B714" i="7"/>
  <c r="L713" i="7"/>
  <c r="B313" i="7"/>
  <c r="B413" i="7"/>
  <c r="B513" i="7"/>
  <c r="B613" i="7"/>
  <c r="B713" i="7"/>
  <c r="L712" i="7"/>
  <c r="B312" i="7"/>
  <c r="B412" i="7"/>
  <c r="B512" i="7"/>
  <c r="B612" i="7"/>
  <c r="B712" i="7"/>
  <c r="L711" i="7"/>
  <c r="B311" i="7"/>
  <c r="B411" i="7"/>
  <c r="B511" i="7"/>
  <c r="B611" i="7"/>
  <c r="B711" i="7"/>
  <c r="L710" i="7"/>
  <c r="B310" i="7"/>
  <c r="B410" i="7"/>
  <c r="B510" i="7"/>
  <c r="B610" i="7"/>
  <c r="B710" i="7"/>
  <c r="L709" i="7"/>
  <c r="B309" i="7"/>
  <c r="B409" i="7"/>
  <c r="B509" i="7"/>
  <c r="B609" i="7"/>
  <c r="B709" i="7"/>
  <c r="L708" i="7"/>
  <c r="B308" i="7"/>
  <c r="B408" i="7"/>
  <c r="B508" i="7"/>
  <c r="B608" i="7"/>
  <c r="B708" i="7"/>
  <c r="L707" i="7"/>
  <c r="B307" i="7"/>
  <c r="B407" i="7"/>
  <c r="B507" i="7"/>
  <c r="B607" i="7"/>
  <c r="B707" i="7"/>
  <c r="L706" i="7"/>
  <c r="B306" i="7"/>
  <c r="B406" i="7"/>
  <c r="B506" i="7"/>
  <c r="B606" i="7"/>
  <c r="B706" i="7"/>
  <c r="L705" i="7"/>
  <c r="B305" i="7"/>
  <c r="B405" i="7"/>
  <c r="B505" i="7"/>
  <c r="B605" i="7"/>
  <c r="B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G41" i="4"/>
  <c r="G42" i="4"/>
  <c r="G43" i="4"/>
  <c r="G44" i="4"/>
  <c r="B19" i="4"/>
  <c r="B24" i="4"/>
  <c r="B29" i="4"/>
  <c r="B34" i="4"/>
  <c r="B39" i="4"/>
  <c r="B44" i="4"/>
  <c r="B18" i="4"/>
  <c r="B23" i="4"/>
  <c r="B28" i="4"/>
  <c r="B33" i="4"/>
  <c r="B38" i="4"/>
  <c r="B43" i="4"/>
  <c r="B17" i="4"/>
  <c r="B22" i="4"/>
  <c r="B27" i="4"/>
  <c r="B32" i="4"/>
  <c r="B37" i="4"/>
  <c r="B42" i="4"/>
  <c r="B16" i="4"/>
  <c r="B21" i="4"/>
  <c r="B26" i="4"/>
  <c r="B31" i="4"/>
  <c r="B36" i="4"/>
  <c r="B41" i="4"/>
  <c r="B15" i="4"/>
  <c r="B20" i="4"/>
  <c r="B25" i="4"/>
  <c r="B30" i="4"/>
  <c r="B35" i="4"/>
  <c r="B40" i="4"/>
  <c r="G7" i="4"/>
  <c r="C407" i="3"/>
  <c r="C507" i="3"/>
  <c r="C607" i="3"/>
  <c r="C707" i="3"/>
  <c r="C807" i="3"/>
  <c r="C406" i="3"/>
  <c r="C506" i="3"/>
  <c r="C606" i="3"/>
  <c r="C706" i="3"/>
  <c r="C806" i="3"/>
  <c r="C405" i="3"/>
  <c r="C505" i="3"/>
  <c r="C605" i="3"/>
  <c r="C705" i="3"/>
  <c r="C805" i="3"/>
  <c r="C404" i="3"/>
  <c r="C504" i="3"/>
  <c r="C604" i="3"/>
  <c r="C704" i="3"/>
  <c r="C804" i="3"/>
  <c r="C403" i="3"/>
  <c r="C503" i="3"/>
  <c r="C603" i="3"/>
  <c r="C703" i="3"/>
  <c r="C803" i="3"/>
  <c r="C402" i="3"/>
  <c r="C502" i="3"/>
  <c r="C602" i="3"/>
  <c r="C702" i="3"/>
  <c r="C802" i="3"/>
  <c r="C401" i="3"/>
  <c r="C501" i="3"/>
  <c r="C601" i="3"/>
  <c r="C701" i="3"/>
  <c r="C801" i="3"/>
  <c r="C400" i="3"/>
  <c r="C500" i="3"/>
  <c r="C600" i="3"/>
  <c r="C700" i="3"/>
  <c r="C800" i="3"/>
  <c r="C399" i="3"/>
  <c r="C499" i="3"/>
  <c r="C599" i="3"/>
  <c r="C699" i="3"/>
  <c r="C799" i="3"/>
  <c r="C398" i="3"/>
  <c r="C498" i="3"/>
  <c r="C598" i="3"/>
  <c r="C698" i="3"/>
  <c r="C798" i="3"/>
  <c r="C397" i="3"/>
  <c r="C497" i="3"/>
  <c r="C597" i="3"/>
  <c r="C697" i="3"/>
  <c r="C797" i="3"/>
  <c r="C396" i="3"/>
  <c r="C496" i="3"/>
  <c r="C596" i="3"/>
  <c r="C696" i="3"/>
  <c r="C796" i="3"/>
  <c r="C395" i="3"/>
  <c r="C495" i="3"/>
  <c r="C595" i="3"/>
  <c r="C695" i="3"/>
  <c r="C795" i="3"/>
  <c r="C394" i="3"/>
  <c r="C494" i="3"/>
  <c r="C594" i="3"/>
  <c r="C694" i="3"/>
  <c r="C794" i="3"/>
  <c r="C393" i="3"/>
  <c r="C493" i="3"/>
  <c r="C593" i="3"/>
  <c r="C693" i="3"/>
  <c r="C793" i="3"/>
  <c r="C392" i="3"/>
  <c r="C492" i="3"/>
  <c r="C592" i="3"/>
  <c r="C692" i="3"/>
  <c r="C792" i="3"/>
  <c r="C391" i="3"/>
  <c r="C491" i="3"/>
  <c r="C591" i="3"/>
  <c r="C691" i="3"/>
  <c r="C791" i="3"/>
  <c r="C390" i="3"/>
  <c r="C490" i="3"/>
  <c r="C590" i="3"/>
  <c r="C690" i="3"/>
  <c r="C790" i="3"/>
  <c r="C389" i="3"/>
  <c r="C489" i="3"/>
  <c r="C589" i="3"/>
  <c r="C689" i="3"/>
  <c r="C789" i="3"/>
  <c r="C388" i="3"/>
  <c r="C488" i="3"/>
  <c r="C588" i="3"/>
  <c r="C688" i="3"/>
  <c r="C788" i="3"/>
  <c r="C387" i="3"/>
  <c r="C487" i="3"/>
  <c r="C587" i="3"/>
  <c r="C687" i="3"/>
  <c r="C787" i="3"/>
  <c r="C386" i="3"/>
  <c r="C486" i="3"/>
  <c r="C586" i="3"/>
  <c r="C686" i="3"/>
  <c r="C786" i="3"/>
  <c r="C385" i="3"/>
  <c r="C485" i="3"/>
  <c r="C585" i="3"/>
  <c r="C685" i="3"/>
  <c r="C785" i="3"/>
  <c r="C384" i="3"/>
  <c r="C484" i="3"/>
  <c r="C584" i="3"/>
  <c r="C684" i="3"/>
  <c r="C784" i="3"/>
  <c r="C383" i="3"/>
  <c r="C483" i="3"/>
  <c r="C583" i="3"/>
  <c r="C683" i="3"/>
  <c r="C783" i="3"/>
  <c r="C382" i="3"/>
  <c r="C482" i="3"/>
  <c r="C582" i="3"/>
  <c r="C682" i="3"/>
  <c r="C782" i="3"/>
  <c r="C381" i="3"/>
  <c r="C481" i="3"/>
  <c r="C581" i="3"/>
  <c r="C681" i="3"/>
  <c r="C781" i="3"/>
  <c r="C380" i="3"/>
  <c r="C480" i="3"/>
  <c r="C580" i="3"/>
  <c r="C680" i="3"/>
  <c r="C780" i="3"/>
  <c r="C379" i="3"/>
  <c r="C479" i="3"/>
  <c r="C579" i="3"/>
  <c r="C679" i="3"/>
  <c r="C779" i="3"/>
  <c r="C378" i="3"/>
  <c r="C478" i="3"/>
  <c r="C578" i="3"/>
  <c r="C678" i="3"/>
  <c r="C778" i="3"/>
  <c r="C377" i="3"/>
  <c r="C477" i="3"/>
  <c r="C577" i="3"/>
  <c r="C677" i="3"/>
  <c r="C777" i="3"/>
  <c r="C376" i="3"/>
  <c r="C476" i="3"/>
  <c r="C576" i="3"/>
  <c r="C676" i="3"/>
  <c r="C776" i="3"/>
  <c r="C375" i="3"/>
  <c r="C475" i="3"/>
  <c r="C575" i="3"/>
  <c r="C675" i="3"/>
  <c r="C775" i="3"/>
  <c r="C374" i="3"/>
  <c r="C474" i="3"/>
  <c r="C574" i="3"/>
  <c r="C674" i="3"/>
  <c r="C774" i="3"/>
  <c r="C373" i="3"/>
  <c r="C473" i="3"/>
  <c r="C573" i="3"/>
  <c r="C673" i="3"/>
  <c r="C773" i="3"/>
  <c r="C372" i="3"/>
  <c r="C472" i="3"/>
  <c r="C572" i="3"/>
  <c r="C672" i="3"/>
  <c r="C772" i="3"/>
  <c r="C371" i="3"/>
  <c r="C471" i="3"/>
  <c r="C571" i="3"/>
  <c r="C671" i="3"/>
  <c r="C771" i="3"/>
  <c r="C370" i="3"/>
  <c r="C470" i="3"/>
  <c r="C570" i="3"/>
  <c r="C670" i="3"/>
  <c r="C770" i="3"/>
  <c r="C369" i="3"/>
  <c r="C469" i="3"/>
  <c r="C569" i="3"/>
  <c r="C669" i="3"/>
  <c r="C769" i="3"/>
  <c r="C368" i="3"/>
  <c r="C468" i="3"/>
  <c r="C568" i="3"/>
  <c r="C668" i="3"/>
  <c r="C768" i="3"/>
  <c r="C367" i="3"/>
  <c r="C467" i="3"/>
  <c r="C567" i="3"/>
  <c r="C667" i="3"/>
  <c r="C767" i="3"/>
  <c r="C366" i="3"/>
  <c r="C466" i="3"/>
  <c r="C566" i="3"/>
  <c r="C666" i="3"/>
  <c r="C766" i="3"/>
  <c r="C365" i="3"/>
  <c r="C465" i="3"/>
  <c r="C565" i="3"/>
  <c r="C665" i="3"/>
  <c r="C765" i="3"/>
  <c r="C364" i="3"/>
  <c r="C464" i="3"/>
  <c r="C564" i="3"/>
  <c r="C664" i="3"/>
  <c r="C764" i="3"/>
  <c r="C363" i="3"/>
  <c r="C463" i="3"/>
  <c r="C563" i="3"/>
  <c r="C663" i="3"/>
  <c r="C763" i="3"/>
  <c r="C362" i="3"/>
  <c r="C462" i="3"/>
  <c r="C562" i="3"/>
  <c r="C662" i="3"/>
  <c r="C762" i="3"/>
  <c r="C361" i="3"/>
  <c r="C461" i="3"/>
  <c r="C561" i="3"/>
  <c r="C661" i="3"/>
  <c r="C761" i="3"/>
  <c r="C360" i="3"/>
  <c r="C460" i="3"/>
  <c r="C560" i="3"/>
  <c r="C660" i="3"/>
  <c r="C760" i="3"/>
  <c r="C359" i="3"/>
  <c r="C459" i="3"/>
  <c r="C559" i="3"/>
  <c r="C659" i="3"/>
  <c r="C759" i="3"/>
  <c r="C358" i="3"/>
  <c r="C458" i="3"/>
  <c r="C558" i="3"/>
  <c r="C658" i="3"/>
  <c r="C758" i="3"/>
  <c r="C357" i="3"/>
  <c r="C457" i="3"/>
  <c r="C557" i="3"/>
  <c r="C657" i="3"/>
  <c r="C757" i="3"/>
  <c r="C356" i="3"/>
  <c r="C456" i="3"/>
  <c r="C556" i="3"/>
  <c r="C656" i="3"/>
  <c r="C756" i="3"/>
  <c r="C355" i="3"/>
  <c r="C455" i="3"/>
  <c r="C555" i="3"/>
  <c r="C655" i="3"/>
  <c r="C755" i="3"/>
  <c r="C354" i="3"/>
  <c r="C454" i="3"/>
  <c r="C554" i="3"/>
  <c r="C654" i="3"/>
  <c r="C754" i="3"/>
  <c r="C353" i="3"/>
  <c r="C453" i="3"/>
  <c r="C553" i="3"/>
  <c r="C653" i="3"/>
  <c r="C753" i="3"/>
  <c r="C352" i="3"/>
  <c r="C452" i="3"/>
  <c r="C552" i="3"/>
  <c r="C652" i="3"/>
  <c r="C752" i="3"/>
  <c r="C351" i="3"/>
  <c r="C451" i="3"/>
  <c r="C551" i="3"/>
  <c r="C651" i="3"/>
  <c r="C751" i="3"/>
  <c r="C350" i="3"/>
  <c r="C450" i="3"/>
  <c r="C550" i="3"/>
  <c r="C650" i="3"/>
  <c r="C750" i="3"/>
  <c r="C349" i="3"/>
  <c r="C449" i="3"/>
  <c r="C549" i="3"/>
  <c r="C649" i="3"/>
  <c r="C749" i="3"/>
  <c r="C348" i="3"/>
  <c r="C448" i="3"/>
  <c r="C548" i="3"/>
  <c r="C648" i="3"/>
  <c r="C748" i="3"/>
  <c r="C347" i="3"/>
  <c r="C447" i="3"/>
  <c r="C547" i="3"/>
  <c r="C647" i="3"/>
  <c r="C747" i="3"/>
  <c r="C346" i="3"/>
  <c r="C446" i="3"/>
  <c r="C546" i="3"/>
  <c r="C646" i="3"/>
  <c r="C746" i="3"/>
  <c r="C345" i="3"/>
  <c r="C445" i="3"/>
  <c r="C545" i="3"/>
  <c r="C645" i="3"/>
  <c r="C745" i="3"/>
  <c r="C344" i="3"/>
  <c r="C444" i="3"/>
  <c r="C544" i="3"/>
  <c r="C644" i="3"/>
  <c r="C744" i="3"/>
  <c r="C343" i="3"/>
  <c r="C443" i="3"/>
  <c r="C543" i="3"/>
  <c r="C643" i="3"/>
  <c r="C743" i="3"/>
  <c r="C342" i="3"/>
  <c r="C442" i="3"/>
  <c r="C542" i="3"/>
  <c r="C642" i="3"/>
  <c r="C742" i="3"/>
  <c r="C341" i="3"/>
  <c r="C441" i="3"/>
  <c r="C541" i="3"/>
  <c r="C641" i="3"/>
  <c r="C741" i="3"/>
  <c r="C340" i="3"/>
  <c r="C440" i="3"/>
  <c r="C540" i="3"/>
  <c r="C640" i="3"/>
  <c r="C740" i="3"/>
  <c r="C339" i="3"/>
  <c r="C439" i="3"/>
  <c r="C539" i="3"/>
  <c r="C639" i="3"/>
  <c r="C739" i="3"/>
  <c r="C338" i="3"/>
  <c r="C438" i="3"/>
  <c r="C538" i="3"/>
  <c r="C638" i="3"/>
  <c r="C738" i="3"/>
  <c r="C337" i="3"/>
  <c r="C437" i="3"/>
  <c r="C537" i="3"/>
  <c r="C637" i="3"/>
  <c r="C737" i="3"/>
  <c r="C336" i="3"/>
  <c r="C436" i="3"/>
  <c r="C536" i="3"/>
  <c r="C636" i="3"/>
  <c r="C736" i="3"/>
  <c r="C335" i="3"/>
  <c r="C435" i="3"/>
  <c r="C535" i="3"/>
  <c r="C635" i="3"/>
  <c r="C735" i="3"/>
  <c r="C334" i="3"/>
  <c r="C434" i="3"/>
  <c r="C534" i="3"/>
  <c r="C634" i="3"/>
  <c r="C734" i="3"/>
  <c r="C333" i="3"/>
  <c r="C433" i="3"/>
  <c r="C533" i="3"/>
  <c r="C633" i="3"/>
  <c r="C733" i="3"/>
  <c r="C332" i="3"/>
  <c r="C432" i="3"/>
  <c r="C532" i="3"/>
  <c r="C632" i="3"/>
  <c r="C732" i="3"/>
  <c r="C331" i="3"/>
  <c r="C431" i="3"/>
  <c r="C531" i="3"/>
  <c r="C631" i="3"/>
  <c r="C731" i="3"/>
  <c r="C330" i="3"/>
  <c r="C430" i="3"/>
  <c r="C530" i="3"/>
  <c r="C630" i="3"/>
  <c r="C730" i="3"/>
  <c r="C329" i="3"/>
  <c r="C429" i="3"/>
  <c r="C529" i="3"/>
  <c r="C629" i="3"/>
  <c r="C729" i="3"/>
  <c r="C328" i="3"/>
  <c r="C428" i="3"/>
  <c r="C528" i="3"/>
  <c r="C628" i="3"/>
  <c r="C728" i="3"/>
  <c r="C327" i="3"/>
  <c r="C427" i="3"/>
  <c r="C527" i="3"/>
  <c r="C627" i="3"/>
  <c r="C727" i="3"/>
  <c r="C326" i="3"/>
  <c r="C426" i="3"/>
  <c r="C526" i="3"/>
  <c r="C626" i="3"/>
  <c r="C726" i="3"/>
  <c r="C325" i="3"/>
  <c r="C425" i="3"/>
  <c r="C525" i="3"/>
  <c r="C625" i="3"/>
  <c r="C725" i="3"/>
  <c r="C324" i="3"/>
  <c r="C424" i="3"/>
  <c r="C524" i="3"/>
  <c r="C624" i="3"/>
  <c r="C724" i="3"/>
  <c r="C323" i="3"/>
  <c r="C423" i="3"/>
  <c r="C523" i="3"/>
  <c r="C623" i="3"/>
  <c r="C723" i="3"/>
  <c r="C322" i="3"/>
  <c r="C422" i="3"/>
  <c r="C522" i="3"/>
  <c r="C622" i="3"/>
  <c r="C722" i="3"/>
  <c r="C321" i="3"/>
  <c r="C421" i="3"/>
  <c r="C521" i="3"/>
  <c r="C621" i="3"/>
  <c r="C721" i="3"/>
  <c r="C320" i="3"/>
  <c r="C420" i="3"/>
  <c r="C520" i="3"/>
  <c r="C620" i="3"/>
  <c r="C720" i="3"/>
  <c r="C319" i="3"/>
  <c r="C419" i="3"/>
  <c r="C519" i="3"/>
  <c r="C619" i="3"/>
  <c r="C719" i="3"/>
  <c r="C318" i="3"/>
  <c r="C418" i="3"/>
  <c r="C518" i="3"/>
  <c r="C618" i="3"/>
  <c r="C718" i="3"/>
  <c r="C317" i="3"/>
  <c r="C417" i="3"/>
  <c r="C517" i="3"/>
  <c r="C617" i="3"/>
  <c r="C717" i="3"/>
  <c r="C316" i="3"/>
  <c r="C416" i="3"/>
  <c r="C516" i="3"/>
  <c r="C616" i="3"/>
  <c r="C716" i="3"/>
  <c r="C315" i="3"/>
  <c r="C415" i="3"/>
  <c r="C515" i="3"/>
  <c r="C615" i="3"/>
  <c r="C715" i="3"/>
  <c r="C314" i="3"/>
  <c r="C414" i="3"/>
  <c r="C514" i="3"/>
  <c r="C614" i="3"/>
  <c r="C714" i="3"/>
  <c r="C313" i="3"/>
  <c r="C413" i="3"/>
  <c r="C513" i="3"/>
  <c r="C613" i="3"/>
  <c r="C713" i="3"/>
  <c r="C312" i="3"/>
  <c r="C412" i="3"/>
  <c r="C512" i="3"/>
  <c r="C612" i="3"/>
  <c r="C712" i="3"/>
  <c r="C311" i="3"/>
  <c r="C411" i="3"/>
  <c r="C511" i="3"/>
  <c r="C611" i="3"/>
  <c r="C711" i="3"/>
  <c r="C310" i="3"/>
  <c r="C410" i="3"/>
  <c r="C510" i="3"/>
  <c r="C610" i="3"/>
  <c r="C710" i="3"/>
  <c r="C309" i="3"/>
  <c r="C409" i="3"/>
  <c r="C509" i="3"/>
  <c r="C609" i="3"/>
  <c r="C709" i="3"/>
  <c r="C308" i="3"/>
  <c r="C408" i="3"/>
  <c r="C508" i="3"/>
  <c r="C608" i="3"/>
  <c r="C7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tc={EAEF071F-1F0F-4896-8A56-1A87DD99E803}</author>
  </authors>
  <commentList>
    <comment ref="P7" authorId="0" shapeId="0" xr:uid="{EAEF071F-1F0F-4896-8A56-1A87DD99E803}">
      <text>
        <t>[线程批注]
你的Excel版本可读取此线程批注; 但如果在更新版本的Excel中打开文件，则对批注所作的任何改动都将被删除。了解详细信息: https://go.microsoft.com/fwlink/?linkid=870924
注释:
    原字段类型“double”</t>
      </text>
    </comment>
  </commentList>
</comments>
</file>

<file path=xl/sharedStrings.xml><?xml version="1.0" encoding="utf-8"?>
<sst xmlns="http://schemas.openxmlformats.org/spreadsheetml/2006/main" count="11194" uniqueCount="2556">
  <si>
    <t>主机ID</t>
  </si>
  <si>
    <t>Icon</t>
  </si>
  <si>
    <t>模型名称</t>
  </si>
  <si>
    <t>星级</t>
  </si>
  <si>
    <t>品质</t>
  </si>
  <si>
    <t>初始技能</t>
  </si>
  <si>
    <t>不会出现的技能</t>
  </si>
  <si>
    <t>攻击倍率</t>
  </si>
  <si>
    <t>#</t>
  </si>
  <si>
    <t>Id</t>
  </si>
  <si>
    <t>Name</t>
  </si>
  <si>
    <t>Model</t>
  </si>
  <si>
    <t>Star</t>
  </si>
  <si>
    <t>Level</t>
  </si>
  <si>
    <t>Quality</t>
  </si>
  <si>
    <t>WithoutSkills</t>
  </si>
  <si>
    <t>StatsChart</t>
  </si>
  <si>
    <t>AttackRate</t>
  </si>
  <si>
    <t>int32</t>
  </si>
  <si>
    <t>string</t>
  </si>
  <si>
    <t>repeated Item</t>
  </si>
  <si>
    <t>repeated string</t>
  </si>
  <si>
    <t>lab_host1</t>
  </si>
  <si>
    <t>3_101_10</t>
  </si>
  <si>
    <t>3_102_20</t>
  </si>
  <si>
    <t>lab_host3</t>
  </si>
  <si>
    <t>3_103_20</t>
  </si>
  <si>
    <t>lab_host4</t>
  </si>
  <si>
    <t>3_104_30</t>
  </si>
  <si>
    <t>高攻</t>
  </si>
  <si>
    <t>lab_host5</t>
  </si>
  <si>
    <t>3_105_30</t>
  </si>
  <si>
    <t>高血</t>
  </si>
  <si>
    <t>lab_host6</t>
  </si>
  <si>
    <t>3_106_30</t>
  </si>
  <si>
    <t>lab_host7</t>
  </si>
  <si>
    <t>3_107_50</t>
  </si>
  <si>
    <t>lab_host8</t>
  </si>
  <si>
    <t>3_108_50</t>
  </si>
  <si>
    <t>等级ID</t>
  </si>
  <si>
    <t>升级消耗材料</t>
  </si>
  <si>
    <t>属性</t>
  </si>
  <si>
    <t>ItemID</t>
  </si>
  <si>
    <t>Cost</t>
  </si>
  <si>
    <t>Prop</t>
  </si>
  <si>
    <t>repeated Prop</t>
  </si>
  <si>
    <t>4_1_400|3_301_20</t>
  </si>
  <si>
    <t>4_1_440|3_301_22</t>
  </si>
  <si>
    <t>4_1_480|3_301_24</t>
  </si>
  <si>
    <t>4_1_500|3_301_25</t>
  </si>
  <si>
    <t>4_1_540|3_301_27</t>
  </si>
  <si>
    <t>4_1_580|3_301_29</t>
  </si>
  <si>
    <t>4_1_600|3_301_30</t>
  </si>
  <si>
    <t>4_1_1000|3_301_50</t>
  </si>
  <si>
    <t>4_1_1000|3_301_50|3_302_100</t>
  </si>
  <si>
    <t>4_1_2000|3_301_100</t>
  </si>
  <si>
    <t>4_1_2000|3_301_100|3_303_100</t>
  </si>
  <si>
    <t>4_1_3750|3_301_150</t>
  </si>
  <si>
    <t>4_1_4500|3_301_150|3_304_100</t>
  </si>
  <si>
    <t>4_1_9000|3_301_300</t>
  </si>
  <si>
    <t>4_1_10500|3_301_300|3_305_100</t>
  </si>
  <si>
    <t>4_1_15750|3_301_450</t>
  </si>
  <si>
    <t>属性描述</t>
  </si>
  <si>
    <t>技能ID</t>
  </si>
  <si>
    <t>星级系数</t>
  </si>
  <si>
    <t>飞机等级属性*星级系数</t>
  </si>
  <si>
    <t>PropDes</t>
  </si>
  <si>
    <t>SkillID</t>
  </si>
  <si>
    <t>StarParm</t>
  </si>
  <si>
    <t>repeated int32</t>
  </si>
  <si>
    <t>1_80</t>
  </si>
  <si>
    <t>攻击+80</t>
  </si>
  <si>
    <t>=等级属性*星级系数</t>
  </si>
  <si>
    <t>3_101_20</t>
  </si>
  <si>
    <t>1_80|2_5</t>
  </si>
  <si>
    <t>攻击+80|攻击提升10%</t>
  </si>
  <si>
    <t>3_101_30</t>
  </si>
  <si>
    <t>1_80|2_5|3_480</t>
  </si>
  <si>
    <t>攻击+80|攻击提升10%|生命+480</t>
  </si>
  <si>
    <t>3_101_40</t>
  </si>
  <si>
    <t>1_80|2_5|3_480|4_5</t>
  </si>
  <si>
    <t>攻击+80|攻击提升10%|生命+480|生命提升10%</t>
  </si>
  <si>
    <t>1_80|2_5|3_480|4_5|33_20</t>
  </si>
  <si>
    <t>攻击+80|攻击提升10%|生命+480|生命提升10%|暴击伤害提升20%</t>
  </si>
  <si>
    <t>1_120</t>
  </si>
  <si>
    <t>攻击+120</t>
  </si>
  <si>
    <t>3_102_40</t>
  </si>
  <si>
    <t>1_120|2_8</t>
  </si>
  <si>
    <t>攻击+120|攻击提升8%</t>
  </si>
  <si>
    <t>3_102_60</t>
  </si>
  <si>
    <t>1_120|2_8|3_720</t>
  </si>
  <si>
    <t>攻击+120|攻击提升8%|生命+720</t>
  </si>
  <si>
    <t>3_102_80</t>
  </si>
  <si>
    <t>1_120|2_8|3_720|4_8</t>
  </si>
  <si>
    <t>攻击+120|攻击提升8%|生命+720|生命提升8%</t>
  </si>
  <si>
    <t>1_120|2_8|3_720|4_8|37_10</t>
  </si>
  <si>
    <t>攻击+120|攻击提升8%|生命+720|生命提升8%|敌机伤害提升8%</t>
  </si>
  <si>
    <t>3_103_40</t>
  </si>
  <si>
    <t>3_103_60</t>
  </si>
  <si>
    <t>3_103_80</t>
  </si>
  <si>
    <t>1_120|2_8|3_720|4_8|39_10</t>
  </si>
  <si>
    <t>攻击+120|攻击提升8%|生命+720|生命提升8%|敌机首领伤害提升8%</t>
  </si>
  <si>
    <t>1_180</t>
  </si>
  <si>
    <t>攻击+180</t>
  </si>
  <si>
    <t>3_104_60</t>
  </si>
  <si>
    <t>1_180|2_10</t>
  </si>
  <si>
    <t>攻击+180|攻击提升10%</t>
  </si>
  <si>
    <t>3_104_90</t>
  </si>
  <si>
    <t>1_180|2_10|3_1080</t>
  </si>
  <si>
    <t>攻击+180|攻击提升10%|生命+1080</t>
  </si>
  <si>
    <t>3_104_120</t>
  </si>
  <si>
    <t>1_180|2_10|3_1080|4_10</t>
  </si>
  <si>
    <t>攻击+180|攻击提升10%|生命+1080|生命提升10%</t>
  </si>
  <si>
    <t>1_180|2_10|3_1080|4_10|2_10</t>
  </si>
  <si>
    <t>攻击+180|攻击提升10%|生命+1080|生命提升10%|攻击提升10%</t>
  </si>
  <si>
    <t>3_105_60</t>
  </si>
  <si>
    <t>3_105_90</t>
  </si>
  <si>
    <t>3_105_120</t>
  </si>
  <si>
    <t>1_180|2_10|3_1080|4_10|4_10</t>
  </si>
  <si>
    <t>攻击+180|攻击提升10%|生命+1080|生命提升10%|生命提升10%</t>
  </si>
  <si>
    <t>3_106_60</t>
  </si>
  <si>
    <t>3_106_90</t>
  </si>
  <si>
    <t>3_106_120</t>
  </si>
  <si>
    <t>1_180|2_10|3_1080|4_10|41_10</t>
  </si>
  <si>
    <t>攻击+180|攻击提升10%|生命+1080|生命提升10%|减伤提升10%</t>
  </si>
  <si>
    <t>1_270</t>
  </si>
  <si>
    <t>攻击+270</t>
  </si>
  <si>
    <t>3_107_100</t>
  </si>
  <si>
    <t>1_270|2_15</t>
  </si>
  <si>
    <t>攻击+270|攻击提升15%</t>
  </si>
  <si>
    <t>3_107_150</t>
  </si>
  <si>
    <t>1_270|2_15|3_1620</t>
  </si>
  <si>
    <t>攻击+270|攻击提升15%|生命+1620</t>
  </si>
  <si>
    <t>3_107_200</t>
  </si>
  <si>
    <t>1_270|2_15|3_1620|4_15</t>
  </si>
  <si>
    <t>攻击+270|攻击提升15%|生命+1620|生命提升15%</t>
  </si>
  <si>
    <t>1_270|2_15|3_1620|4_15|32_20</t>
  </si>
  <si>
    <t>攻击+270|攻击提升15%|生命+1620|生命提升15%|暴击率提升20%</t>
  </si>
  <si>
    <t>3_108_100</t>
  </si>
  <si>
    <t>3_108_150</t>
  </si>
  <si>
    <t>3_108_200</t>
  </si>
  <si>
    <t>1_270|2_15|3_1620|4_15|41_15</t>
  </si>
  <si>
    <t>攻击+270|攻击提升15%|生命+1620|生命提升15%|减伤提升20%</t>
  </si>
  <si>
    <t>货币</t>
  </si>
  <si>
    <r>
      <rPr>
        <b/>
        <sz val="12"/>
        <rFont val="微软雅黑"/>
        <family val="2"/>
        <charset val="134"/>
      </rPr>
      <t>1=</t>
    </r>
    <r>
      <rPr>
        <b/>
        <sz val="12"/>
        <color theme="2" tint="-9.9978637043366805E-2"/>
        <rFont val="微软雅黑"/>
        <family val="2"/>
        <charset val="134"/>
      </rPr>
      <t>普通</t>
    </r>
    <r>
      <rPr>
        <b/>
        <sz val="12"/>
        <rFont val="微软雅黑"/>
        <family val="2"/>
        <charset val="134"/>
      </rPr>
      <t xml:space="preserve">
2=</t>
    </r>
    <r>
      <rPr>
        <b/>
        <sz val="12"/>
        <color theme="4" tint="-0.249977111117893"/>
        <rFont val="微软雅黑"/>
        <family val="2"/>
        <charset val="134"/>
      </rPr>
      <t>稀有</t>
    </r>
    <r>
      <rPr>
        <b/>
        <sz val="12"/>
        <rFont val="微软雅黑"/>
        <family val="2"/>
        <charset val="134"/>
      </rPr>
      <t xml:space="preserve">
3=</t>
    </r>
    <r>
      <rPr>
        <b/>
        <sz val="12"/>
        <color rgb="FF7030A0"/>
        <rFont val="微软雅黑"/>
        <family val="2"/>
        <charset val="134"/>
      </rPr>
      <t>史诗</t>
    </r>
    <r>
      <rPr>
        <b/>
        <sz val="12"/>
        <rFont val="微软雅黑"/>
        <family val="2"/>
        <charset val="134"/>
      </rPr>
      <t xml:space="preserve">
4=</t>
    </r>
    <r>
      <rPr>
        <b/>
        <sz val="12"/>
        <color theme="7"/>
        <rFont val="微软雅黑"/>
        <family val="2"/>
        <charset val="134"/>
      </rPr>
      <t>传说</t>
    </r>
    <r>
      <rPr>
        <b/>
        <sz val="12"/>
        <rFont val="微软雅黑"/>
        <family val="2"/>
        <charset val="134"/>
      </rPr>
      <t xml:space="preserve">
5=</t>
    </r>
    <r>
      <rPr>
        <b/>
        <sz val="12"/>
        <color rgb="FFEE0000"/>
        <rFont val="微软雅黑"/>
        <family val="2"/>
        <charset val="134"/>
      </rPr>
      <t>神话</t>
    </r>
  </si>
  <si>
    <t>1=货币
2=碎片
3=道具</t>
  </si>
  <si>
    <t>权重</t>
  </si>
  <si>
    <t>ID唯一</t>
  </si>
  <si>
    <t>备注</t>
  </si>
  <si>
    <t>类型</t>
  </si>
  <si>
    <t>名称</t>
  </si>
  <si>
    <t>描述</t>
  </si>
  <si>
    <t>图标</t>
  </si>
  <si>
    <t>品质底板</t>
  </si>
  <si>
    <t>C</t>
  </si>
  <si>
    <t>id</t>
  </si>
  <si>
    <t>quality</t>
  </si>
  <si>
    <t>Notes</t>
  </si>
  <si>
    <t>Type</t>
  </si>
  <si>
    <t>name</t>
  </si>
  <si>
    <t>desc</t>
  </si>
  <si>
    <t>icon</t>
  </si>
  <si>
    <t>BottomPanel</t>
  </si>
  <si>
    <t>Drop</t>
  </si>
  <si>
    <t>int</t>
  </si>
  <si>
    <t>金币</t>
  </si>
  <si>
    <t>用金币修理摩托，下次比赛别再抛锚了！</t>
  </si>
  <si>
    <t>ui_icon_jb</t>
  </si>
  <si>
    <t>ui_panel_boxwhite</t>
  </si>
  <si>
    <t>钻石</t>
  </si>
  <si>
    <t>钻石能买顶级皮肤，但得先赢下拉力赛！</t>
  </si>
  <si>
    <t>ui_icon_zsh</t>
  </si>
  <si>
    <t>ui_panel_boxpurple</t>
  </si>
  <si>
    <t>主机ID</t>
    <phoneticPr fontId="10" type="noConversion"/>
  </si>
  <si>
    <t>lab_host2</t>
    <phoneticPr fontId="10" type="noConversion"/>
  </si>
  <si>
    <t>a_bt_plane_1007_main_1</t>
  </si>
  <si>
    <t>float</t>
    <phoneticPr fontId="10" type="noConversion"/>
  </si>
  <si>
    <t>[string]</t>
    <phoneticPr fontId="10" type="noConversion"/>
  </si>
  <si>
    <t>f1002_l_,f1003_l_,f1004_l_,f1005_l_,f1006_l_,f2001_l_,aspd_1002_,aspd_1003_,aspd_1004_,aspd_1005_,f1006_2_,aspd_2001_,f1001_l_,aspd_1001_</t>
  </si>
  <si>
    <t>f1002_l_,f1003_l_,f1004_l_,f1005_l_,f1006_l_,f2001_l_,aspd_1002_,aspd_1003_,aspd_1004_,aspd_1005_,f1006_2_,aspd_2001_,f1000_l_,aspd_1000_</t>
  </si>
  <si>
    <t>f1002_l_,f1001_l_,f1004_l_,f1005_l_,f1006_l_,f2001_l_,aspd_1001_,aspd_1002_,aspd_1004_,aspd_1005_,f1001_l_,f1006_2_,aspd_2001_,f1000_l_,aspd_1000_</t>
  </si>
  <si>
    <t>f1001_l_,f1003_l_,f1004_l_,f1005_l_,f1006_l_,f2001_l_,aspd_1001_,aspd_1003_,aspd_1004_,aspd_1005_,f1001_l_,f1006_2_,aspd_2001_,f1000_l_,aspd_1000_</t>
  </si>
  <si>
    <t>f1002_l_,f1001_l_,f1003_l_,f1005_l_,f1006_l_,f2001_l_,aspd_1001_,aspd_1002_,aspd_1003_,aspd_1005_,f1001_l_,f1006_2_,aspd_2001_,f1000_l_,aspd_1000_</t>
  </si>
  <si>
    <t>f1002_l_,f1001_l_,f1003_l_,f1004_l_,f1006_l_,f2001_l_,aspd_1001_,aspd_1002_,aspd_1003_,aspd_1004_,f1001_l_,f1006_2_,aspd_2001_,f1000_l_,aspd_1000_</t>
  </si>
  <si>
    <t>f1002_l_,f1001_l_,f1003_l_,f1004_l_,f1005_l_,f2001_l_,aspd_1001_,aspd_1002_,aspd_1003_,aspd_1004_,f1001_l_,aspd_1005_,aspd_2001_,Follow_,Through_,f1000_l_,aspd_1000_</t>
  </si>
  <si>
    <t>五维图(生命,攻击,暴击,射速,范围)</t>
  </si>
  <si>
    <t>f1002_l_,f1001_l_,f1003_l_,f1004_l_,f1005_l_,f1006_l_,aspd_1001_,aspd_1002_,aspd_1003_,aspd_1004_,aspd_1005_,f1006_2_,f1000_l_,aspd_1000_</t>
    <phoneticPr fontId="10" type="noConversion"/>
  </si>
  <si>
    <t>int</t>
    <phoneticPr fontId="10" type="noConversion"/>
  </si>
  <si>
    <t>关联Localization表</t>
    <phoneticPr fontId="10" type="noConversion"/>
  </si>
  <si>
    <t>string</t>
    <phoneticPr fontId="10" type="noConversion"/>
  </si>
  <si>
    <t>原路径Plane\Assets\Res\NewUIRes\ItemIcon</t>
    <phoneticPr fontId="10" type="noConversion"/>
  </si>
  <si>
    <t>a_bt_plane_1000_main_1</t>
    <phoneticPr fontId="10" type="noConversion"/>
  </si>
  <si>
    <t>C</t>
    <phoneticPr fontId="10" type="noConversion"/>
  </si>
  <si>
    <t>{1,200},{3,1200}</t>
  </si>
  <si>
    <t>{1,220},{3,1320}</t>
  </si>
  <si>
    <t>{1,240},{3,1440}</t>
  </si>
  <si>
    <t>{1,260},{3,1560}</t>
  </si>
  <si>
    <t>{1,280},{3,1680}</t>
  </si>
  <si>
    <t>{1,300},{3,1800}</t>
  </si>
  <si>
    <t>{1,320},{3,1920}</t>
  </si>
  <si>
    <t>{1,340},{3,2040}</t>
  </si>
  <si>
    <t>{1,360},{3,2160}</t>
  </si>
  <si>
    <t>{1,380},{3,2280}</t>
  </si>
  <si>
    <t>{1,400},{3,2400}</t>
  </si>
  <si>
    <t>{1,420},{3,2520}</t>
  </si>
  <si>
    <t>{1,440},{3,2640}</t>
  </si>
  <si>
    <t>{1,460},{3,2760}</t>
  </si>
  <si>
    <t>{1,480},{3,2880}</t>
  </si>
  <si>
    <t>{1,500},{3,3000}</t>
  </si>
  <si>
    <t>{1,520},{3,3120}</t>
  </si>
  <si>
    <t>{1,540},{3,3240}</t>
  </si>
  <si>
    <t>{1,560},{3,3360}</t>
  </si>
  <si>
    <t>{1,860},{3,5160}</t>
  </si>
  <si>
    <t>{1,900},{3,5400}</t>
  </si>
  <si>
    <t>{1,940},{3,5640}</t>
  </si>
  <si>
    <t>{1,980},{3,5880}</t>
  </si>
  <si>
    <t>{1,1020},{3,6120}</t>
  </si>
  <si>
    <t>{1,1060},{3,6360}</t>
  </si>
  <si>
    <t>{1,1100},{3,6600}</t>
  </si>
  <si>
    <t>{1,1140},{3,6840}</t>
  </si>
  <si>
    <t>{1,1180},{3,7080}</t>
  </si>
  <si>
    <t>{1,1220},{3,7320}</t>
  </si>
  <si>
    <t>{1,1260},{3,7560}</t>
  </si>
  <si>
    <t>{1,1300},{3,7800}</t>
  </si>
  <si>
    <t>{1,1340},{3,8040}</t>
  </si>
  <si>
    <t>{1,1380},{3,8280}</t>
  </si>
  <si>
    <t>{1,1420},{3,8520}</t>
  </si>
  <si>
    <t>{1,1460},{3,8760}</t>
  </si>
  <si>
    <t>{1,1500},{3,9000}</t>
  </si>
  <si>
    <t>{1,1540},{3,9240}</t>
  </si>
  <si>
    <t>{1,1580},{3,9480}</t>
  </si>
  <si>
    <t>{1,1620},{3,9720}</t>
  </si>
  <si>
    <t>{1,2070},{3,12420}</t>
  </si>
  <si>
    <t>{1,2130},{3,12780}</t>
  </si>
  <si>
    <t>{1,2190},{3,13140}</t>
  </si>
  <si>
    <t>{1,2250},{3,13500}</t>
  </si>
  <si>
    <t>{1,2310},{3,13860}</t>
  </si>
  <si>
    <t>{1,2370},{3,14220}</t>
  </si>
  <si>
    <t>{1,2430},{3,14580}</t>
  </si>
  <si>
    <t>{1,2490},{3,14940}</t>
  </si>
  <si>
    <t>{1,2550},{3,15300}</t>
  </si>
  <si>
    <t>{1,2610},{3,15660}</t>
  </si>
  <si>
    <t>{1,2670},{3,16020}</t>
  </si>
  <si>
    <t>{1,2730},{3,16380}</t>
  </si>
  <si>
    <t>{1,2790},{3,16740}</t>
  </si>
  <si>
    <t>{1,2850},{3,17100}</t>
  </si>
  <si>
    <t>{1,2910},{3,17460}</t>
  </si>
  <si>
    <t>{1,2970},{3,17820}</t>
  </si>
  <si>
    <t>{1,3030},{3,18180}</t>
  </si>
  <si>
    <t>{1,3090},{3,18540}</t>
  </si>
  <si>
    <t>{1,3150},{3,18900}</t>
  </si>
  <si>
    <t>{1,3210},{3,19260}</t>
  </si>
  <si>
    <t>{1,3884},{3,23304}</t>
  </si>
  <si>
    <t>{1,3964},{3,23784}</t>
  </si>
  <si>
    <t>{1,4044},{3,24264}</t>
  </si>
  <si>
    <t>{1,4124},{3,24744}</t>
  </si>
  <si>
    <t>{1,4204},{3,25224}</t>
  </si>
  <si>
    <t>{1,4284},{3,25704}</t>
  </si>
  <si>
    <t>{1,4364},{3,26184}</t>
  </si>
  <si>
    <t>{1,4444},{3,26664}</t>
  </si>
  <si>
    <t>{1,4524},{3,27144}</t>
  </si>
  <si>
    <t>{1,4604},{3,27624}</t>
  </si>
  <si>
    <t>{1,4684},{3,28104}</t>
  </si>
  <si>
    <t>{1,4764},{3,28584}</t>
  </si>
  <si>
    <t>{1,4844},{3,29064}</t>
  </si>
  <si>
    <t>{1,4924},{3,29544}</t>
  </si>
  <si>
    <t>{1,5004},{3,30024}</t>
  </si>
  <si>
    <t>{1,5084},{3,30504}</t>
  </si>
  <si>
    <t>{1,5164},{3,30984}</t>
  </si>
  <si>
    <t>{1,5244},{3,31464}</t>
  </si>
  <si>
    <t>{1,5324},{3,31944}</t>
  </si>
  <si>
    <t>{1,5404},{3,32424}</t>
  </si>
  <si>
    <t>{1,6414},{3,38484}</t>
  </si>
  <si>
    <t>{1,6514},{3,39084}</t>
  </si>
  <si>
    <t>{1,6614},{3,39684}</t>
  </si>
  <si>
    <t>{1,6714},{3,40284}</t>
  </si>
  <si>
    <t>{1,6814},{3,40884}</t>
  </si>
  <si>
    <t>{1,6914},{3,41484}</t>
  </si>
  <si>
    <t>{1,7014},{3,42084}</t>
  </si>
  <si>
    <t>{1,7114},{3,42684}</t>
  </si>
  <si>
    <t>{1,7214},{3,43284}</t>
  </si>
  <si>
    <t>{1,7314},{3,43884}</t>
  </si>
  <si>
    <t>{1,7414},{3,44484}</t>
  </si>
  <si>
    <t>{1,7514},{3,45084}</t>
  </si>
  <si>
    <t>{1,7614},{3,45684}</t>
  </si>
  <si>
    <t>{1,7714},{3,46284}</t>
  </si>
  <si>
    <t>{1,7814},{3,46884}</t>
  </si>
  <si>
    <t>{1,7914},{3,47484}</t>
  </si>
  <si>
    <t>{1,8014},{3,48084}</t>
  </si>
  <si>
    <t>{1,8114},{3,48684}</t>
  </si>
  <si>
    <t>{1,8214},{3,49284}</t>
  </si>
  <si>
    <t>{1,8314},{3,49884}</t>
  </si>
  <si>
    <t>{1,9828},{3,58968}</t>
  </si>
  <si>
    <t>{1,330},{3,1980}</t>
  </si>
  <si>
    <t>{1,390},{3,2340}</t>
  </si>
  <si>
    <t>{1,450},{3,2700}</t>
  </si>
  <si>
    <t>{1,510},{3,3060}</t>
  </si>
  <si>
    <t>{1,570},{3,3420}</t>
  </si>
  <si>
    <t>{1,600},{3,3600}</t>
  </si>
  <si>
    <t>{1,630},{3,3780}</t>
  </si>
  <si>
    <t>{1,660},{3,3960}</t>
  </si>
  <si>
    <t>{1,690},{3,4140}</t>
  </si>
  <si>
    <t>{1,720},{3,4320}</t>
  </si>
  <si>
    <t>{1,750},{3,4500}</t>
  </si>
  <si>
    <t>{1,780},{3,4680}</t>
  </si>
  <si>
    <t>{1,810},{3,4860}</t>
  </si>
  <si>
    <t>{1,840},{3,5040}</t>
  </si>
  <si>
    <t>{1,1290},{3,7740}</t>
  </si>
  <si>
    <t>{1,1350},{3,8100}</t>
  </si>
  <si>
    <t>{1,1410},{3,8460}</t>
  </si>
  <si>
    <t>{1,1470},{3,8820}</t>
  </si>
  <si>
    <t>{1,1530},{3,9180}</t>
  </si>
  <si>
    <t>{1,1590},{3,9540}</t>
  </si>
  <si>
    <t>{1,1650},{3,9900}</t>
  </si>
  <si>
    <t>{1,1710},{3,10260}</t>
  </si>
  <si>
    <t>{1,1770},{3,10620}</t>
  </si>
  <si>
    <t>{1,1830},{3,10980}</t>
  </si>
  <si>
    <t>{1,1890},{3,11340}</t>
  </si>
  <si>
    <t>{1,1950},{3,11700}</t>
  </si>
  <si>
    <t>{1,2010},{3,12060}</t>
  </si>
  <si>
    <t>{1,3105},{3,18630}</t>
  </si>
  <si>
    <t>{1,3195},{3,19170}</t>
  </si>
  <si>
    <t>{1,3285},{3,19710}</t>
  </si>
  <si>
    <t>{1,3375},{3,20250}</t>
  </si>
  <si>
    <t>{1,3465},{3,20790}</t>
  </si>
  <si>
    <t>{1,3555},{3,21330}</t>
  </si>
  <si>
    <t>{1,3645},{3,21870}</t>
  </si>
  <si>
    <t>{1,3735},{3,22410}</t>
  </si>
  <si>
    <t>{1,3825},{3,22950}</t>
  </si>
  <si>
    <t>{1,3915},{3,23490}</t>
  </si>
  <si>
    <t>{1,4005},{3,24030}</t>
  </si>
  <si>
    <t>{1,4095},{3,24570}</t>
  </si>
  <si>
    <t>{1,4185},{3,25110}</t>
  </si>
  <si>
    <t>{1,4275},{3,25650}</t>
  </si>
  <si>
    <t>{1,4365},{3,26190}</t>
  </si>
  <si>
    <t>{1,4455},{3,26730}</t>
  </si>
  <si>
    <t>{1,4545},{3,27270}</t>
  </si>
  <si>
    <t>{1,4635},{3,27810}</t>
  </si>
  <si>
    <t>{1,4725},{3,28350}</t>
  </si>
  <si>
    <t>{1,4815},{3,28890}</t>
  </si>
  <si>
    <t>{1,5826},{3,34956}</t>
  </si>
  <si>
    <t>{1,5946},{3,35676}</t>
  </si>
  <si>
    <t>{1,6066},{3,36396}</t>
  </si>
  <si>
    <t>{1,6186},{3,37116}</t>
  </si>
  <si>
    <t>{1,6306},{3,37836}</t>
  </si>
  <si>
    <t>{1,6426},{3,38556}</t>
  </si>
  <si>
    <t>{1,6546},{3,39276}</t>
  </si>
  <si>
    <t>{1,6666},{3,39996}</t>
  </si>
  <si>
    <t>{1,6786},{3,40716}</t>
  </si>
  <si>
    <t>{1,6906},{3,41436}</t>
  </si>
  <si>
    <t>{1,7026},{3,42156}</t>
  </si>
  <si>
    <t>{1,7146},{3,42876}</t>
  </si>
  <si>
    <t>{1,7266},{3,43596}</t>
  </si>
  <si>
    <t>{1,7386},{3,44316}</t>
  </si>
  <si>
    <t>{1,7506},{3,45036}</t>
  </si>
  <si>
    <t>{1,7626},{3,45756}</t>
  </si>
  <si>
    <t>{1,7746},{3,46476}</t>
  </si>
  <si>
    <t>{1,7866},{3,47196}</t>
  </si>
  <si>
    <t>{1,7986},{3,47916}</t>
  </si>
  <si>
    <t>{1,8106},{3,48636}</t>
  </si>
  <si>
    <t>{1,9621},{3,57726}</t>
  </si>
  <si>
    <t>{1,9771},{3,58626}</t>
  </si>
  <si>
    <t>{1,9921},{3,59526}</t>
  </si>
  <si>
    <t>{1,10071},{3,60426}</t>
  </si>
  <si>
    <t>{1,10221},{3,61326}</t>
  </si>
  <si>
    <t>{1,10371},{3,62226}</t>
  </si>
  <si>
    <t>{1,10521},{3,63126}</t>
  </si>
  <si>
    <t>{1,10671},{3,64026}</t>
  </si>
  <si>
    <t>{1,10821},{3,64926}</t>
  </si>
  <si>
    <t>{1,10971},{3,65826}</t>
  </si>
  <si>
    <t>{1,11121},{3,66726}</t>
  </si>
  <si>
    <t>{1,11271},{3,67626}</t>
  </si>
  <si>
    <t>{1,11421},{3,68526}</t>
  </si>
  <si>
    <t>{1,11571},{3,69426}</t>
  </si>
  <si>
    <t>{1,11721},{3,70326}</t>
  </si>
  <si>
    <t>{1,11871},{3,71226}</t>
  </si>
  <si>
    <t>{1,12021},{3,72126}</t>
  </si>
  <si>
    <t>{1,12171},{3,73026}</t>
  </si>
  <si>
    <t>{1,12321},{3,73926}</t>
  </si>
  <si>
    <t>{1,12471},{3,74826}</t>
  </si>
  <si>
    <t>{1,14742},{3,88452}</t>
  </si>
  <si>
    <t>{1,480},{3,2000}</t>
  </si>
  <si>
    <t>{1,528},{3,2200}</t>
  </si>
  <si>
    <t>{1,576},{3,2400}</t>
  </si>
  <si>
    <t>{1,624},{3,2600}</t>
  </si>
  <si>
    <t>{1,672},{3,2800}</t>
  </si>
  <si>
    <t>{1,720},{3,3000}</t>
  </si>
  <si>
    <t>{1,768},{3,3200}</t>
  </si>
  <si>
    <t>{1,816},{3,3400}</t>
  </si>
  <si>
    <t>{1,864},{3,3600}</t>
  </si>
  <si>
    <t>{1,912},{3,3800}</t>
  </si>
  <si>
    <t>{1,960},{3,4000}</t>
  </si>
  <si>
    <t>{1,1008},{3,4200}</t>
  </si>
  <si>
    <t>{1,1056},{3,4400}</t>
  </si>
  <si>
    <t>{1,1104},{3,4600}</t>
  </si>
  <si>
    <t>{1,1152},{3,4800}</t>
  </si>
  <si>
    <t>{1,1200},{3,5000}</t>
  </si>
  <si>
    <t>{1,1248},{3,5200}</t>
  </si>
  <si>
    <t>{1,1296},{3,5400}</t>
  </si>
  <si>
    <t>{1,1344},{3,5600}</t>
  </si>
  <si>
    <t>{1,2064},{3,8600}</t>
  </si>
  <si>
    <t>{1,2160},{3,9000}</t>
  </si>
  <si>
    <t>{1,2256},{3,9400}</t>
  </si>
  <si>
    <t>{1,2352},{3,9800}</t>
  </si>
  <si>
    <t>{1,2448},{3,10200}</t>
  </si>
  <si>
    <t>{1,2544},{3,10600}</t>
  </si>
  <si>
    <t>{1,2640},{3,11000}</t>
  </si>
  <si>
    <t>{1,2736},{3,11400}</t>
  </si>
  <si>
    <t>{1,2832},{3,11800}</t>
  </si>
  <si>
    <t>{1,2928},{3,12200}</t>
  </si>
  <si>
    <t>{1,3024},{3,12600}</t>
  </si>
  <si>
    <t>{1,3120},{3,13000}</t>
  </si>
  <si>
    <t>{1,3216},{3,13400}</t>
  </si>
  <si>
    <t>{1,3312},{3,13800}</t>
  </si>
  <si>
    <t>{1,3408},{3,14200}</t>
  </si>
  <si>
    <t>{1,3504},{3,14600}</t>
  </si>
  <si>
    <t>{1,3600},{3,15000}</t>
  </si>
  <si>
    <t>{1,3696},{3,15400}</t>
  </si>
  <si>
    <t>{1,3792},{3,15800}</t>
  </si>
  <si>
    <t>{1,3888},{3,16200}</t>
  </si>
  <si>
    <t>{1,4968},{3,20700}</t>
  </si>
  <si>
    <t>{1,5112},{3,21300}</t>
  </si>
  <si>
    <t>{1,5256},{3,21900}</t>
  </si>
  <si>
    <t>{1,5400},{3,22500}</t>
  </si>
  <si>
    <t>{1,5544},{3,23100}</t>
  </si>
  <si>
    <t>{1,5688},{3,23700}</t>
  </si>
  <si>
    <t>{1,5832},{3,24300}</t>
  </si>
  <si>
    <t>{1,5976},{3,24900}</t>
  </si>
  <si>
    <t>{1,6120},{3,25500}</t>
  </si>
  <si>
    <t>{1,6264},{3,26100}</t>
  </si>
  <si>
    <t>{1,6408},{3,26700}</t>
  </si>
  <si>
    <t>{1,6552},{3,27300}</t>
  </si>
  <si>
    <t>{1,6696},{3,27900}</t>
  </si>
  <si>
    <t>{1,6840},{3,28500}</t>
  </si>
  <si>
    <t>{1,6984},{3,29100}</t>
  </si>
  <si>
    <t>{1,7128},{3,29700}</t>
  </si>
  <si>
    <t>{1,7272},{3,30300}</t>
  </si>
  <si>
    <t>{1,7416},{3,30900}</t>
  </si>
  <si>
    <t>{1,7560},{3,31500}</t>
  </si>
  <si>
    <t>{1,7704},{3,32100}</t>
  </si>
  <si>
    <t>{1,9321},{3,38840}</t>
  </si>
  <si>
    <t>{1,9513},{3,39640}</t>
  </si>
  <si>
    <t>{1,9705},{3,40440}</t>
  </si>
  <si>
    <t>{1,9897},{3,41240}</t>
  </si>
  <si>
    <t>{1,10089},{3,42040}</t>
  </si>
  <si>
    <t>{1,10281},{3,42840}</t>
  </si>
  <si>
    <t>{1,10473},{3,43640}</t>
  </si>
  <si>
    <t>{1,10665},{3,44440}</t>
  </si>
  <si>
    <t>{1,10857},{3,45240}</t>
  </si>
  <si>
    <t>{1,11049},{3,46040}</t>
  </si>
  <si>
    <t>{1,11241},{3,46840}</t>
  </si>
  <si>
    <t>{1,11433},{3,47640}</t>
  </si>
  <si>
    <t>{1,11625},{3,48440}</t>
  </si>
  <si>
    <t>{1,11817},{3,49240}</t>
  </si>
  <si>
    <t>{1,12009},{3,50040}</t>
  </si>
  <si>
    <t>{1,12201},{3,50840}</t>
  </si>
  <si>
    <t>{1,12393},{3,51640}</t>
  </si>
  <si>
    <t>{1,12585},{3,52440}</t>
  </si>
  <si>
    <t>{1,12777},{3,53240}</t>
  </si>
  <si>
    <t>{1,12969},{3,54040}</t>
  </si>
  <si>
    <t>{1,15393},{3,64140}</t>
  </si>
  <si>
    <t>{1,15633},{3,65140}</t>
  </si>
  <si>
    <t>{1,15873},{3,66140}</t>
  </si>
  <si>
    <t>{1,16113},{3,67140}</t>
  </si>
  <si>
    <t>{1,16353},{3,68140}</t>
  </si>
  <si>
    <t>{1,16593},{3,69140}</t>
  </si>
  <si>
    <t>{1,16833},{3,70140}</t>
  </si>
  <si>
    <t>{1,17073},{3,71140}</t>
  </si>
  <si>
    <t>{1,17313},{3,72140}</t>
  </si>
  <si>
    <t>{1,17553},{3,73140}</t>
  </si>
  <si>
    <t>{1,17793},{3,74140}</t>
  </si>
  <si>
    <t>{1,18033},{3,75140}</t>
  </si>
  <si>
    <t>{1,18273},{3,76140}</t>
  </si>
  <si>
    <t>{1,18513},{3,77140}</t>
  </si>
  <si>
    <t>{1,18753},{3,78140}</t>
  </si>
  <si>
    <t>{1,18993},{3,79140}</t>
  </si>
  <si>
    <t>{1,19233},{3,80140}</t>
  </si>
  <si>
    <t>{1,19473},{3,81140}</t>
  </si>
  <si>
    <t>{1,19713},{3,82140}</t>
  </si>
  <si>
    <t>{1,19953},{3,83140}</t>
  </si>
  <si>
    <t>{1,23587},{3,98280}</t>
  </si>
  <si>
    <t>{1,320},{3,3000}</t>
  </si>
  <si>
    <t>{1,352},{3,3300}</t>
  </si>
  <si>
    <t>{1,384},{3,3600}</t>
  </si>
  <si>
    <t>{1,416},{3,3900}</t>
  </si>
  <si>
    <t>{1,448},{3,4200}</t>
  </si>
  <si>
    <t>{1,480},{3,4500}</t>
  </si>
  <si>
    <t>{1,512},{3,4800}</t>
  </si>
  <si>
    <t>{1,544},{3,5100}</t>
  </si>
  <si>
    <t>{1,576},{3,5400}</t>
  </si>
  <si>
    <t>{1,608},{3,5700}</t>
  </si>
  <si>
    <t>{1,640},{3,6000}</t>
  </si>
  <si>
    <t>{1,672},{3,6300}</t>
  </si>
  <si>
    <t>{1,704},{3,6600}</t>
  </si>
  <si>
    <t>{1,736},{3,6900}</t>
  </si>
  <si>
    <t>{1,768},{3,7200}</t>
  </si>
  <si>
    <t>{1,800},{3,7500}</t>
  </si>
  <si>
    <t>{1,832},{3,7800}</t>
  </si>
  <si>
    <t>{1,864},{3,8100}</t>
  </si>
  <si>
    <t>{1,896},{3,8400}</t>
  </si>
  <si>
    <t>{1,1376},{3,12900}</t>
  </si>
  <si>
    <t>{1,1440},{3,13500}</t>
  </si>
  <si>
    <t>{1,1504},{3,14100}</t>
  </si>
  <si>
    <t>{1,1568},{3,14700}</t>
  </si>
  <si>
    <t>{1,1632},{3,15300}</t>
  </si>
  <si>
    <t>{1,1696},{3,15900}</t>
  </si>
  <si>
    <t>{1,1760},{3,16500}</t>
  </si>
  <si>
    <t>{1,1824},{3,17100}</t>
  </si>
  <si>
    <t>{1,1888},{3,17700}</t>
  </si>
  <si>
    <t>{1,1952},{3,18300}</t>
  </si>
  <si>
    <t>{1,2016},{3,18900}</t>
  </si>
  <si>
    <t>{1,2080},{3,19500}</t>
  </si>
  <si>
    <t>{1,2144},{3,20100}</t>
  </si>
  <si>
    <t>{1,2208},{3,20700}</t>
  </si>
  <si>
    <t>{1,2272},{3,21300}</t>
  </si>
  <si>
    <t>{1,2336},{3,21900}</t>
  </si>
  <si>
    <t>{1,2400},{3,22500}</t>
  </si>
  <si>
    <t>{1,2464},{3,23100}</t>
  </si>
  <si>
    <t>{1,2528},{3,23700}</t>
  </si>
  <si>
    <t>{1,2592},{3,24300}</t>
  </si>
  <si>
    <t>{1,3312},{3,31050}</t>
  </si>
  <si>
    <t>{1,3408},{3,31950}</t>
  </si>
  <si>
    <t>{1,3504},{3,32850}</t>
  </si>
  <si>
    <t>{1,3600},{3,33750}</t>
  </si>
  <si>
    <t>{1,3696},{3,34650}</t>
  </si>
  <si>
    <t>{1,3792},{3,35550}</t>
  </si>
  <si>
    <t>{1,3888},{3,36450}</t>
  </si>
  <si>
    <t>{1,3984},{3,37350}</t>
  </si>
  <si>
    <t>{1,4080},{3,38250}</t>
  </si>
  <si>
    <t>{1,4176},{3,39150}</t>
  </si>
  <si>
    <t>{1,4272},{3,40050}</t>
  </si>
  <si>
    <t>{1,4368},{3,40950}</t>
  </si>
  <si>
    <t>{1,4464},{3,41850}</t>
  </si>
  <si>
    <t>{1,4560},{3,42750}</t>
  </si>
  <si>
    <t>{1,4656},{3,43650}</t>
  </si>
  <si>
    <t>{1,4752},{3,44550}</t>
  </si>
  <si>
    <t>{1,4848},{3,45450}</t>
  </si>
  <si>
    <t>{1,4944},{3,46350}</t>
  </si>
  <si>
    <t>{1,5040},{3,47250}</t>
  </si>
  <si>
    <t>{1,5136},{3,48150}</t>
  </si>
  <si>
    <t>{1,6214},{3,58260}</t>
  </si>
  <si>
    <t>{1,6342},{3,59460}</t>
  </si>
  <si>
    <t>{1,6470},{3,60660}</t>
  </si>
  <si>
    <t>{1,6598},{3,61860}</t>
  </si>
  <si>
    <t>{1,6726},{3,63060}</t>
  </si>
  <si>
    <t>{1,6854},{3,64260}</t>
  </si>
  <si>
    <t>{1,6982},{3,65460}</t>
  </si>
  <si>
    <t>{1,7110},{3,66660}</t>
  </si>
  <si>
    <t>{1,7238},{3,67860}</t>
  </si>
  <si>
    <t>{1,7366},{3,69060}</t>
  </si>
  <si>
    <t>{1,7494},{3,70260}</t>
  </si>
  <si>
    <t>{1,7622},{3,71460}</t>
  </si>
  <si>
    <t>{1,7750},{3,72660}</t>
  </si>
  <si>
    <t>{1,7878},{3,73860}</t>
  </si>
  <si>
    <t>{1,8006},{3,75060}</t>
  </si>
  <si>
    <t>{1,8134},{3,76260}</t>
  </si>
  <si>
    <t>{1,8262},{3,77460}</t>
  </si>
  <si>
    <t>{1,8390},{3,78660}</t>
  </si>
  <si>
    <t>{1,8518},{3,79860}</t>
  </si>
  <si>
    <t>{1,8646},{3,81060}</t>
  </si>
  <si>
    <t>{1,10262},{3,96210}</t>
  </si>
  <si>
    <t>{1,10422},{3,97710}</t>
  </si>
  <si>
    <t>{1,10582},{3,99210}</t>
  </si>
  <si>
    <t>{1,10742},{3,100710}</t>
  </si>
  <si>
    <t>{1,10902},{3,102210}</t>
  </si>
  <si>
    <t>{1,11062},{3,103710}</t>
  </si>
  <si>
    <t>{1,11222},{3,105210}</t>
  </si>
  <si>
    <t>{1,11382},{3,106710}</t>
  </si>
  <si>
    <t>{1,11542},{3,108210}</t>
  </si>
  <si>
    <t>{1,11702},{3,109710}</t>
  </si>
  <si>
    <t>{1,11862},{3,111210}</t>
  </si>
  <si>
    <t>{1,12022},{3,112710}</t>
  </si>
  <si>
    <t>{1,12182},{3,114210}</t>
  </si>
  <si>
    <t>{1,12342},{3,115710}</t>
  </si>
  <si>
    <t>{1,12502},{3,117210}</t>
  </si>
  <si>
    <t>{1,12662},{3,118710}</t>
  </si>
  <si>
    <t>{1,12822},{3,120210}</t>
  </si>
  <si>
    <t>{1,12982},{3,121710}</t>
  </si>
  <si>
    <t>{1,13142},{3,123210}</t>
  </si>
  <si>
    <t>{1,13302},{3,124710}</t>
  </si>
  <si>
    <t>{1,15724},{3,147420}</t>
  </si>
  <si>
    <t>{1,640},{3,3840}</t>
  </si>
  <si>
    <t>{1,680},{3,4080}</t>
  </si>
  <si>
    <t>{1,760},{3,4560}</t>
  </si>
  <si>
    <t>{1,800},{3,4800}</t>
  </si>
  <si>
    <t>{1,880},{3,5280}</t>
  </si>
  <si>
    <t>{1,920},{3,5520}</t>
  </si>
  <si>
    <t>{1,960},{3,5760}</t>
  </si>
  <si>
    <t>{1,1000},{3,6000}</t>
  </si>
  <si>
    <t>{1,1040},{3,6240}</t>
  </si>
  <si>
    <t>{1,1080},{3,6480}</t>
  </si>
  <si>
    <t>{1,1120},{3,6720}</t>
  </si>
  <si>
    <t>{1,1720},{3,10320}</t>
  </si>
  <si>
    <t>{1,1800},{3,10800}</t>
  </si>
  <si>
    <t>{1,1880},{3,11280}</t>
  </si>
  <si>
    <t>{1,1960},{3,11760}</t>
  </si>
  <si>
    <t>{1,2040},{3,12240}</t>
  </si>
  <si>
    <t>{1,2120},{3,12720}</t>
  </si>
  <si>
    <t>{1,2200},{3,13200}</t>
  </si>
  <si>
    <t>{1,2280},{3,13680}</t>
  </si>
  <si>
    <t>{1,2360},{3,14160}</t>
  </si>
  <si>
    <t>{1,2440},{3,14640}</t>
  </si>
  <si>
    <t>{1,2520},{3,15120}</t>
  </si>
  <si>
    <t>{1,2600},{3,15600}</t>
  </si>
  <si>
    <t>{1,2680},{3,16080}</t>
  </si>
  <si>
    <t>{1,2760},{3,16560}</t>
  </si>
  <si>
    <t>{1,2840},{3,17040}</t>
  </si>
  <si>
    <t>{1,2920},{3,17520}</t>
  </si>
  <si>
    <t>{1,3000},{3,18000}</t>
  </si>
  <si>
    <t>{1,3080},{3,18480}</t>
  </si>
  <si>
    <t>{1,3160},{3,18960}</t>
  </si>
  <si>
    <t>{1,3240},{3,19440}</t>
  </si>
  <si>
    <t>{1,4140},{3,24840}</t>
  </si>
  <si>
    <t>{1,4260},{3,25560}</t>
  </si>
  <si>
    <t>{1,4380},{3,26280}</t>
  </si>
  <si>
    <t>{1,4500},{3,27000}</t>
  </si>
  <si>
    <t>{1,4620},{3,27720}</t>
  </si>
  <si>
    <t>{1,4740},{3,28440}</t>
  </si>
  <si>
    <t>{1,4860},{3,29160}</t>
  </si>
  <si>
    <t>{1,4980},{3,29880}</t>
  </si>
  <si>
    <t>{1,5100},{3,30600}</t>
  </si>
  <si>
    <t>{1,5220},{3,31320}</t>
  </si>
  <si>
    <t>{1,5340},{3,32040}</t>
  </si>
  <si>
    <t>{1,5460},{3,32760}</t>
  </si>
  <si>
    <t>{1,5580},{3,33480}</t>
  </si>
  <si>
    <t>{1,5700},{3,34200}</t>
  </si>
  <si>
    <t>{1,5820},{3,34920}</t>
  </si>
  <si>
    <t>{1,5940},{3,35640}</t>
  </si>
  <si>
    <t>{1,6060},{3,36360}</t>
  </si>
  <si>
    <t>{1,6180},{3,37080}</t>
  </si>
  <si>
    <t>{1,6300},{3,37800}</t>
  </si>
  <si>
    <t>{1,6420},{3,38520}</t>
  </si>
  <si>
    <t>{1,7768},{3,46608}</t>
  </si>
  <si>
    <t>{1,7928},{3,47568}</t>
  </si>
  <si>
    <t>{1,8088},{3,48528}</t>
  </si>
  <si>
    <t>{1,8248},{3,49488}</t>
  </si>
  <si>
    <t>{1,8408},{3,50448}</t>
  </si>
  <si>
    <t>{1,8568},{3,51408}</t>
  </si>
  <si>
    <t>{1,8728},{3,52368}</t>
  </si>
  <si>
    <t>{1,8888},{3,53328}</t>
  </si>
  <si>
    <t>{1,9048},{3,54288}</t>
  </si>
  <si>
    <t>{1,9208},{3,55248}</t>
  </si>
  <si>
    <t>{1,9368},{3,56208}</t>
  </si>
  <si>
    <t>{1,9528},{3,57168}</t>
  </si>
  <si>
    <t>{1,9688},{3,58128}</t>
  </si>
  <si>
    <t>{1,9848},{3,59088}</t>
  </si>
  <si>
    <t>{1,10008},{3,60048}</t>
  </si>
  <si>
    <t>{1,10168},{3,61008}</t>
  </si>
  <si>
    <t>{1,10328},{3,61968}</t>
  </si>
  <si>
    <t>{1,10488},{3,62928}</t>
  </si>
  <si>
    <t>{1,10648},{3,63888}</t>
  </si>
  <si>
    <t>{1,10808},{3,64848}</t>
  </si>
  <si>
    <t>{1,12828},{3,76968}</t>
  </si>
  <si>
    <t>{1,13028},{3,78168}</t>
  </si>
  <si>
    <t>{1,13228},{3,79368}</t>
  </si>
  <si>
    <t>{1,13428},{3,80568}</t>
  </si>
  <si>
    <t>{1,13628},{3,81768}</t>
  </si>
  <si>
    <t>{1,13828},{3,82968}</t>
  </si>
  <si>
    <t>{1,14028},{3,84168}</t>
  </si>
  <si>
    <t>{1,14228},{3,85368}</t>
  </si>
  <si>
    <t>{1,14428},{3,86568}</t>
  </si>
  <si>
    <t>{1,14628},{3,87768}</t>
  </si>
  <si>
    <t>{1,14828},{3,88968}</t>
  </si>
  <si>
    <t>{1,15028},{3,90168}</t>
  </si>
  <si>
    <t>{1,15228},{3,91368}</t>
  </si>
  <si>
    <t>{1,15428},{3,92568}</t>
  </si>
  <si>
    <t>{1,15628},{3,93768}</t>
  </si>
  <si>
    <t>{1,15828},{3,94968}</t>
  </si>
  <si>
    <t>{1,16028},{3,96168}</t>
  </si>
  <si>
    <t>{1,16228},{3,97368}</t>
  </si>
  <si>
    <t>{1,16428},{3,98568}</t>
  </si>
  <si>
    <t>{1,16628},{3,99768}</t>
  </si>
  <si>
    <t>{1,19656},{3,117936}</t>
  </si>
  <si>
    <t>{1,550},{3,3300}</t>
  </si>
  <si>
    <t>{1,650},{3,3900}</t>
  </si>
  <si>
    <t>{1,700},{3,4200}</t>
  </si>
  <si>
    <t>{1,850},{3,5100}</t>
  </si>
  <si>
    <t>{1,950},{3,5700}</t>
  </si>
  <si>
    <t>{1,1050},{3,6300}</t>
  </si>
  <si>
    <t>{1,1150},{3,6900}</t>
  </si>
  <si>
    <t>{1,1200},{3,7200}</t>
  </si>
  <si>
    <t>{1,1250},{3,7500}</t>
  </si>
  <si>
    <t>{1,1400},{3,8400}</t>
  </si>
  <si>
    <t>{1,2150},{3,12900}</t>
  </si>
  <si>
    <t>{1,2350},{3,14100}</t>
  </si>
  <si>
    <t>{1,2450},{3,14700}</t>
  </si>
  <si>
    <t>{1,2650},{3,15900}</t>
  </si>
  <si>
    <t>{1,2750},{3,16500}</t>
  </si>
  <si>
    <t>{1,2950},{3,17700}</t>
  </si>
  <si>
    <t>{1,3050},{3,18300}</t>
  </si>
  <si>
    <t>{1,3250},{3,19500}</t>
  </si>
  <si>
    <t>{1,3350},{3,20100}</t>
  </si>
  <si>
    <t>{1,3450},{3,20700}</t>
  </si>
  <si>
    <t>{1,3550},{3,21300}</t>
  </si>
  <si>
    <t>{1,3650},{3,21900}</t>
  </si>
  <si>
    <t>{1,3750},{3,22500}</t>
  </si>
  <si>
    <t>{1,3850},{3,23100}</t>
  </si>
  <si>
    <t>{1,3950},{3,23700}</t>
  </si>
  <si>
    <t>{1,4050},{3,24300}</t>
  </si>
  <si>
    <t>{1,5175},{3,31050}</t>
  </si>
  <si>
    <t>{1,5325},{3,31950}</t>
  </si>
  <si>
    <t>{1,5475},{3,32850}</t>
  </si>
  <si>
    <t>{1,5625},{3,33750}</t>
  </si>
  <si>
    <t>{1,5775},{3,34650}</t>
  </si>
  <si>
    <t>{1,5925},{3,35550}</t>
  </si>
  <si>
    <t>{1,6075},{3,36450}</t>
  </si>
  <si>
    <t>{1,6225},{3,37350}</t>
  </si>
  <si>
    <t>{1,6375},{3,38250}</t>
  </si>
  <si>
    <t>{1,6525},{3,39150}</t>
  </si>
  <si>
    <t>{1,6675},{3,40050}</t>
  </si>
  <si>
    <t>{1,6825},{3,40950}</t>
  </si>
  <si>
    <t>{1,6975},{3,41850}</t>
  </si>
  <si>
    <t>{1,7125},{3,42750}</t>
  </si>
  <si>
    <t>{1,7275},{3,43650}</t>
  </si>
  <si>
    <t>{1,7425},{3,44550}</t>
  </si>
  <si>
    <t>{1,7575},{3,45450}</t>
  </si>
  <si>
    <t>{1,7725},{3,46350}</t>
  </si>
  <si>
    <t>{1,7875},{3,47250}</t>
  </si>
  <si>
    <t>{1,8025},{3,48150}</t>
  </si>
  <si>
    <t>{1,9710},{3,58260}</t>
  </si>
  <si>
    <t>{1,9910},{3,59460}</t>
  </si>
  <si>
    <t>{1,10110},{3,60660}</t>
  </si>
  <si>
    <t>{1,10310},{3,61860}</t>
  </si>
  <si>
    <t>{1,10510},{3,63060}</t>
  </si>
  <si>
    <t>{1,10710},{3,64260}</t>
  </si>
  <si>
    <t>{1,10910},{3,65460}</t>
  </si>
  <si>
    <t>{1,11110},{3,66660}</t>
  </si>
  <si>
    <t>{1,11310},{3,67860}</t>
  </si>
  <si>
    <t>{1,11510},{3,69060}</t>
  </si>
  <si>
    <t>{1,11710},{3,70260}</t>
  </si>
  <si>
    <t>{1,11910},{3,71460}</t>
  </si>
  <si>
    <t>{1,12110},{3,72660}</t>
  </si>
  <si>
    <t>{1,12310},{3,73860}</t>
  </si>
  <si>
    <t>{1,12510},{3,75060}</t>
  </si>
  <si>
    <t>{1,12710},{3,76260}</t>
  </si>
  <si>
    <t>{1,12910},{3,77460}</t>
  </si>
  <si>
    <t>{1,13110},{3,78660}</t>
  </si>
  <si>
    <t>{1,13310},{3,79860}</t>
  </si>
  <si>
    <t>{1,13510},{3,81060}</t>
  </si>
  <si>
    <t>{1,16035},{3,96210}</t>
  </si>
  <si>
    <t>{1,16285},{3,97710}</t>
  </si>
  <si>
    <t>{1,16535},{3,99210}</t>
  </si>
  <si>
    <t>{1,16785},{3,100710}</t>
  </si>
  <si>
    <t>{1,17035},{3,102210}</t>
  </si>
  <si>
    <t>{1,17285},{3,103710}</t>
  </si>
  <si>
    <t>{1,17535},{3,105210}</t>
  </si>
  <si>
    <t>{1,17785},{3,106710}</t>
  </si>
  <si>
    <t>{1,18035},{3,108210}</t>
  </si>
  <si>
    <t>{1,18285},{3,109710}</t>
  </si>
  <si>
    <t>{1,18535},{3,111210}</t>
  </si>
  <si>
    <t>{1,18785},{3,112710}</t>
  </si>
  <si>
    <t>{1,19035},{3,114210}</t>
  </si>
  <si>
    <t>{1,19285},{3,115710}</t>
  </si>
  <si>
    <t>{1,19535},{3,117210}</t>
  </si>
  <si>
    <t>{1,19785},{3,118710}</t>
  </si>
  <si>
    <t>{1,20035},{3,120210}</t>
  </si>
  <si>
    <t>{1,20285},{3,121710}</t>
  </si>
  <si>
    <t>{1,20535},{3,123210}</t>
  </si>
  <si>
    <t>{1,20785},{3,124710}</t>
  </si>
  <si>
    <t>{1,24570},{3,147420}</t>
  </si>
  <si>
    <t>{1,600},{3,2500}</t>
  </si>
  <si>
    <t>{1,660},{3,2750}</t>
  </si>
  <si>
    <t>{1,780},{3,3250}</t>
  </si>
  <si>
    <t>{1,840},{3,3500}</t>
  </si>
  <si>
    <t>{1,900},{3,3750}</t>
  </si>
  <si>
    <t>{1,1020},{3,4250}</t>
  </si>
  <si>
    <t>{1,1080},{3,4500}</t>
  </si>
  <si>
    <t>{1,1140},{3,4750}</t>
  </si>
  <si>
    <t>{1,1260},{3,5250}</t>
  </si>
  <si>
    <t>{1,1320},{3,5500}</t>
  </si>
  <si>
    <t>{1,1380},{3,5750}</t>
  </si>
  <si>
    <t>{1,1440},{3,6000}</t>
  </si>
  <si>
    <t>{1,1500},{3,6250}</t>
  </si>
  <si>
    <t>{1,1560},{3,6500}</t>
  </si>
  <si>
    <t>{1,1620},{3,6750}</t>
  </si>
  <si>
    <t>{1,1680},{3,7000}</t>
  </si>
  <si>
    <t>{1,2580},{3,10750}</t>
  </si>
  <si>
    <t>{1,2700},{3,11250}</t>
  </si>
  <si>
    <t>{1,2820},{3,11750}</t>
  </si>
  <si>
    <t>{1,2940},{3,12250}</t>
  </si>
  <si>
    <t>{1,3060},{3,12750}</t>
  </si>
  <si>
    <t>{1,3180},{3,13250}</t>
  </si>
  <si>
    <t>{1,3300},{3,13750}</t>
  </si>
  <si>
    <t>{1,3420},{3,14250}</t>
  </si>
  <si>
    <t>{1,3540},{3,14750}</t>
  </si>
  <si>
    <t>{1,3660},{3,15250}</t>
  </si>
  <si>
    <t>{1,3780},{3,15750}</t>
  </si>
  <si>
    <t>{1,3900},{3,16250}</t>
  </si>
  <si>
    <t>{1,4020},{3,16750}</t>
  </si>
  <si>
    <t>{1,4140},{3,17250}</t>
  </si>
  <si>
    <t>{1,4260},{3,17750}</t>
  </si>
  <si>
    <t>{1,4380},{3,18250}</t>
  </si>
  <si>
    <t>{1,4500},{3,18750}</t>
  </si>
  <si>
    <t>{1,4620},{3,19250}</t>
  </si>
  <si>
    <t>{1,4740},{3,19750}</t>
  </si>
  <si>
    <t>{1,4860},{3,20250}</t>
  </si>
  <si>
    <t>{1,6210},{3,25875}</t>
  </si>
  <si>
    <t>{1,6390},{3,26625}</t>
  </si>
  <si>
    <t>{1,6570},{3,27375}</t>
  </si>
  <si>
    <t>{1,6750},{3,28125}</t>
  </si>
  <si>
    <t>{1,6930},{3,28875}</t>
  </si>
  <si>
    <t>{1,7110},{3,29625}</t>
  </si>
  <si>
    <t>{1,7290},{3,30375}</t>
  </si>
  <si>
    <t>{1,7470},{3,31125}</t>
  </si>
  <si>
    <t>{1,7650},{3,31875}</t>
  </si>
  <si>
    <t>{1,7830},{3,32625}</t>
  </si>
  <si>
    <t>{1,8010},{3,33375}</t>
  </si>
  <si>
    <t>{1,8190},{3,34125}</t>
  </si>
  <si>
    <t>{1,8370},{3,34875}</t>
  </si>
  <si>
    <t>{1,8550},{3,35625}</t>
  </si>
  <si>
    <t>{1,8730},{3,36375}</t>
  </si>
  <si>
    <t>{1,8910},{3,37125}</t>
  </si>
  <si>
    <t>{1,9090},{3,37875}</t>
  </si>
  <si>
    <t>{1,9270},{3,38625}</t>
  </si>
  <si>
    <t>{1,9450},{3,39375}</t>
  </si>
  <si>
    <t>{1,9630},{3,40125}</t>
  </si>
  <si>
    <t>{1,11652},{3,48550}</t>
  </si>
  <si>
    <t>{1,11892},{3,49550}</t>
  </si>
  <si>
    <t>{1,12132},{3,50550}</t>
  </si>
  <si>
    <t>{1,12372},{3,51550}</t>
  </si>
  <si>
    <t>{1,12612},{3,52550}</t>
  </si>
  <si>
    <t>{1,12852},{3,53550}</t>
  </si>
  <si>
    <t>{1,13092},{3,54550}</t>
  </si>
  <si>
    <t>{1,13332},{3,55550}</t>
  </si>
  <si>
    <t>{1,13572},{3,56550}</t>
  </si>
  <si>
    <t>{1,13812},{3,57550}</t>
  </si>
  <si>
    <t>{1,14052},{3,58550}</t>
  </si>
  <si>
    <t>{1,14292},{3,59550}</t>
  </si>
  <si>
    <t>{1,14532},{3,60550}</t>
  </si>
  <si>
    <t>{1,14772},{3,61550}</t>
  </si>
  <si>
    <t>{1,15012},{3,62550}</t>
  </si>
  <si>
    <t>{1,15252},{3,63550}</t>
  </si>
  <si>
    <t>{1,15492},{3,64550}</t>
  </si>
  <si>
    <t>{1,15732},{3,65550}</t>
  </si>
  <si>
    <t>{1,15972},{3,66550}</t>
  </si>
  <si>
    <t>{1,16212},{3,67550}</t>
  </si>
  <si>
    <t>{1,19242},{3,80175}</t>
  </si>
  <si>
    <t>{1,19542},{3,81425}</t>
  </si>
  <si>
    <t>{1,19842},{3,82675}</t>
  </si>
  <si>
    <t>{1,20142},{3,83925}</t>
  </si>
  <si>
    <t>{1,20442},{3,85175}</t>
  </si>
  <si>
    <t>{1,20742},{3,86425}</t>
  </si>
  <si>
    <t>{1,21042},{3,87675}</t>
  </si>
  <si>
    <t>{1,21342},{3,88925}</t>
  </si>
  <si>
    <t>{1,21642},{3,90175}</t>
  </si>
  <si>
    <t>{1,21942},{3,91425}</t>
  </si>
  <si>
    <t>{1,22242},{3,92675}</t>
  </si>
  <si>
    <t>{1,22542},{3,93925}</t>
  </si>
  <si>
    <t>{1,22842},{3,95175}</t>
  </si>
  <si>
    <t>{1,23142},{3,96425}</t>
  </si>
  <si>
    <t>{1,23442},{3,97675}</t>
  </si>
  <si>
    <t>{1,23742},{3,98925}</t>
  </si>
  <si>
    <t>{1,24042},{3,100175}</t>
  </si>
  <si>
    <t>{1,24342},{3,101425}</t>
  </si>
  <si>
    <t>{1,24642},{3,102675}</t>
  </si>
  <si>
    <t>{1,24942},{3,103925}</t>
  </si>
  <si>
    <t>{1,29484},{3,122850}</t>
  </si>
  <si>
    <t>{升级材料\突破材料},{金币}</t>
    <phoneticPr fontId="10" type="noConversion"/>
  </si>
  <si>
    <t>1</t>
  </si>
  <si>
    <t>400</t>
  </si>
  <si>
    <t>440</t>
  </si>
  <si>
    <t>480</t>
  </si>
  <si>
    <t>500</t>
  </si>
  <si>
    <t>540</t>
  </si>
  <si>
    <t>580</t>
  </si>
  <si>
    <t>600</t>
  </si>
  <si>
    <t>1000</t>
  </si>
  <si>
    <t>2000</t>
  </si>
  <si>
    <t>3750</t>
  </si>
  <si>
    <t>4500</t>
  </si>
  <si>
    <t>9000</t>
  </si>
  <si>
    <t>10500</t>
  </si>
  <si>
    <t>15750</t>
  </si>
  <si>
    <t>3</t>
  </si>
  <si>
    <t>20</t>
  </si>
  <si>
    <t>22</t>
  </si>
  <si>
    <t>24</t>
  </si>
  <si>
    <t>25</t>
  </si>
  <si>
    <t>27</t>
  </si>
  <si>
    <t>29</t>
  </si>
  <si>
    <t>30</t>
  </si>
  <si>
    <t>50</t>
  </si>
  <si>
    <t>100</t>
  </si>
  <si>
    <t>150</t>
  </si>
  <si>
    <t>300</t>
  </si>
  <si>
    <t>450</t>
  </si>
  <si>
    <t>301</t>
    <phoneticPr fontId="10" type="noConversion"/>
  </si>
  <si>
    <t>{201,20},{2,400}</t>
  </si>
  <si>
    <t>{201,22},{2,440}</t>
  </si>
  <si>
    <t>{201,24},{2,480}</t>
  </si>
  <si>
    <t>{201,25},{2,500}</t>
  </si>
  <si>
    <t>{201,27},{2,540}</t>
  </si>
  <si>
    <t>{201,29},{2,580}</t>
  </si>
  <si>
    <t>{201,30},{2,600}</t>
  </si>
  <si>
    <t>{201,50},{2,1000}</t>
  </si>
  <si>
    <t>{301,50},{2,1000}</t>
  </si>
  <si>
    <t>{201,100},{2,2000}</t>
  </si>
  <si>
    <t>{301,100},{2,2000}</t>
  </si>
  <si>
    <t>{201,150},{2,3750}</t>
  </si>
  <si>
    <t>{301,150},{2,4500}</t>
  </si>
  <si>
    <t>{201,300},{2,9000}</t>
  </si>
  <si>
    <t>{301,300},{2,10500}</t>
  </si>
  <si>
    <t>{201,450},{2,15750}</t>
  </si>
  <si>
    <t>{,},{,}</t>
  </si>
  <si>
    <t>int</t>
    <phoneticPr fontId="10" type="noConversion"/>
  </si>
  <si>
    <t>[Prop]</t>
    <phoneticPr fontId="10" type="noConversion"/>
  </si>
  <si>
    <t>1200</t>
  </si>
  <si>
    <t>1200</t>
    <phoneticPr fontId="10" type="noConversion"/>
  </si>
  <si>
    <t>1400</t>
  </si>
  <si>
    <t>1400</t>
    <phoneticPr fontId="10" type="noConversion"/>
  </si>
  <si>
    <t>1600</t>
  </si>
  <si>
    <t>1600</t>
    <phoneticPr fontId="10" type="noConversion"/>
  </si>
  <si>
    <t>1800</t>
  </si>
  <si>
    <t>1800</t>
    <phoneticPr fontId="10" type="noConversion"/>
  </si>
  <si>
    <t>2000</t>
    <phoneticPr fontId="10" type="noConversion"/>
  </si>
  <si>
    <t>200</t>
  </si>
  <si>
    <t>220</t>
  </si>
  <si>
    <t>240</t>
  </si>
  <si>
    <t>260</t>
  </si>
  <si>
    <t>280</t>
  </si>
  <si>
    <t>320</t>
  </si>
  <si>
    <t>340</t>
  </si>
  <si>
    <t>360</t>
  </si>
  <si>
    <t>380</t>
  </si>
  <si>
    <t>420</t>
  </si>
  <si>
    <t>460</t>
  </si>
  <si>
    <t>520</t>
  </si>
  <si>
    <t>560</t>
  </si>
  <si>
    <t>860</t>
  </si>
  <si>
    <t>900</t>
  </si>
  <si>
    <t>940</t>
  </si>
  <si>
    <t>980</t>
  </si>
  <si>
    <t>1020</t>
  </si>
  <si>
    <t>1060</t>
  </si>
  <si>
    <t>1100</t>
  </si>
  <si>
    <t>1140</t>
  </si>
  <si>
    <t>1180</t>
  </si>
  <si>
    <t>1220</t>
  </si>
  <si>
    <t>1260</t>
  </si>
  <si>
    <t>1300</t>
  </si>
  <si>
    <t>1340</t>
  </si>
  <si>
    <t>1380</t>
  </si>
  <si>
    <t>1420</t>
  </si>
  <si>
    <t>1460</t>
  </si>
  <si>
    <t>1500</t>
  </si>
  <si>
    <t>1540</t>
  </si>
  <si>
    <t>1580</t>
  </si>
  <si>
    <t>1620</t>
  </si>
  <si>
    <t>2070</t>
  </si>
  <si>
    <t>2130</t>
  </si>
  <si>
    <t>2190</t>
  </si>
  <si>
    <t>2250</t>
  </si>
  <si>
    <t>2310</t>
  </si>
  <si>
    <t>2370</t>
  </si>
  <si>
    <t>2430</t>
  </si>
  <si>
    <t>2490</t>
  </si>
  <si>
    <t>2550</t>
  </si>
  <si>
    <t>2610</t>
  </si>
  <si>
    <t>2670</t>
  </si>
  <si>
    <t>2730</t>
  </si>
  <si>
    <t>2790</t>
  </si>
  <si>
    <t>2850</t>
  </si>
  <si>
    <t>2910</t>
  </si>
  <si>
    <t>2970</t>
  </si>
  <si>
    <t>3030</t>
  </si>
  <si>
    <t>3090</t>
  </si>
  <si>
    <t>3150</t>
  </si>
  <si>
    <t>3210</t>
  </si>
  <si>
    <t>3884</t>
  </si>
  <si>
    <t>3964</t>
  </si>
  <si>
    <t>4044</t>
  </si>
  <si>
    <t>4124</t>
  </si>
  <si>
    <t>4204</t>
  </si>
  <si>
    <t>4284</t>
  </si>
  <si>
    <t>4364</t>
  </si>
  <si>
    <t>4444</t>
  </si>
  <si>
    <t>4524</t>
  </si>
  <si>
    <t>4604</t>
  </si>
  <si>
    <t>4684</t>
  </si>
  <si>
    <t>4764</t>
  </si>
  <si>
    <t>4844</t>
  </si>
  <si>
    <t>4924</t>
  </si>
  <si>
    <t>5004</t>
  </si>
  <si>
    <t>5084</t>
  </si>
  <si>
    <t>5164</t>
  </si>
  <si>
    <t>5244</t>
  </si>
  <si>
    <t>5324</t>
  </si>
  <si>
    <t>5404</t>
  </si>
  <si>
    <t>6414</t>
  </si>
  <si>
    <t>6514</t>
  </si>
  <si>
    <t>6614</t>
  </si>
  <si>
    <t>6714</t>
  </si>
  <si>
    <t>6814</t>
  </si>
  <si>
    <t>6914</t>
  </si>
  <si>
    <t>7014</t>
  </si>
  <si>
    <t>7114</t>
  </si>
  <si>
    <t>7214</t>
  </si>
  <si>
    <t>7314</t>
  </si>
  <si>
    <t>7414</t>
  </si>
  <si>
    <t>7514</t>
  </si>
  <si>
    <t>7614</t>
  </si>
  <si>
    <t>7714</t>
  </si>
  <si>
    <t>7814</t>
  </si>
  <si>
    <t>7914</t>
  </si>
  <si>
    <t>8014</t>
  </si>
  <si>
    <t>8114</t>
  </si>
  <si>
    <t>8214</t>
  </si>
  <si>
    <t>8314</t>
  </si>
  <si>
    <t>9828</t>
  </si>
  <si>
    <t>330</t>
  </si>
  <si>
    <t>390</t>
  </si>
  <si>
    <t>510</t>
  </si>
  <si>
    <t>570</t>
  </si>
  <si>
    <t>630</t>
  </si>
  <si>
    <t>660</t>
  </si>
  <si>
    <t>690</t>
  </si>
  <si>
    <t>720</t>
  </si>
  <si>
    <t>750</t>
  </si>
  <si>
    <t>780</t>
  </si>
  <si>
    <t>810</t>
  </si>
  <si>
    <t>840</t>
  </si>
  <si>
    <t>1290</t>
  </si>
  <si>
    <t>1350</t>
  </si>
  <si>
    <t>1410</t>
  </si>
  <si>
    <t>1470</t>
  </si>
  <si>
    <t>1530</t>
  </si>
  <si>
    <t>1590</t>
  </si>
  <si>
    <t>1650</t>
  </si>
  <si>
    <t>1710</t>
  </si>
  <si>
    <t>1770</t>
  </si>
  <si>
    <t>1830</t>
  </si>
  <si>
    <t>1890</t>
  </si>
  <si>
    <t>1950</t>
  </si>
  <si>
    <t>2010</t>
  </si>
  <si>
    <t>3105</t>
  </si>
  <si>
    <t>3195</t>
  </si>
  <si>
    <t>3285</t>
  </si>
  <si>
    <t>3375</t>
  </si>
  <si>
    <t>3465</t>
  </si>
  <si>
    <t>3555</t>
  </si>
  <si>
    <t>3645</t>
  </si>
  <si>
    <t>3735</t>
  </si>
  <si>
    <t>3825</t>
  </si>
  <si>
    <t>3915</t>
  </si>
  <si>
    <t>4005</t>
  </si>
  <si>
    <t>4095</t>
  </si>
  <si>
    <t>4185</t>
  </si>
  <si>
    <t>4275</t>
  </si>
  <si>
    <t>4365</t>
  </si>
  <si>
    <t>4455</t>
  </si>
  <si>
    <t>4545</t>
  </si>
  <si>
    <t>4635</t>
  </si>
  <si>
    <t>4725</t>
  </si>
  <si>
    <t>4815</t>
  </si>
  <si>
    <t>5826</t>
  </si>
  <si>
    <t>5946</t>
  </si>
  <si>
    <t>6066</t>
  </si>
  <si>
    <t>6186</t>
  </si>
  <si>
    <t>6306</t>
  </si>
  <si>
    <t>6426</t>
  </si>
  <si>
    <t>6546</t>
  </si>
  <si>
    <t>6666</t>
  </si>
  <si>
    <t>6786</t>
  </si>
  <si>
    <t>6906</t>
  </si>
  <si>
    <t>7026</t>
  </si>
  <si>
    <t>7146</t>
  </si>
  <si>
    <t>7266</t>
  </si>
  <si>
    <t>7386</t>
  </si>
  <si>
    <t>7506</t>
  </si>
  <si>
    <t>7626</t>
  </si>
  <si>
    <t>7746</t>
  </si>
  <si>
    <t>7866</t>
  </si>
  <si>
    <t>7986</t>
  </si>
  <si>
    <t>8106</t>
  </si>
  <si>
    <t>9621</t>
  </si>
  <si>
    <t>9771</t>
  </si>
  <si>
    <t>9921</t>
  </si>
  <si>
    <t>10071</t>
  </si>
  <si>
    <t>10221</t>
  </si>
  <si>
    <t>10371</t>
  </si>
  <si>
    <t>10521</t>
  </si>
  <si>
    <t>10671</t>
  </si>
  <si>
    <t>10821</t>
  </si>
  <si>
    <t>10971</t>
  </si>
  <si>
    <t>11121</t>
  </si>
  <si>
    <t>11271</t>
  </si>
  <si>
    <t>11421</t>
  </si>
  <si>
    <t>11571</t>
  </si>
  <si>
    <t>11721</t>
  </si>
  <si>
    <t>11871</t>
  </si>
  <si>
    <t>12021</t>
  </si>
  <si>
    <t>12171</t>
  </si>
  <si>
    <t>12321</t>
  </si>
  <si>
    <t>12471</t>
  </si>
  <si>
    <t>14742</t>
  </si>
  <si>
    <t>528</t>
  </si>
  <si>
    <t>576</t>
  </si>
  <si>
    <t>624</t>
  </si>
  <si>
    <t>672</t>
  </si>
  <si>
    <t>768</t>
  </si>
  <si>
    <t>816</t>
  </si>
  <si>
    <t>864</t>
  </si>
  <si>
    <t>912</t>
  </si>
  <si>
    <t>960</t>
  </si>
  <si>
    <t>1008</t>
  </si>
  <si>
    <t>1056</t>
  </si>
  <si>
    <t>1104</t>
  </si>
  <si>
    <t>1152</t>
  </si>
  <si>
    <t>1248</t>
  </si>
  <si>
    <t>1296</t>
  </si>
  <si>
    <t>1344</t>
  </si>
  <si>
    <t>2064</t>
  </si>
  <si>
    <t>2160</t>
  </si>
  <si>
    <t>2256</t>
  </si>
  <si>
    <t>2352</t>
  </si>
  <si>
    <t>2448</t>
  </si>
  <si>
    <t>2544</t>
  </si>
  <si>
    <t>2640</t>
  </si>
  <si>
    <t>2736</t>
  </si>
  <si>
    <t>2832</t>
  </si>
  <si>
    <t>2928</t>
  </si>
  <si>
    <t>3024</t>
  </si>
  <si>
    <t>3120</t>
  </si>
  <si>
    <t>3216</t>
  </si>
  <si>
    <t>3312</t>
  </si>
  <si>
    <t>3408</t>
  </si>
  <si>
    <t>3504</t>
  </si>
  <si>
    <t>3600</t>
  </si>
  <si>
    <t>3696</t>
  </si>
  <si>
    <t>3792</t>
  </si>
  <si>
    <t>3888</t>
  </si>
  <si>
    <t>4968</t>
  </si>
  <si>
    <t>5112</t>
  </si>
  <si>
    <t>5256</t>
  </si>
  <si>
    <t>5400</t>
  </si>
  <si>
    <t>5544</t>
  </si>
  <si>
    <t>5688</t>
  </si>
  <si>
    <t>5832</t>
  </si>
  <si>
    <t>5976</t>
  </si>
  <si>
    <t>6120</t>
  </si>
  <si>
    <t>6264</t>
  </si>
  <si>
    <t>6408</t>
  </si>
  <si>
    <t>6552</t>
  </si>
  <si>
    <t>6696</t>
  </si>
  <si>
    <t>6840</t>
  </si>
  <si>
    <t>6984</t>
  </si>
  <si>
    <t>7128</t>
  </si>
  <si>
    <t>7272</t>
  </si>
  <si>
    <t>7416</t>
  </si>
  <si>
    <t>7560</t>
  </si>
  <si>
    <t>7704</t>
  </si>
  <si>
    <t>9321</t>
  </si>
  <si>
    <t>9513</t>
  </si>
  <si>
    <t>9705</t>
  </si>
  <si>
    <t>9897</t>
  </si>
  <si>
    <t>10089</t>
  </si>
  <si>
    <t>10281</t>
  </si>
  <si>
    <t>10473</t>
  </si>
  <si>
    <t>10665</t>
  </si>
  <si>
    <t>10857</t>
  </si>
  <si>
    <t>11049</t>
  </si>
  <si>
    <t>11241</t>
  </si>
  <si>
    <t>11433</t>
  </si>
  <si>
    <t>11625</t>
  </si>
  <si>
    <t>11817</t>
  </si>
  <si>
    <t>12009</t>
  </si>
  <si>
    <t>12201</t>
  </si>
  <si>
    <t>12393</t>
  </si>
  <si>
    <t>12585</t>
  </si>
  <si>
    <t>12777</t>
  </si>
  <si>
    <t>12969</t>
  </si>
  <si>
    <t>15393</t>
  </si>
  <si>
    <t>15633</t>
  </si>
  <si>
    <t>15873</t>
  </si>
  <si>
    <t>16113</t>
  </si>
  <si>
    <t>16353</t>
  </si>
  <si>
    <t>16593</t>
  </si>
  <si>
    <t>16833</t>
  </si>
  <si>
    <t>17073</t>
  </si>
  <si>
    <t>17313</t>
  </si>
  <si>
    <t>17553</t>
  </si>
  <si>
    <t>17793</t>
  </si>
  <si>
    <t>18033</t>
  </si>
  <si>
    <t>18273</t>
  </si>
  <si>
    <t>18513</t>
  </si>
  <si>
    <t>18753</t>
  </si>
  <si>
    <t>18993</t>
  </si>
  <si>
    <t>19233</t>
  </si>
  <si>
    <t>19473</t>
  </si>
  <si>
    <t>19713</t>
  </si>
  <si>
    <t>19953</t>
  </si>
  <si>
    <t>23587</t>
  </si>
  <si>
    <t>352</t>
  </si>
  <si>
    <t>384</t>
  </si>
  <si>
    <t>416</t>
  </si>
  <si>
    <t>448</t>
  </si>
  <si>
    <t>512</t>
  </si>
  <si>
    <t>544</t>
  </si>
  <si>
    <t>608</t>
  </si>
  <si>
    <t>640</t>
  </si>
  <si>
    <t>704</t>
  </si>
  <si>
    <t>736</t>
  </si>
  <si>
    <t>800</t>
  </si>
  <si>
    <t>832</t>
  </si>
  <si>
    <t>896</t>
  </si>
  <si>
    <t>1376</t>
  </si>
  <si>
    <t>1440</t>
  </si>
  <si>
    <t>1504</t>
  </si>
  <si>
    <t>1568</t>
  </si>
  <si>
    <t>1632</t>
  </si>
  <si>
    <t>1696</t>
  </si>
  <si>
    <t>1760</t>
  </si>
  <si>
    <t>1824</t>
  </si>
  <si>
    <t>1888</t>
  </si>
  <si>
    <t>1952</t>
  </si>
  <si>
    <t>2016</t>
  </si>
  <si>
    <t>2080</t>
  </si>
  <si>
    <t>2144</t>
  </si>
  <si>
    <t>2208</t>
  </si>
  <si>
    <t>2272</t>
  </si>
  <si>
    <t>2336</t>
  </si>
  <si>
    <t>2400</t>
  </si>
  <si>
    <t>2464</t>
  </si>
  <si>
    <t>2528</t>
  </si>
  <si>
    <t>2592</t>
  </si>
  <si>
    <t>3984</t>
  </si>
  <si>
    <t>4080</t>
  </si>
  <si>
    <t>4176</t>
  </si>
  <si>
    <t>4272</t>
  </si>
  <si>
    <t>4368</t>
  </si>
  <si>
    <t>4464</t>
  </si>
  <si>
    <t>4560</t>
  </si>
  <si>
    <t>4656</t>
  </si>
  <si>
    <t>4752</t>
  </si>
  <si>
    <t>4848</t>
  </si>
  <si>
    <t>4944</t>
  </si>
  <si>
    <t>5040</t>
  </si>
  <si>
    <t>5136</t>
  </si>
  <si>
    <t>6214</t>
  </si>
  <si>
    <t>6342</t>
  </si>
  <si>
    <t>6470</t>
  </si>
  <si>
    <t>6598</t>
  </si>
  <si>
    <t>6726</t>
  </si>
  <si>
    <t>6854</t>
  </si>
  <si>
    <t>6982</t>
  </si>
  <si>
    <t>7110</t>
  </si>
  <si>
    <t>7238</t>
  </si>
  <si>
    <t>7366</t>
  </si>
  <si>
    <t>7494</t>
  </si>
  <si>
    <t>7622</t>
  </si>
  <si>
    <t>7750</t>
  </si>
  <si>
    <t>7878</t>
  </si>
  <si>
    <t>8006</t>
  </si>
  <si>
    <t>8134</t>
  </si>
  <si>
    <t>8262</t>
  </si>
  <si>
    <t>8390</t>
  </si>
  <si>
    <t>8518</t>
  </si>
  <si>
    <t>8646</t>
  </si>
  <si>
    <t>10262</t>
  </si>
  <si>
    <t>10422</t>
  </si>
  <si>
    <t>10582</t>
  </si>
  <si>
    <t>10742</t>
  </si>
  <si>
    <t>10902</t>
  </si>
  <si>
    <t>11062</t>
  </si>
  <si>
    <t>11222</t>
  </si>
  <si>
    <t>11382</t>
  </si>
  <si>
    <t>11542</t>
  </si>
  <si>
    <t>11702</t>
  </si>
  <si>
    <t>11862</t>
  </si>
  <si>
    <t>12022</t>
  </si>
  <si>
    <t>12182</t>
  </si>
  <si>
    <t>12342</t>
  </si>
  <si>
    <t>12502</t>
  </si>
  <si>
    <t>12662</t>
  </si>
  <si>
    <t>12822</t>
  </si>
  <si>
    <t>12982</t>
  </si>
  <si>
    <t>13142</t>
  </si>
  <si>
    <t>13302</t>
  </si>
  <si>
    <t>15724</t>
  </si>
  <si>
    <t>680</t>
  </si>
  <si>
    <t>760</t>
  </si>
  <si>
    <t>880</t>
  </si>
  <si>
    <t>920</t>
  </si>
  <si>
    <t>1040</t>
  </si>
  <si>
    <t>1080</t>
  </si>
  <si>
    <t>1120</t>
  </si>
  <si>
    <t>1720</t>
  </si>
  <si>
    <t>1880</t>
  </si>
  <si>
    <t>1960</t>
  </si>
  <si>
    <t>2040</t>
  </si>
  <si>
    <t>2120</t>
  </si>
  <si>
    <t>2200</t>
  </si>
  <si>
    <t>2280</t>
  </si>
  <si>
    <t>2360</t>
  </si>
  <si>
    <t>2440</t>
  </si>
  <si>
    <t>2520</t>
  </si>
  <si>
    <t>2600</t>
  </si>
  <si>
    <t>2680</t>
  </si>
  <si>
    <t>2760</t>
  </si>
  <si>
    <t>2840</t>
  </si>
  <si>
    <t>2920</t>
  </si>
  <si>
    <t>3000</t>
  </si>
  <si>
    <t>3080</t>
  </si>
  <si>
    <t>3160</t>
  </si>
  <si>
    <t>3240</t>
  </si>
  <si>
    <t>4140</t>
  </si>
  <si>
    <t>4260</t>
  </si>
  <si>
    <t>4380</t>
  </si>
  <si>
    <t>4620</t>
  </si>
  <si>
    <t>4740</t>
  </si>
  <si>
    <t>4860</t>
  </si>
  <si>
    <t>4980</t>
  </si>
  <si>
    <t>5100</t>
  </si>
  <si>
    <t>5220</t>
  </si>
  <si>
    <t>5340</t>
  </si>
  <si>
    <t>5460</t>
  </si>
  <si>
    <t>5580</t>
  </si>
  <si>
    <t>5700</t>
  </si>
  <si>
    <t>5820</t>
  </si>
  <si>
    <t>5940</t>
  </si>
  <si>
    <t>6060</t>
  </si>
  <si>
    <t>6180</t>
  </si>
  <si>
    <t>6300</t>
  </si>
  <si>
    <t>6420</t>
  </si>
  <si>
    <t>7768</t>
  </si>
  <si>
    <t>7928</t>
  </si>
  <si>
    <t>8088</t>
  </si>
  <si>
    <t>8248</t>
  </si>
  <si>
    <t>8408</t>
  </si>
  <si>
    <t>8568</t>
  </si>
  <si>
    <t>8728</t>
  </si>
  <si>
    <t>8888</t>
  </si>
  <si>
    <t>9048</t>
  </si>
  <si>
    <t>9208</t>
  </si>
  <si>
    <t>9368</t>
  </si>
  <si>
    <t>9528</t>
  </si>
  <si>
    <t>9688</t>
  </si>
  <si>
    <t>9848</t>
  </si>
  <si>
    <t>10008</t>
  </si>
  <si>
    <t>10168</t>
  </si>
  <si>
    <t>10328</t>
  </si>
  <si>
    <t>10488</t>
  </si>
  <si>
    <t>10648</t>
  </si>
  <si>
    <t>10808</t>
  </si>
  <si>
    <t>12828</t>
  </si>
  <si>
    <t>13028</t>
  </si>
  <si>
    <t>13228</t>
  </si>
  <si>
    <t>13428</t>
  </si>
  <si>
    <t>13628</t>
  </si>
  <si>
    <t>13828</t>
  </si>
  <si>
    <t>14028</t>
  </si>
  <si>
    <t>14228</t>
  </si>
  <si>
    <t>14428</t>
  </si>
  <si>
    <t>14628</t>
  </si>
  <si>
    <t>14828</t>
  </si>
  <si>
    <t>15028</t>
  </si>
  <si>
    <t>15228</t>
  </si>
  <si>
    <t>15428</t>
  </si>
  <si>
    <t>15628</t>
  </si>
  <si>
    <t>15828</t>
  </si>
  <si>
    <t>16028</t>
  </si>
  <si>
    <t>16228</t>
  </si>
  <si>
    <t>16428</t>
  </si>
  <si>
    <t>16628</t>
  </si>
  <si>
    <t>19656</t>
  </si>
  <si>
    <t>550</t>
  </si>
  <si>
    <t>650</t>
  </si>
  <si>
    <t>700</t>
  </si>
  <si>
    <t>850</t>
  </si>
  <si>
    <t>950</t>
  </si>
  <si>
    <t>1050</t>
  </si>
  <si>
    <t>1150</t>
  </si>
  <si>
    <t>1250</t>
  </si>
  <si>
    <t>2150</t>
  </si>
  <si>
    <t>2350</t>
  </si>
  <si>
    <t>2450</t>
  </si>
  <si>
    <t>2650</t>
  </si>
  <si>
    <t>2750</t>
  </si>
  <si>
    <t>2950</t>
  </si>
  <si>
    <t>3050</t>
  </si>
  <si>
    <t>3250</t>
  </si>
  <si>
    <t>3350</t>
  </si>
  <si>
    <t>3450</t>
  </si>
  <si>
    <t>3550</t>
  </si>
  <si>
    <t>3650</t>
  </si>
  <si>
    <t>3850</t>
  </si>
  <si>
    <t>3950</t>
  </si>
  <si>
    <t>4050</t>
  </si>
  <si>
    <t>5175</t>
  </si>
  <si>
    <t>5325</t>
  </si>
  <si>
    <t>5475</t>
  </si>
  <si>
    <t>5625</t>
  </si>
  <si>
    <t>5775</t>
  </si>
  <si>
    <t>5925</t>
  </si>
  <si>
    <t>6075</t>
  </si>
  <si>
    <t>6225</t>
  </si>
  <si>
    <t>6375</t>
  </si>
  <si>
    <t>6525</t>
  </si>
  <si>
    <t>6675</t>
  </si>
  <si>
    <t>6825</t>
  </si>
  <si>
    <t>6975</t>
  </si>
  <si>
    <t>7125</t>
  </si>
  <si>
    <t>7275</t>
  </si>
  <si>
    <t>7425</t>
  </si>
  <si>
    <t>7575</t>
  </si>
  <si>
    <t>7725</t>
  </si>
  <si>
    <t>7875</t>
  </si>
  <si>
    <t>8025</t>
  </si>
  <si>
    <t>9710</t>
  </si>
  <si>
    <t>9910</t>
  </si>
  <si>
    <t>10110</t>
  </si>
  <si>
    <t>10310</t>
  </si>
  <si>
    <t>10510</t>
  </si>
  <si>
    <t>10710</t>
  </si>
  <si>
    <t>10910</t>
  </si>
  <si>
    <t>11110</t>
  </si>
  <si>
    <t>11310</t>
  </si>
  <si>
    <t>11510</t>
  </si>
  <si>
    <t>11710</t>
  </si>
  <si>
    <t>11910</t>
  </si>
  <si>
    <t>12110</t>
  </si>
  <si>
    <t>12310</t>
  </si>
  <si>
    <t>12510</t>
  </si>
  <si>
    <t>12710</t>
  </si>
  <si>
    <t>12910</t>
  </si>
  <si>
    <t>13110</t>
  </si>
  <si>
    <t>13310</t>
  </si>
  <si>
    <t>13510</t>
  </si>
  <si>
    <t>16035</t>
  </si>
  <si>
    <t>16285</t>
  </si>
  <si>
    <t>16535</t>
  </si>
  <si>
    <t>16785</t>
  </si>
  <si>
    <t>17035</t>
  </si>
  <si>
    <t>17285</t>
  </si>
  <si>
    <t>17535</t>
  </si>
  <si>
    <t>17785</t>
  </si>
  <si>
    <t>18035</t>
  </si>
  <si>
    <t>18285</t>
  </si>
  <si>
    <t>18535</t>
  </si>
  <si>
    <t>18785</t>
  </si>
  <si>
    <t>19035</t>
  </si>
  <si>
    <t>19285</t>
  </si>
  <si>
    <t>19535</t>
  </si>
  <si>
    <t>19785</t>
  </si>
  <si>
    <t>20035</t>
  </si>
  <si>
    <t>20285</t>
  </si>
  <si>
    <t>20535</t>
  </si>
  <si>
    <t>20785</t>
  </si>
  <si>
    <t>24570</t>
  </si>
  <si>
    <t>1320</t>
  </si>
  <si>
    <t>1560</t>
  </si>
  <si>
    <t>1680</t>
  </si>
  <si>
    <t>2580</t>
  </si>
  <si>
    <t>2700</t>
  </si>
  <si>
    <t>2820</t>
  </si>
  <si>
    <t>2940</t>
  </si>
  <si>
    <t>3060</t>
  </si>
  <si>
    <t>3180</t>
  </si>
  <si>
    <t>3300</t>
  </si>
  <si>
    <t>3420</t>
  </si>
  <si>
    <t>3540</t>
  </si>
  <si>
    <t>3660</t>
  </si>
  <si>
    <t>3780</t>
  </si>
  <si>
    <t>3900</t>
  </si>
  <si>
    <t>4020</t>
  </si>
  <si>
    <t>6210</t>
  </si>
  <si>
    <t>6390</t>
  </si>
  <si>
    <t>6570</t>
  </si>
  <si>
    <t>6750</t>
  </si>
  <si>
    <t>6930</t>
  </si>
  <si>
    <t>7290</t>
  </si>
  <si>
    <t>7470</t>
  </si>
  <si>
    <t>7650</t>
  </si>
  <si>
    <t>7830</t>
  </si>
  <si>
    <t>8010</t>
  </si>
  <si>
    <t>8190</t>
  </si>
  <si>
    <t>8370</t>
  </si>
  <si>
    <t>8550</t>
  </si>
  <si>
    <t>8730</t>
  </si>
  <si>
    <t>8910</t>
  </si>
  <si>
    <t>9090</t>
  </si>
  <si>
    <t>9270</t>
  </si>
  <si>
    <t>9450</t>
  </si>
  <si>
    <t>9630</t>
  </si>
  <si>
    <t>11652</t>
  </si>
  <si>
    <t>11892</t>
  </si>
  <si>
    <t>12132</t>
  </si>
  <si>
    <t>12372</t>
  </si>
  <si>
    <t>12612</t>
  </si>
  <si>
    <t>12852</t>
  </si>
  <si>
    <t>13092</t>
  </si>
  <si>
    <t>13332</t>
  </si>
  <si>
    <t>13572</t>
  </si>
  <si>
    <t>13812</t>
  </si>
  <si>
    <t>14052</t>
  </si>
  <si>
    <t>14292</t>
  </si>
  <si>
    <t>14532</t>
  </si>
  <si>
    <t>14772</t>
  </si>
  <si>
    <t>15012</t>
  </si>
  <si>
    <t>15252</t>
  </si>
  <si>
    <t>15492</t>
  </si>
  <si>
    <t>15732</t>
  </si>
  <si>
    <t>15972</t>
  </si>
  <si>
    <t>16212</t>
  </si>
  <si>
    <t>19242</t>
  </si>
  <si>
    <t>19542</t>
  </si>
  <si>
    <t>19842</t>
  </si>
  <si>
    <t>20142</t>
  </si>
  <si>
    <t>20442</t>
  </si>
  <si>
    <t>20742</t>
  </si>
  <si>
    <t>21042</t>
  </si>
  <si>
    <t>21342</t>
  </si>
  <si>
    <t>21642</t>
  </si>
  <si>
    <t>21942</t>
  </si>
  <si>
    <t>22242</t>
  </si>
  <si>
    <t>22542</t>
  </si>
  <si>
    <t>22842</t>
  </si>
  <si>
    <t>23142</t>
  </si>
  <si>
    <t>23442</t>
  </si>
  <si>
    <t>23742</t>
  </si>
  <si>
    <t>24042</t>
  </si>
  <si>
    <t>24342</t>
  </si>
  <si>
    <t>24642</t>
  </si>
  <si>
    <t>24942</t>
  </si>
  <si>
    <t>29484</t>
  </si>
  <si>
    <t>1920</t>
  </si>
  <si>
    <t>2880</t>
  </si>
  <si>
    <t>3360</t>
  </si>
  <si>
    <t>5160</t>
  </si>
  <si>
    <t>5640</t>
  </si>
  <si>
    <t>5880</t>
  </si>
  <si>
    <t>6360</t>
  </si>
  <si>
    <t>6600</t>
  </si>
  <si>
    <t>7080</t>
  </si>
  <si>
    <t>7320</t>
  </si>
  <si>
    <t>7800</t>
  </si>
  <si>
    <t>8040</t>
  </si>
  <si>
    <t>8280</t>
  </si>
  <si>
    <t>8520</t>
  </si>
  <si>
    <t>8760</t>
  </si>
  <si>
    <t>9240</t>
  </si>
  <si>
    <t>9480</t>
  </si>
  <si>
    <t>9720</t>
  </si>
  <si>
    <t>12420</t>
  </si>
  <si>
    <t>12780</t>
  </si>
  <si>
    <t>13140</t>
  </si>
  <si>
    <t>13500</t>
  </si>
  <si>
    <t>13860</t>
  </si>
  <si>
    <t>14220</t>
  </si>
  <si>
    <t>14580</t>
  </si>
  <si>
    <t>14940</t>
  </si>
  <si>
    <t>15300</t>
  </si>
  <si>
    <t>15660</t>
  </si>
  <si>
    <t>16020</t>
  </si>
  <si>
    <t>16380</t>
  </si>
  <si>
    <t>16740</t>
  </si>
  <si>
    <t>17100</t>
  </si>
  <si>
    <t>17460</t>
  </si>
  <si>
    <t>17820</t>
  </si>
  <si>
    <t>18180</t>
  </si>
  <si>
    <t>18540</t>
  </si>
  <si>
    <t>18900</t>
  </si>
  <si>
    <t>19260</t>
  </si>
  <si>
    <t>23304</t>
  </si>
  <si>
    <t>23784</t>
  </si>
  <si>
    <t>24264</t>
  </si>
  <si>
    <t>24744</t>
  </si>
  <si>
    <t>25224</t>
  </si>
  <si>
    <t>25704</t>
  </si>
  <si>
    <t>26184</t>
  </si>
  <si>
    <t>26664</t>
  </si>
  <si>
    <t>27144</t>
  </si>
  <si>
    <t>27624</t>
  </si>
  <si>
    <t>28104</t>
  </si>
  <si>
    <t>28584</t>
  </si>
  <si>
    <t>29064</t>
  </si>
  <si>
    <t>29544</t>
  </si>
  <si>
    <t>30024</t>
  </si>
  <si>
    <t>30504</t>
  </si>
  <si>
    <t>30984</t>
  </si>
  <si>
    <t>31464</t>
  </si>
  <si>
    <t>31944</t>
  </si>
  <si>
    <t>32424</t>
  </si>
  <si>
    <t>38484</t>
  </si>
  <si>
    <t>39084</t>
  </si>
  <si>
    <t>39684</t>
  </si>
  <si>
    <t>40284</t>
  </si>
  <si>
    <t>40884</t>
  </si>
  <si>
    <t>41484</t>
  </si>
  <si>
    <t>42084</t>
  </si>
  <si>
    <t>42684</t>
  </si>
  <si>
    <t>43284</t>
  </si>
  <si>
    <t>43884</t>
  </si>
  <si>
    <t>44484</t>
  </si>
  <si>
    <t>45084</t>
  </si>
  <si>
    <t>45684</t>
  </si>
  <si>
    <t>46284</t>
  </si>
  <si>
    <t>46884</t>
  </si>
  <si>
    <t>47484</t>
  </si>
  <si>
    <t>48084</t>
  </si>
  <si>
    <t>48684</t>
  </si>
  <si>
    <t>49284</t>
  </si>
  <si>
    <t>49884</t>
  </si>
  <si>
    <t>58968</t>
  </si>
  <si>
    <t>1980</t>
  </si>
  <si>
    <t>2340</t>
  </si>
  <si>
    <t>3960</t>
  </si>
  <si>
    <t>4320</t>
  </si>
  <si>
    <t>4680</t>
  </si>
  <si>
    <t>7740</t>
  </si>
  <si>
    <t>8100</t>
  </si>
  <si>
    <t>8460</t>
  </si>
  <si>
    <t>8820</t>
  </si>
  <si>
    <t>9180</t>
  </si>
  <si>
    <t>9540</t>
  </si>
  <si>
    <t>9900</t>
  </si>
  <si>
    <t>10260</t>
  </si>
  <si>
    <t>10620</t>
  </si>
  <si>
    <t>10980</t>
  </si>
  <si>
    <t>11340</t>
  </si>
  <si>
    <t>11700</t>
  </si>
  <si>
    <t>12060</t>
  </si>
  <si>
    <t>18630</t>
  </si>
  <si>
    <t>19170</t>
  </si>
  <si>
    <t>19710</t>
  </si>
  <si>
    <t>20250</t>
  </si>
  <si>
    <t>20790</t>
  </si>
  <si>
    <t>21330</t>
  </si>
  <si>
    <t>21870</t>
  </si>
  <si>
    <t>22410</t>
  </si>
  <si>
    <t>22950</t>
  </si>
  <si>
    <t>23490</t>
  </si>
  <si>
    <t>24030</t>
  </si>
  <si>
    <t>25110</t>
  </si>
  <si>
    <t>25650</t>
  </si>
  <si>
    <t>26190</t>
  </si>
  <si>
    <t>26730</t>
  </si>
  <si>
    <t>27270</t>
  </si>
  <si>
    <t>27810</t>
  </si>
  <si>
    <t>28350</t>
  </si>
  <si>
    <t>28890</t>
  </si>
  <si>
    <t>34956</t>
  </si>
  <si>
    <t>35676</t>
  </si>
  <si>
    <t>36396</t>
  </si>
  <si>
    <t>37116</t>
  </si>
  <si>
    <t>37836</t>
  </si>
  <si>
    <t>38556</t>
  </si>
  <si>
    <t>39276</t>
  </si>
  <si>
    <t>39996</t>
  </si>
  <si>
    <t>40716</t>
  </si>
  <si>
    <t>41436</t>
  </si>
  <si>
    <t>42156</t>
  </si>
  <si>
    <t>42876</t>
  </si>
  <si>
    <t>43596</t>
  </si>
  <si>
    <t>44316</t>
  </si>
  <si>
    <t>45036</t>
  </si>
  <si>
    <t>45756</t>
  </si>
  <si>
    <t>46476</t>
  </si>
  <si>
    <t>47196</t>
  </si>
  <si>
    <t>47916</t>
  </si>
  <si>
    <t>48636</t>
  </si>
  <si>
    <t>57726</t>
  </si>
  <si>
    <t>58626</t>
  </si>
  <si>
    <t>59526</t>
  </si>
  <si>
    <t>60426</t>
  </si>
  <si>
    <t>61326</t>
  </si>
  <si>
    <t>62226</t>
  </si>
  <si>
    <t>63126</t>
  </si>
  <si>
    <t>64026</t>
  </si>
  <si>
    <t>64926</t>
  </si>
  <si>
    <t>65826</t>
  </si>
  <si>
    <t>66726</t>
  </si>
  <si>
    <t>67626</t>
  </si>
  <si>
    <t>68526</t>
  </si>
  <si>
    <t>69426</t>
  </si>
  <si>
    <t>70326</t>
  </si>
  <si>
    <t>71226</t>
  </si>
  <si>
    <t>72126</t>
  </si>
  <si>
    <t>73026</t>
  </si>
  <si>
    <t>73926</t>
  </si>
  <si>
    <t>74826</t>
  </si>
  <si>
    <t>88452</t>
  </si>
  <si>
    <t>2800</t>
  </si>
  <si>
    <t>3200</t>
  </si>
  <si>
    <t>3400</t>
  </si>
  <si>
    <t>3800</t>
  </si>
  <si>
    <t>4000</t>
  </si>
  <si>
    <t>4200</t>
  </si>
  <si>
    <t>4400</t>
  </si>
  <si>
    <t>4600</t>
  </si>
  <si>
    <t>4800</t>
  </si>
  <si>
    <t>5000</t>
  </si>
  <si>
    <t>5200</t>
  </si>
  <si>
    <t>5600</t>
  </si>
  <si>
    <t>8600</t>
  </si>
  <si>
    <t>9400</t>
  </si>
  <si>
    <t>9800</t>
  </si>
  <si>
    <t>10200</t>
  </si>
  <si>
    <t>10600</t>
  </si>
  <si>
    <t>11000</t>
  </si>
  <si>
    <t>11400</t>
  </si>
  <si>
    <t>11800</t>
  </si>
  <si>
    <t>12200</t>
  </si>
  <si>
    <t>12600</t>
  </si>
  <si>
    <t>13000</t>
  </si>
  <si>
    <t>13400</t>
  </si>
  <si>
    <t>13800</t>
  </si>
  <si>
    <t>14200</t>
  </si>
  <si>
    <t>14600</t>
  </si>
  <si>
    <t>15000</t>
  </si>
  <si>
    <t>15400</t>
  </si>
  <si>
    <t>15800</t>
  </si>
  <si>
    <t>16200</t>
  </si>
  <si>
    <t>20700</t>
  </si>
  <si>
    <t>21300</t>
  </si>
  <si>
    <t>21900</t>
  </si>
  <si>
    <t>22500</t>
  </si>
  <si>
    <t>23100</t>
  </si>
  <si>
    <t>23700</t>
  </si>
  <si>
    <t>24300</t>
  </si>
  <si>
    <t>24900</t>
  </si>
  <si>
    <t>25500</t>
  </si>
  <si>
    <t>26100</t>
  </si>
  <si>
    <t>26700</t>
  </si>
  <si>
    <t>27300</t>
  </si>
  <si>
    <t>27900</t>
  </si>
  <si>
    <t>28500</t>
  </si>
  <si>
    <t>29100</t>
  </si>
  <si>
    <t>29700</t>
  </si>
  <si>
    <t>30300</t>
  </si>
  <si>
    <t>30900</t>
  </si>
  <si>
    <t>31500</t>
  </si>
  <si>
    <t>32100</t>
  </si>
  <si>
    <t>38840</t>
  </si>
  <si>
    <t>39640</t>
  </si>
  <si>
    <t>40440</t>
  </si>
  <si>
    <t>41240</t>
  </si>
  <si>
    <t>42040</t>
  </si>
  <si>
    <t>42840</t>
  </si>
  <si>
    <t>43640</t>
  </si>
  <si>
    <t>44440</t>
  </si>
  <si>
    <t>45240</t>
  </si>
  <si>
    <t>46040</t>
  </si>
  <si>
    <t>46840</t>
  </si>
  <si>
    <t>47640</t>
  </si>
  <si>
    <t>48440</t>
  </si>
  <si>
    <t>49240</t>
  </si>
  <si>
    <t>50040</t>
  </si>
  <si>
    <t>50840</t>
  </si>
  <si>
    <t>51640</t>
  </si>
  <si>
    <t>52440</t>
  </si>
  <si>
    <t>53240</t>
  </si>
  <si>
    <t>54040</t>
  </si>
  <si>
    <t>64140</t>
  </si>
  <si>
    <t>65140</t>
  </si>
  <si>
    <t>66140</t>
  </si>
  <si>
    <t>67140</t>
  </si>
  <si>
    <t>68140</t>
  </si>
  <si>
    <t>69140</t>
  </si>
  <si>
    <t>70140</t>
  </si>
  <si>
    <t>71140</t>
  </si>
  <si>
    <t>72140</t>
  </si>
  <si>
    <t>73140</t>
  </si>
  <si>
    <t>74140</t>
  </si>
  <si>
    <t>75140</t>
  </si>
  <si>
    <t>76140</t>
  </si>
  <si>
    <t>77140</t>
  </si>
  <si>
    <t>78140</t>
  </si>
  <si>
    <t>79140</t>
  </si>
  <si>
    <t>80140</t>
  </si>
  <si>
    <t>81140</t>
  </si>
  <si>
    <t>82140</t>
  </si>
  <si>
    <t>83140</t>
  </si>
  <si>
    <t>98280</t>
  </si>
  <si>
    <t>6000</t>
  </si>
  <si>
    <t>6900</t>
  </si>
  <si>
    <t>7200</t>
  </si>
  <si>
    <t>7500</t>
  </si>
  <si>
    <t>8400</t>
  </si>
  <si>
    <t>12900</t>
  </si>
  <si>
    <t>14100</t>
  </si>
  <si>
    <t>14700</t>
  </si>
  <si>
    <t>15900</t>
  </si>
  <si>
    <t>16500</t>
  </si>
  <si>
    <t>17700</t>
  </si>
  <si>
    <t>18300</t>
  </si>
  <si>
    <t>19500</t>
  </si>
  <si>
    <t>20100</t>
  </si>
  <si>
    <t>31050</t>
  </si>
  <si>
    <t>31950</t>
  </si>
  <si>
    <t>32850</t>
  </si>
  <si>
    <t>33750</t>
  </si>
  <si>
    <t>34650</t>
  </si>
  <si>
    <t>35550</t>
  </si>
  <si>
    <t>36450</t>
  </si>
  <si>
    <t>37350</t>
  </si>
  <si>
    <t>38250</t>
  </si>
  <si>
    <t>39150</t>
  </si>
  <si>
    <t>40050</t>
  </si>
  <si>
    <t>40950</t>
  </si>
  <si>
    <t>41850</t>
  </si>
  <si>
    <t>42750</t>
  </si>
  <si>
    <t>43650</t>
  </si>
  <si>
    <t>44550</t>
  </si>
  <si>
    <t>45450</t>
  </si>
  <si>
    <t>46350</t>
  </si>
  <si>
    <t>47250</t>
  </si>
  <si>
    <t>48150</t>
  </si>
  <si>
    <t>58260</t>
  </si>
  <si>
    <t>59460</t>
  </si>
  <si>
    <t>60660</t>
  </si>
  <si>
    <t>61860</t>
  </si>
  <si>
    <t>63060</t>
  </si>
  <si>
    <t>64260</t>
  </si>
  <si>
    <t>65460</t>
  </si>
  <si>
    <t>66660</t>
  </si>
  <si>
    <t>67860</t>
  </si>
  <si>
    <t>69060</t>
  </si>
  <si>
    <t>70260</t>
  </si>
  <si>
    <t>71460</t>
  </si>
  <si>
    <t>72660</t>
  </si>
  <si>
    <t>73860</t>
  </si>
  <si>
    <t>75060</t>
  </si>
  <si>
    <t>76260</t>
  </si>
  <si>
    <t>77460</t>
  </si>
  <si>
    <t>78660</t>
  </si>
  <si>
    <t>79860</t>
  </si>
  <si>
    <t>81060</t>
  </si>
  <si>
    <t>96210</t>
  </si>
  <si>
    <t>97710</t>
  </si>
  <si>
    <t>99210</t>
  </si>
  <si>
    <t>100710</t>
  </si>
  <si>
    <t>102210</t>
  </si>
  <si>
    <t>103710</t>
  </si>
  <si>
    <t>105210</t>
  </si>
  <si>
    <t>106710</t>
  </si>
  <si>
    <t>108210</t>
  </si>
  <si>
    <t>109710</t>
  </si>
  <si>
    <t>111210</t>
  </si>
  <si>
    <t>112710</t>
  </si>
  <si>
    <t>114210</t>
  </si>
  <si>
    <t>115710</t>
  </si>
  <si>
    <t>117210</t>
  </si>
  <si>
    <t>118710</t>
  </si>
  <si>
    <t>120210</t>
  </si>
  <si>
    <t>121710</t>
  </si>
  <si>
    <t>123210</t>
  </si>
  <si>
    <t>124710</t>
  </si>
  <si>
    <t>147420</t>
  </si>
  <si>
    <t>3840</t>
  </si>
  <si>
    <t>5280</t>
  </si>
  <si>
    <t>5520</t>
  </si>
  <si>
    <t>5760</t>
  </si>
  <si>
    <t>6240</t>
  </si>
  <si>
    <t>6480</t>
  </si>
  <si>
    <t>6720</t>
  </si>
  <si>
    <t>10320</t>
  </si>
  <si>
    <t>10800</t>
  </si>
  <si>
    <t>11280</t>
  </si>
  <si>
    <t>11760</t>
  </si>
  <si>
    <t>12240</t>
  </si>
  <si>
    <t>12720</t>
  </si>
  <si>
    <t>13200</t>
  </si>
  <si>
    <t>13680</t>
  </si>
  <si>
    <t>14160</t>
  </si>
  <si>
    <t>14640</t>
  </si>
  <si>
    <t>15120</t>
  </si>
  <si>
    <t>15600</t>
  </si>
  <si>
    <t>16080</t>
  </si>
  <si>
    <t>16560</t>
  </si>
  <si>
    <t>17040</t>
  </si>
  <si>
    <t>17520</t>
  </si>
  <si>
    <t>18000</t>
  </si>
  <si>
    <t>18480</t>
  </si>
  <si>
    <t>18960</t>
  </si>
  <si>
    <t>19440</t>
  </si>
  <si>
    <t>24840</t>
  </si>
  <si>
    <t>25560</t>
  </si>
  <si>
    <t>26280</t>
  </si>
  <si>
    <t>27000</t>
  </si>
  <si>
    <t>27720</t>
  </si>
  <si>
    <t>28440</t>
  </si>
  <si>
    <t>29160</t>
  </si>
  <si>
    <t>29880</t>
  </si>
  <si>
    <t>30600</t>
  </si>
  <si>
    <t>31320</t>
  </si>
  <si>
    <t>32040</t>
  </si>
  <si>
    <t>32760</t>
  </si>
  <si>
    <t>33480</t>
  </si>
  <si>
    <t>34200</t>
  </si>
  <si>
    <t>34920</t>
  </si>
  <si>
    <t>35640</t>
  </si>
  <si>
    <t>36360</t>
  </si>
  <si>
    <t>37080</t>
  </si>
  <si>
    <t>37800</t>
  </si>
  <si>
    <t>38520</t>
  </si>
  <si>
    <t>46608</t>
  </si>
  <si>
    <t>47568</t>
  </si>
  <si>
    <t>48528</t>
  </si>
  <si>
    <t>49488</t>
  </si>
  <si>
    <t>50448</t>
  </si>
  <si>
    <t>51408</t>
  </si>
  <si>
    <t>52368</t>
  </si>
  <si>
    <t>53328</t>
  </si>
  <si>
    <t>54288</t>
  </si>
  <si>
    <t>55248</t>
  </si>
  <si>
    <t>56208</t>
  </si>
  <si>
    <t>57168</t>
  </si>
  <si>
    <t>58128</t>
  </si>
  <si>
    <t>59088</t>
  </si>
  <si>
    <t>60048</t>
  </si>
  <si>
    <t>61008</t>
  </si>
  <si>
    <t>61968</t>
  </si>
  <si>
    <t>62928</t>
  </si>
  <si>
    <t>63888</t>
  </si>
  <si>
    <t>64848</t>
  </si>
  <si>
    <t>76968</t>
  </si>
  <si>
    <t>78168</t>
  </si>
  <si>
    <t>79368</t>
  </si>
  <si>
    <t>80568</t>
  </si>
  <si>
    <t>81768</t>
  </si>
  <si>
    <t>82968</t>
  </si>
  <si>
    <t>84168</t>
  </si>
  <si>
    <t>85368</t>
  </si>
  <si>
    <t>86568</t>
  </si>
  <si>
    <t>87768</t>
  </si>
  <si>
    <t>88968</t>
  </si>
  <si>
    <t>90168</t>
  </si>
  <si>
    <t>91368</t>
  </si>
  <si>
    <t>92568</t>
  </si>
  <si>
    <t>93768</t>
  </si>
  <si>
    <t>94968</t>
  </si>
  <si>
    <t>96168</t>
  </si>
  <si>
    <t>97368</t>
  </si>
  <si>
    <t>98568</t>
  </si>
  <si>
    <t>99768</t>
  </si>
  <si>
    <t>117936</t>
  </si>
  <si>
    <t>2500</t>
  </si>
  <si>
    <t>3500</t>
  </si>
  <si>
    <t>4250</t>
  </si>
  <si>
    <t>4750</t>
  </si>
  <si>
    <t>5250</t>
  </si>
  <si>
    <t>5500</t>
  </si>
  <si>
    <t>5750</t>
  </si>
  <si>
    <t>6250</t>
  </si>
  <si>
    <t>6500</t>
  </si>
  <si>
    <t>7000</t>
  </si>
  <si>
    <t>10750</t>
  </si>
  <si>
    <t>11250</t>
  </si>
  <si>
    <t>11750</t>
  </si>
  <si>
    <t>12250</t>
  </si>
  <si>
    <t>12750</t>
  </si>
  <si>
    <t>13250</t>
  </si>
  <si>
    <t>13750</t>
  </si>
  <si>
    <t>14250</t>
  </si>
  <si>
    <t>14750</t>
  </si>
  <si>
    <t>15250</t>
  </si>
  <si>
    <t>16250</t>
  </si>
  <si>
    <t>16750</t>
  </si>
  <si>
    <t>17250</t>
  </si>
  <si>
    <t>17750</t>
  </si>
  <si>
    <t>18250</t>
  </si>
  <si>
    <t>18750</t>
  </si>
  <si>
    <t>19250</t>
  </si>
  <si>
    <t>19750</t>
  </si>
  <si>
    <t>25875</t>
  </si>
  <si>
    <t>26625</t>
  </si>
  <si>
    <t>27375</t>
  </si>
  <si>
    <t>28125</t>
  </si>
  <si>
    <t>28875</t>
  </si>
  <si>
    <t>29625</t>
  </si>
  <si>
    <t>30375</t>
  </si>
  <si>
    <t>31125</t>
  </si>
  <si>
    <t>31875</t>
  </si>
  <si>
    <t>32625</t>
  </si>
  <si>
    <t>33375</t>
  </si>
  <si>
    <t>34125</t>
  </si>
  <si>
    <t>34875</t>
  </si>
  <si>
    <t>35625</t>
  </si>
  <si>
    <t>36375</t>
  </si>
  <si>
    <t>37125</t>
  </si>
  <si>
    <t>37875</t>
  </si>
  <si>
    <t>38625</t>
  </si>
  <si>
    <t>39375</t>
  </si>
  <si>
    <t>40125</t>
  </si>
  <si>
    <t>48550</t>
  </si>
  <si>
    <t>49550</t>
  </si>
  <si>
    <t>50550</t>
  </si>
  <si>
    <t>51550</t>
  </si>
  <si>
    <t>52550</t>
  </si>
  <si>
    <t>53550</t>
  </si>
  <si>
    <t>54550</t>
  </si>
  <si>
    <t>55550</t>
  </si>
  <si>
    <t>56550</t>
  </si>
  <si>
    <t>57550</t>
  </si>
  <si>
    <t>58550</t>
  </si>
  <si>
    <t>59550</t>
  </si>
  <si>
    <t>60550</t>
  </si>
  <si>
    <t>61550</t>
  </si>
  <si>
    <t>62550</t>
  </si>
  <si>
    <t>63550</t>
  </si>
  <si>
    <t>64550</t>
  </si>
  <si>
    <t>65550</t>
  </si>
  <si>
    <t>66550</t>
  </si>
  <si>
    <t>67550</t>
  </si>
  <si>
    <t>80175</t>
  </si>
  <si>
    <t>81425</t>
  </si>
  <si>
    <t>82675</t>
  </si>
  <si>
    <t>83925</t>
  </si>
  <si>
    <t>85175</t>
  </si>
  <si>
    <t>86425</t>
  </si>
  <si>
    <t>87675</t>
  </si>
  <si>
    <t>88925</t>
  </si>
  <si>
    <t>90175</t>
  </si>
  <si>
    <t>91425</t>
  </si>
  <si>
    <t>92675</t>
  </si>
  <si>
    <t>93925</t>
  </si>
  <si>
    <t>95175</t>
  </si>
  <si>
    <t>96425</t>
  </si>
  <si>
    <t>97675</t>
  </si>
  <si>
    <t>98925</t>
  </si>
  <si>
    <t>100175</t>
  </si>
  <si>
    <t>101425</t>
  </si>
  <si>
    <t>102675</t>
  </si>
  <si>
    <t>103925</t>
  </si>
  <si>
    <t>122850</t>
  </si>
  <si>
    <t>1700</t>
  </si>
  <si>
    <t>1900</t>
  </si>
  <si>
    <t>2100</t>
  </si>
  <si>
    <t>2300</t>
  </si>
  <si>
    <t>140</t>
  </si>
  <si>
    <t>160</t>
  </si>
  <si>
    <t>180</t>
  </si>
  <si>
    <t>120</t>
    <phoneticPr fontId="10" type="noConversion"/>
  </si>
  <si>
    <t>620</t>
  </si>
  <si>
    <t>740</t>
  </si>
  <si>
    <t>820</t>
  </si>
  <si>
    <t>1160</t>
  </si>
  <si>
    <t>1240</t>
  </si>
  <si>
    <t>1280</t>
  </si>
  <si>
    <t>1360</t>
  </si>
  <si>
    <t>1480</t>
  </si>
  <si>
    <t>1520</t>
  </si>
  <si>
    <t>1640</t>
  </si>
  <si>
    <t>1660</t>
  </si>
  <si>
    <t>1740</t>
  </si>
  <si>
    <t>1780</t>
  </si>
  <si>
    <t>1820</t>
  </si>
  <si>
    <t>1840</t>
  </si>
  <si>
    <t>1860</t>
  </si>
  <si>
    <t>1940</t>
  </si>
  <si>
    <t>2020</t>
  </si>
  <si>
    <t>2060</t>
  </si>
  <si>
    <t>2140</t>
  </si>
  <si>
    <t>2180</t>
  </si>
  <si>
    <t>2220</t>
  </si>
  <si>
    <t>2240</t>
  </si>
  <si>
    <t>2260</t>
  </si>
  <si>
    <t>2320</t>
  </si>
  <si>
    <t>2380</t>
  </si>
  <si>
    <t>2420</t>
  </si>
  <si>
    <t>2460</t>
  </si>
  <si>
    <t>2480</t>
  </si>
  <si>
    <t>2540</t>
  </si>
  <si>
    <t>2560</t>
  </si>
  <si>
    <t>2620</t>
  </si>
  <si>
    <t>2660</t>
  </si>
  <si>
    <t>2720</t>
  </si>
  <si>
    <t>2740</t>
  </si>
  <si>
    <t>2780</t>
  </si>
  <si>
    <t>2860</t>
  </si>
  <si>
    <t>2900</t>
  </si>
  <si>
    <t>2960</t>
  </si>
  <si>
    <t>2980</t>
  </si>
  <si>
    <t>3020</t>
  </si>
  <si>
    <t>3040</t>
  </si>
  <si>
    <t>3100</t>
  </si>
  <si>
    <t>3140</t>
  </si>
  <si>
    <t>3220</t>
  </si>
  <si>
    <t>3260</t>
  </si>
  <si>
    <t>3280</t>
  </si>
  <si>
    <t>3320</t>
  </si>
  <si>
    <t>3340</t>
  </si>
  <si>
    <t>3380</t>
  </si>
  <si>
    <t>3440</t>
  </si>
  <si>
    <t>3460</t>
  </si>
  <si>
    <t>3480</t>
  </si>
  <si>
    <t>3520</t>
  </si>
  <si>
    <t>3560</t>
  </si>
  <si>
    <t>3580</t>
  </si>
  <si>
    <t>3620</t>
  </si>
  <si>
    <t>3640</t>
  </si>
  <si>
    <t>3680</t>
  </si>
  <si>
    <t>3700</t>
  </si>
  <si>
    <t>3720</t>
  </si>
  <si>
    <t>3740</t>
  </si>
  <si>
    <t>3760</t>
  </si>
  <si>
    <t>3820</t>
  </si>
  <si>
    <t>3860</t>
  </si>
  <si>
    <t>3880</t>
  </si>
  <si>
    <t>3920</t>
  </si>
  <si>
    <t>3940</t>
  </si>
  <si>
    <t>3980</t>
  </si>
  <si>
    <t>4040</t>
  </si>
  <si>
    <t>4060</t>
  </si>
  <si>
    <t>200</t>
    <phoneticPr fontId="10" type="noConversion"/>
  </si>
  <si>
    <t>8</t>
    <phoneticPr fontId="10" type="noConversion"/>
  </si>
  <si>
    <t>5</t>
    <phoneticPr fontId="10" type="noConversion"/>
  </si>
  <si>
    <t>蓝色</t>
    <phoneticPr fontId="10" type="noConversion"/>
  </si>
  <si>
    <t>金</t>
    <phoneticPr fontId="10" type="noConversion"/>
  </si>
  <si>
    <t>紫色2</t>
    <phoneticPr fontId="10" type="noConversion"/>
  </si>
  <si>
    <t>紫色3</t>
    <phoneticPr fontId="10" type="noConversion"/>
  </si>
  <si>
    <t>攻击力</t>
    <phoneticPr fontId="10" type="noConversion"/>
  </si>
  <si>
    <t>生命</t>
    <phoneticPr fontId="10" type="noConversion"/>
  </si>
  <si>
    <t>战机升级/突破</t>
    <phoneticPr fontId="10" type="noConversion"/>
  </si>
  <si>
    <r>
      <t>{升级材料\突破材料ID,数量},{金币ID,数量}
关联</t>
    </r>
    <r>
      <rPr>
        <b/>
        <sz val="12"/>
        <color theme="2"/>
        <rFont val="微软雅黑"/>
        <family val="2"/>
        <charset val="134"/>
      </rPr>
      <t>Item表</t>
    </r>
    <phoneticPr fontId="10" type="noConversion"/>
  </si>
  <si>
    <r>
      <t xml:space="preserve">{属性ID,数值}
属性值ID关联 </t>
    </r>
    <r>
      <rPr>
        <b/>
        <sz val="12"/>
        <color theme="2"/>
        <rFont val="微软雅黑"/>
        <family val="2"/>
        <charset val="134"/>
      </rPr>
      <t>Attributes表</t>
    </r>
    <r>
      <rPr>
        <b/>
        <sz val="12"/>
        <color theme="7"/>
        <rFont val="微软雅黑"/>
        <family val="2"/>
        <charset val="134"/>
      </rPr>
      <t xml:space="preserve">
</t>
    </r>
    <phoneticPr fontId="10" type="noConversion"/>
  </si>
  <si>
    <t>战机</t>
    <phoneticPr fontId="10" type="noConversion"/>
  </si>
  <si>
    <t>Type</t>
    <phoneticPr fontId="10" type="noConversion"/>
  </si>
  <si>
    <t>{1,200},{3,1200}</t>
    <phoneticPr fontId="10" type="noConversion"/>
  </si>
  <si>
    <t>{56,50}</t>
    <phoneticPr fontId="10" type="noConversion"/>
  </si>
  <si>
    <t>{56,100}</t>
    <phoneticPr fontId="10" type="noConversion"/>
  </si>
  <si>
    <t>{56,150}</t>
    <phoneticPr fontId="10" type="noConversion"/>
  </si>
  <si>
    <t>{56,200}</t>
    <phoneticPr fontId="10" type="noConversion"/>
  </si>
  <si>
    <t>{56,250}</t>
    <phoneticPr fontId="10" type="noConversion"/>
  </si>
  <si>
    <t>强化类型</t>
    <phoneticPr fontId="10" type="noConversion"/>
  </si>
  <si>
    <t>Props</t>
    <phoneticPr fontId="10" type="noConversion"/>
  </si>
  <si>
    <t>ID</t>
    <phoneticPr fontId="10" type="noConversion"/>
  </si>
  <si>
    <t>Level</t>
    <phoneticPr fontId="10" type="noConversion"/>
  </si>
  <si>
    <t>a_bt_plane_1001_main_1</t>
    <phoneticPr fontId="10" type="noConversion"/>
  </si>
  <si>
    <t>UnlockMaterial</t>
    <phoneticPr fontId="10" type="noConversion"/>
  </si>
  <si>
    <t>UnlockType</t>
    <phoneticPr fontId="10" type="noConversion"/>
  </si>
  <si>
    <t>解锁类型</t>
    <phoneticPr fontId="10" type="noConversion"/>
  </si>
  <si>
    <t>UnlockDesc</t>
    <phoneticPr fontId="10" type="noConversion"/>
  </si>
  <si>
    <t>等级</t>
    <phoneticPr fontId="10" type="noConversion"/>
  </si>
  <si>
    <r>
      <rPr>
        <b/>
        <sz val="12"/>
        <color theme="2"/>
        <rFont val="微软雅黑"/>
        <family val="2"/>
        <charset val="134"/>
      </rPr>
      <t xml:space="preserve">1=初始默认解锁
2=钻石购买解锁
3=飞机碎片解锁
</t>
    </r>
    <r>
      <rPr>
        <b/>
        <sz val="12"/>
        <color theme="9"/>
        <rFont val="微软雅黑"/>
        <family val="2"/>
        <charset val="134"/>
      </rPr>
      <t xml:space="preserve">4=宝箱抽奖解锁
5=签到解锁
6=邀请好友解锁
</t>
    </r>
    <r>
      <rPr>
        <b/>
        <sz val="12"/>
        <rFont val="微软雅黑"/>
        <family val="2"/>
        <charset val="134"/>
      </rPr>
      <t xml:space="preserve">
</t>
    </r>
    <phoneticPr fontId="10" type="noConversion"/>
  </si>
  <si>
    <t>解锁说明</t>
    <phoneticPr fontId="10" type="noConversion"/>
  </si>
  <si>
    <t>通过抽奖获得</t>
    <phoneticPr fontId="10" type="noConversion"/>
  </si>
  <si>
    <t>itemID，数量</t>
    <phoneticPr fontId="10" type="noConversion"/>
  </si>
  <si>
    <t>{201,20},{2,400}</t>
    <phoneticPr fontId="10" type="noConversion"/>
  </si>
  <si>
    <t>ui_hangar_icon_plane01</t>
  </si>
  <si>
    <t>ui_hangar_icon_plane03</t>
  </si>
  <si>
    <t>ui_hangar_icon_plane04</t>
  </si>
  <si>
    <t>ui_hangar_icon_plane05</t>
  </si>
  <si>
    <t>ui_hangar_icon_plane07</t>
  </si>
  <si>
    <t>ui_hangar_icon_plane08</t>
  </si>
  <si>
    <t>a_bt_plane_1004_main_1</t>
    <phoneticPr fontId="10" type="noConversion"/>
  </si>
  <si>
    <t>a_bt_plane_2001_main_1</t>
    <phoneticPr fontId="10" type="noConversion"/>
  </si>
  <si>
    <t>a_bt_plane_1002_main_1</t>
    <phoneticPr fontId="10" type="noConversion"/>
  </si>
  <si>
    <t>a_bt_plane_1005_main_1</t>
    <phoneticPr fontId="10" type="noConversion"/>
  </si>
  <si>
    <t>消耗{0}枚碎片解锁</t>
    <phoneticPr fontId="10" type="noConversion"/>
  </si>
  <si>
    <t>签到{0}天获得</t>
    <phoneticPr fontId="10" type="noConversion"/>
  </si>
  <si>
    <t>{1,888}</t>
    <phoneticPr fontId="10" type="noConversion"/>
  </si>
  <si>
    <t>{1,2}</t>
    <phoneticPr fontId="10" type="noConversion"/>
  </si>
  <si>
    <r>
      <t>1=</t>
    </r>
    <r>
      <rPr>
        <b/>
        <sz val="12"/>
        <color theme="4" tint="0.39997558519241921"/>
        <rFont val="微软雅黑"/>
        <family val="2"/>
        <charset val="134"/>
      </rPr>
      <t>N(经典)</t>
    </r>
    <r>
      <rPr>
        <b/>
        <sz val="12"/>
        <rFont val="微软雅黑"/>
        <family val="2"/>
        <charset val="134"/>
      </rPr>
      <t xml:space="preserve">
2=</t>
    </r>
    <r>
      <rPr>
        <b/>
        <sz val="12"/>
        <color theme="3"/>
        <rFont val="微软雅黑"/>
        <family val="2"/>
        <charset val="134"/>
      </rPr>
      <t>R(稀有)</t>
    </r>
    <r>
      <rPr>
        <b/>
        <sz val="12"/>
        <rFont val="微软雅黑"/>
        <family val="2"/>
        <charset val="134"/>
      </rPr>
      <t xml:space="preserve">
3=</t>
    </r>
    <r>
      <rPr>
        <b/>
        <sz val="12"/>
        <color theme="8"/>
        <rFont val="微软雅黑"/>
        <family val="2"/>
        <charset val="134"/>
      </rPr>
      <t>SR(史诗)</t>
    </r>
    <r>
      <rPr>
        <b/>
        <sz val="12"/>
        <rFont val="微软雅黑"/>
        <family val="2"/>
        <charset val="134"/>
      </rPr>
      <t xml:space="preserve">
4=</t>
    </r>
    <r>
      <rPr>
        <b/>
        <sz val="12"/>
        <color theme="9"/>
        <rFont val="微软雅黑"/>
        <family val="2"/>
        <charset val="134"/>
      </rPr>
      <t>SSR(传说)</t>
    </r>
    <r>
      <rPr>
        <b/>
        <sz val="12"/>
        <rFont val="微软雅黑"/>
        <family val="2"/>
        <charset val="134"/>
      </rPr>
      <t xml:space="preserve">
5=</t>
    </r>
    <r>
      <rPr>
        <b/>
        <sz val="12"/>
        <color theme="2" tint="0.79998168889431442"/>
        <rFont val="微软雅黑"/>
        <family val="2"/>
        <charset val="134"/>
      </rPr>
      <t>UR(绝世)</t>
    </r>
    <phoneticPr fontId="10" type="noConversion"/>
  </si>
  <si>
    <t>道具技能</t>
    <phoneticPr fontId="10" type="noConversion"/>
  </si>
  <si>
    <t>Skill</t>
    <phoneticPr fontId="10" type="noConversion"/>
  </si>
  <si>
    <t>PropSkill</t>
    <phoneticPr fontId="10" type="noConversion"/>
  </si>
  <si>
    <t>prop_skill_1,prop_skill_2</t>
  </si>
  <si>
    <t>f1000_l_0,wudi</t>
    <phoneticPr fontId="10" type="noConversion"/>
  </si>
  <si>
    <t>f1001_l_0,wudi</t>
    <phoneticPr fontId="10" type="noConversion"/>
  </si>
  <si>
    <t>wudi,aspd_1003_1</t>
    <phoneticPr fontId="10" type="noConversion"/>
  </si>
  <si>
    <t>wudi,f2001_l_1</t>
    <phoneticPr fontId="10" type="noConversion"/>
  </si>
  <si>
    <t>Follow_1,f1002_l_1,wudi</t>
    <phoneticPr fontId="10" type="noConversion"/>
  </si>
  <si>
    <t>wudi</t>
    <phoneticPr fontId="10" type="noConversion"/>
  </si>
  <si>
    <t>wudi,f1005_l_1</t>
    <phoneticPr fontId="10" type="noConversion"/>
  </si>
  <si>
    <t>wudi,f1006_l_1</t>
    <phoneticPr fontId="10" type="noConversion"/>
  </si>
  <si>
    <t>Desc</t>
    <phoneticPr fontId="10" type="noConversion"/>
  </si>
  <si>
    <t>解锁材料</t>
    <phoneticPr fontId="10" type="noConversion"/>
  </si>
  <si>
    <t>主机名称</t>
    <phoneticPr fontId="10" type="noConversion"/>
  </si>
  <si>
    <t>战机描述</t>
    <phoneticPr fontId="10" type="noConversion"/>
  </si>
  <si>
    <t>item_desc_plane_01</t>
    <phoneticPr fontId="31" type="noConversion"/>
  </si>
  <si>
    <t>item_desc_plane_02</t>
  </si>
  <si>
    <t>item_desc_plane_03</t>
  </si>
  <si>
    <t>item_desc_plane_04</t>
  </si>
  <si>
    <t>item_desc_plane_05</t>
  </si>
  <si>
    <t>item_desc_plane_06</t>
  </si>
  <si>
    <t>item_desc_plane_07</t>
  </si>
  <si>
    <t>item_desc_plane_08</t>
  </si>
  <si>
    <t>ui_hangar_icon_plane06</t>
    <phoneticPr fontId="10" type="noConversion"/>
  </si>
  <si>
    <t>ui_hangar_icon_plane02</t>
    <phoneticPr fontId="10" type="noConversion"/>
  </si>
  <si>
    <t>红</t>
    <phoneticPr fontId="10" type="noConversion"/>
  </si>
  <si>
    <t>紫色</t>
    <phoneticPr fontId="10" type="noConversion"/>
  </si>
  <si>
    <t>金1</t>
    <phoneticPr fontId="10" type="noConversion"/>
  </si>
  <si>
    <t>金2</t>
    <phoneticPr fontId="10" type="noConversion"/>
  </si>
  <si>
    <t>1.3</t>
    <phoneticPr fontId="10" type="noConversion"/>
  </si>
  <si>
    <t>生命值</t>
    <phoneticPr fontId="10" type="noConversion"/>
  </si>
  <si>
    <t>1.4</t>
    <phoneticPr fontId="10" type="noConversion"/>
  </si>
  <si>
    <t>1.9</t>
    <phoneticPr fontId="10" type="noConversion"/>
  </si>
  <si>
    <t>2.5</t>
    <phoneticPr fontId="10" type="noConversion"/>
  </si>
  <si>
    <t>3.2</t>
    <phoneticPr fontId="10" type="noConversion"/>
  </si>
  <si>
    <t>品质</t>
    <phoneticPr fontId="10" type="noConversion"/>
  </si>
  <si>
    <t>初始属性品质系数</t>
    <phoneticPr fontId="10" type="noConversion"/>
  </si>
  <si>
    <t>攻击力系数</t>
    <phoneticPr fontId="10" type="noConversion"/>
  </si>
  <si>
    <t>生命值系数</t>
    <phoneticPr fontId="10" type="noConversion"/>
  </si>
  <si>
    <t>描述</t>
    <phoneticPr fontId="10" type="noConversion"/>
  </si>
  <si>
    <t>显著提升</t>
    <phoneticPr fontId="10" type="noConversion"/>
  </si>
  <si>
    <t>极致属性</t>
    <phoneticPr fontId="10" type="noConversion"/>
  </si>
  <si>
    <t>巅峰属性</t>
    <phoneticPr fontId="10" type="noConversion"/>
  </si>
  <si>
    <t>强力属性</t>
    <phoneticPr fontId="10" type="noConversion"/>
  </si>
  <si>
    <t>平衡成长</t>
    <phoneticPr fontId="10" type="noConversion"/>
  </si>
  <si>
    <t>1.0×</t>
    <phoneticPr fontId="10" type="noConversion"/>
  </si>
  <si>
    <t>金色</t>
    <phoneticPr fontId="10" type="noConversion"/>
  </si>
  <si>
    <t>红色</t>
    <phoneticPr fontId="10" type="noConversion"/>
  </si>
  <si>
    <t>粉色</t>
    <phoneticPr fontId="10" type="noConversion"/>
  </si>
  <si>
    <t>【经典】</t>
    <phoneticPr fontId="10" type="noConversion"/>
  </si>
  <si>
    <t>【稀有】</t>
  </si>
  <si>
    <t>【史诗】</t>
  </si>
  <si>
    <t>【传说】</t>
  </si>
  <si>
    <t>【绝世】</t>
    <phoneticPr fontId="10" type="noConversion"/>
  </si>
  <si>
    <t>【N】</t>
  </si>
  <si>
    <t>【R】</t>
  </si>
  <si>
    <t>彩</t>
    <phoneticPr fontId="10" type="noConversion"/>
  </si>
  <si>
    <t>【SR】</t>
    <phoneticPr fontId="10" type="noConversion"/>
  </si>
  <si>
    <t>【SSR】</t>
    <phoneticPr fontId="10" type="noConversion"/>
  </si>
  <si>
    <t>【UR】</t>
    <phoneticPr fontId="10" type="noConversion"/>
  </si>
  <si>
    <t>英文代号</t>
    <phoneticPr fontId="10" type="noConversion"/>
  </si>
  <si>
    <t>颜色</t>
    <phoneticPr fontId="10" type="noConversion"/>
  </si>
  <si>
    <t>1.3×</t>
    <phoneticPr fontId="10" type="noConversion"/>
  </si>
  <si>
    <t>1.7×</t>
    <phoneticPr fontId="10" type="noConversion"/>
  </si>
  <si>
    <t>2.2×</t>
    <phoneticPr fontId="10" type="noConversion"/>
  </si>
  <si>
    <t>2.8×</t>
    <phoneticPr fontId="10" type="noConversion"/>
  </si>
  <si>
    <t>3.2×</t>
    <phoneticPr fontId="10" type="noConversion"/>
  </si>
  <si>
    <t>2.5×</t>
    <phoneticPr fontId="10" type="noConversion"/>
  </si>
  <si>
    <t>1.4×</t>
    <phoneticPr fontId="10" type="noConversion"/>
  </si>
  <si>
    <t>1.9×</t>
    <phoneticPr fontId="10" type="noConversion"/>
  </si>
  <si>
    <t>成长系数品质倍率</t>
    <phoneticPr fontId="10" type="noConversion"/>
  </si>
  <si>
    <t>攻击成长倍率</t>
    <phoneticPr fontId="10" type="noConversion"/>
  </si>
  <si>
    <t>生命值成长倍率</t>
    <phoneticPr fontId="10" type="noConversion"/>
  </si>
  <si>
    <t>突破加成倍率</t>
    <phoneticPr fontId="10" type="noConversion"/>
  </si>
  <si>
    <t>1.2×</t>
    <phoneticPr fontId="10" type="noConversion"/>
  </si>
  <si>
    <t>2.1×</t>
    <phoneticPr fontId="10" type="noConversion"/>
  </si>
  <si>
    <t>2.0×</t>
    <phoneticPr fontId="10" type="noConversion"/>
  </si>
  <si>
    <t>1.6×</t>
    <phoneticPr fontId="10" type="noConversion"/>
  </si>
  <si>
    <t>1.1×</t>
    <phoneticPr fontId="10" type="noConversion"/>
  </si>
  <si>
    <t>总战力=攻击力战力+生命值战力</t>
    <phoneticPr fontId="10" type="noConversion"/>
  </si>
  <si>
    <t>战力系数</t>
    <phoneticPr fontId="10" type="noConversion"/>
  </si>
  <si>
    <t>攻击战力=攻击力×攻击系数</t>
    <phoneticPr fontId="10" type="noConversion"/>
  </si>
  <si>
    <t>a_bt_plane_1008_main_1</t>
    <phoneticPr fontId="10" type="noConversion"/>
  </si>
  <si>
    <t>1.7</t>
    <phoneticPr fontId="10" type="noConversion"/>
  </si>
  <si>
    <t>2.2</t>
    <phoneticPr fontId="10" type="noConversion"/>
  </si>
  <si>
    <t>2.8</t>
    <phoneticPr fontId="10" type="noConversion"/>
  </si>
  <si>
    <t>生命类型ID</t>
    <phoneticPr fontId="10" type="noConversion"/>
  </si>
  <si>
    <t>攻击类型ID</t>
    <phoneticPr fontId="10" type="noConversion"/>
  </si>
  <si>
    <t>能量类型ID</t>
    <phoneticPr fontId="10" type="noConversion"/>
  </si>
  <si>
    <t>攻击</t>
    <phoneticPr fontId="10" type="noConversion"/>
  </si>
  <si>
    <t>能量</t>
    <phoneticPr fontId="10" type="noConversion"/>
  </si>
  <si>
    <t>1</t>
    <phoneticPr fontId="10" type="noConversion"/>
  </si>
  <si>
    <t>100</t>
    <phoneticPr fontId="10" type="noConversion"/>
  </si>
  <si>
    <t>{1,100},{3,1000},{56,50}</t>
  </si>
  <si>
    <t>{1,105},{3,1020},{56,50}</t>
  </si>
  <si>
    <t>{1,110},{3,1040},{56,50}</t>
  </si>
  <si>
    <t>{1,115},{3,1060},{56,50}</t>
  </si>
  <si>
    <t>{1,120},{3,1080},{56,50}</t>
  </si>
  <si>
    <t>{1,125},{3,1100},{56,50}</t>
  </si>
  <si>
    <t>{1,130},{3,1120},{56,50}</t>
  </si>
  <si>
    <t>{1,135},{3,1140},{56,50}</t>
  </si>
  <si>
    <t>{1,140},{3,1160},{56,50}</t>
  </si>
  <si>
    <t>{1,145},{3,1180},{56,50}</t>
  </si>
  <si>
    <t>{1,150},{3,1200},{56,50}</t>
  </si>
  <si>
    <t>{1,155},{3,1220},{56,50}</t>
  </si>
  <si>
    <t>{1,160},{3,1240},{56,50}</t>
  </si>
  <si>
    <t>{1,165},{3,1260},{56,50}</t>
  </si>
  <si>
    <t>{1,170},{3,1280},{56,50}</t>
  </si>
  <si>
    <t>{1,175},{3,1300},{56,50}</t>
  </si>
  <si>
    <t>{1,180},{3,1320},{56,50}</t>
  </si>
  <si>
    <t>{1,185},{3,1340},{56,50}</t>
  </si>
  <si>
    <t>{1,190},{3,1360},{56,50}</t>
  </si>
  <si>
    <t>{1,210},{3,1560},{56,100}</t>
  </si>
  <si>
    <t>{1,216},{3,1590},{56,100}</t>
  </si>
  <si>
    <t>{1,222},{3,1620},{56,100}</t>
  </si>
  <si>
    <t>{1,228},{3,1650},{56,100}</t>
  </si>
  <si>
    <t>{1,234},{3,1680},{56,100}</t>
  </si>
  <si>
    <t>{1,240},{3,1710},{56,100}</t>
  </si>
  <si>
    <t>{1,246},{3,1740},{56,100}</t>
  </si>
  <si>
    <t>{1,252},{3,1770},{56,100}</t>
  </si>
  <si>
    <t>{1,258},{3,1800},{56,100}</t>
  </si>
  <si>
    <t>{1,264},{3,1830},{56,100}</t>
  </si>
  <si>
    <t>{1,270},{3,1860},{56,100}</t>
  </si>
  <si>
    <t>{1,276},{3,1890},{56,100}</t>
  </si>
  <si>
    <t>{1,282},{3,1920},{56,100}</t>
  </si>
  <si>
    <t>{1,288},{3,1950},{56,100}</t>
  </si>
  <si>
    <t>{1,294},{3,1980},{56,100}</t>
  </si>
  <si>
    <t>{1,300},{3,2010},{56,100}</t>
  </si>
  <si>
    <t>{1,306},{3,2040},{56,100}</t>
  </si>
  <si>
    <t>{1,312},{3,2070},{56,100}</t>
  </si>
  <si>
    <t>{1,318},{3,2100},{56,100}</t>
  </si>
  <si>
    <t>{1,324},{3,2130},{56,100}</t>
  </si>
  <si>
    <t>{1,354},{3,2430},{56,150}</t>
  </si>
  <si>
    <t>{1,361},{3,2470},{56,150}</t>
  </si>
  <si>
    <t>{1,368},{3,2510},{56,150}</t>
  </si>
  <si>
    <t>{1,375},{3,2550},{56,150}</t>
  </si>
  <si>
    <t>{1,382},{3,2590},{56,150}</t>
  </si>
  <si>
    <t>{1,389},{3,2630},{56,150}</t>
  </si>
  <si>
    <t>{1,396},{3,2670},{56,150}</t>
  </si>
  <si>
    <t>{1,403},{3,2710},{56,150}</t>
  </si>
  <si>
    <t>{1,410},{3,2750},{56,150}</t>
  </si>
  <si>
    <t>{1,417},{3,2790},{56,150}</t>
  </si>
  <si>
    <t>{1,424},{3,2830},{56,150}</t>
  </si>
  <si>
    <t>{1,431},{3,2870},{56,150}</t>
  </si>
  <si>
    <t>{1,438},{3,2910},{56,150}</t>
  </si>
  <si>
    <t>{1,445},{3,2950},{56,150}</t>
  </si>
  <si>
    <t>{1,452},{3,2990},{56,150}</t>
  </si>
  <si>
    <t>{1,459},{3,3030},{56,150}</t>
  </si>
  <si>
    <t>{1,466},{3,3070},{56,150}</t>
  </si>
  <si>
    <t>{1,473},{3,3110},{56,150}</t>
  </si>
  <si>
    <t>{1,480},{3,3150},{56,150}</t>
  </si>
  <si>
    <t>{1,487},{3,3190},{56,150}</t>
  </si>
  <si>
    <t>{1,527},{3,3590},{56,200}</t>
  </si>
  <si>
    <t>{1,535},{3,3640},{56,200}</t>
  </si>
  <si>
    <t>{1,543},{3,3690},{56,200}</t>
  </si>
  <si>
    <t>{1,551},{3,3740},{56,200}</t>
  </si>
  <si>
    <t>{1,559},{3,3790},{56,200}</t>
  </si>
  <si>
    <t>{1,567},{3,3840},{56,200}</t>
  </si>
  <si>
    <t>{1,575},{3,3890},{56,200}</t>
  </si>
  <si>
    <t>{1,583},{3,3940},{56,200}</t>
  </si>
  <si>
    <t>{1,591},{3,3990},{56,200}</t>
  </si>
  <si>
    <t>{1,599},{3,4040},{56,200}</t>
  </si>
  <si>
    <t>{1,607},{3,4090},{56,200}</t>
  </si>
  <si>
    <t>{1,615},{3,4140},{56,200}</t>
  </si>
  <si>
    <t>{1,623},{3,4190},{56,200}</t>
  </si>
  <si>
    <t>{1,631},{3,4240},{56,200}</t>
  </si>
  <si>
    <t>{1,639},{3,4290},{56,200}</t>
  </si>
  <si>
    <t>{1,647},{3,4340},{56,200}</t>
  </si>
  <si>
    <t>{1,655},{3,4390},{56,200}</t>
  </si>
  <si>
    <t>{1,663},{3,4440},{56,200}</t>
  </si>
  <si>
    <t>{1,671},{3,4490},{56,200}</t>
  </si>
  <si>
    <t>{1,679},{3,4540},{56,200}</t>
  </si>
  <si>
    <t>{1,729},{3,5040},{56,250}</t>
  </si>
  <si>
    <t>{1,738},{3,5100},{56,250}</t>
  </si>
  <si>
    <t>{1,747},{3,5160},{56,250}</t>
  </si>
  <si>
    <t>{1,756},{3,5220},{56,250}</t>
  </si>
  <si>
    <t>{1,765},{3,5280},{56,250}</t>
  </si>
  <si>
    <t>{1,774},{3,5340},{56,250}</t>
  </si>
  <si>
    <t>{1,783},{3,5400},{56,250}</t>
  </si>
  <si>
    <t>{1,792},{3,5460},{56,250}</t>
  </si>
  <si>
    <t>{1,801},{3,5520},{56,250}</t>
  </si>
  <si>
    <t>{1,810},{3,5580},{56,250}</t>
  </si>
  <si>
    <t>{1,819},{3,5640},{56,250}</t>
  </si>
  <si>
    <t>{1,828},{3,5700},{56,250}</t>
  </si>
  <si>
    <t>{1,837},{3,5760},{56,250}</t>
  </si>
  <si>
    <t>{1,846},{3,5820},{56,250}</t>
  </si>
  <si>
    <t>{1,855},{3,5880},{56,250}</t>
  </si>
  <si>
    <t>{1,864},{3,5940},{56,250}</t>
  </si>
  <si>
    <t>{1,873},{3,6000},{56,250}</t>
  </si>
  <si>
    <t>{1,882},{3,6060},{56,250}</t>
  </si>
  <si>
    <t>{1,891},{3,6120},{56,250}</t>
  </si>
  <si>
    <t>{1,900},{3,6180},{56,250}</t>
  </si>
  <si>
    <t>{1,909},{3,6240},{56,250}</t>
  </si>
  <si>
    <t>{1,130},{3,1400},{56,50}</t>
  </si>
  <si>
    <t>{1,136},{3,1426},{56,50}</t>
  </si>
  <si>
    <t>{1,142},{3,1452},{56,50}</t>
  </si>
  <si>
    <t>{1,148},{3,1478},{56,50}</t>
  </si>
  <si>
    <t>{1,154},{3,1504},{56,50}</t>
  </si>
  <si>
    <t>{1,160},{3,1530},{56,50}</t>
  </si>
  <si>
    <t>{1,166},{3,1556},{56,50}</t>
  </si>
  <si>
    <t>{1,172},{3,1582},{56,50}</t>
  </si>
  <si>
    <t>{1,178},{3,1608},{56,50}</t>
  </si>
  <si>
    <t>{1,184},{3,1634},{56,50}</t>
  </si>
  <si>
    <t>{1,190},{3,1660},{56,50}</t>
  </si>
  <si>
    <t>{1,196},{3,1686},{56,50}</t>
  </si>
  <si>
    <t>{1,202},{3,1712},{56,50}</t>
  </si>
  <si>
    <t>{1,208},{3,1738},{56,50}</t>
  </si>
  <si>
    <t>{1,214},{3,1764},{56,50}</t>
  </si>
  <si>
    <t>{1,220},{3,1790},{56,50}</t>
  </si>
  <si>
    <t>{1,226},{3,1816},{56,50}</t>
  </si>
  <si>
    <t>{1,232},{3,1842},{56,50}</t>
  </si>
  <si>
    <t>{1,238},{3,1868},{56,50}</t>
  </si>
  <si>
    <t>{1,170},{3,1900},{56,50}</t>
  </si>
  <si>
    <t>{1,177},{3,1932},{56,50}</t>
  </si>
  <si>
    <t>{1,184},{3,1964},{56,50}</t>
  </si>
  <si>
    <t>{1,191},{3,1996},{56,50}</t>
  </si>
  <si>
    <t>{1,198},{3,2028},{56,50}</t>
  </si>
  <si>
    <t>{1,205},{3,2060},{56,50}</t>
  </si>
  <si>
    <t>{1,212},{3,2092},{56,50}</t>
  </si>
  <si>
    <t>{1,219},{3,2124},{56,50}</t>
  </si>
  <si>
    <t>{1,226},{3,2156},{56,50}</t>
  </si>
  <si>
    <t>{1,233},{3,2188},{56,50}</t>
  </si>
  <si>
    <t>{1,240},{3,2220},{56,50}</t>
  </si>
  <si>
    <t>{1,247},{3,2252},{56,50}</t>
  </si>
  <si>
    <t>{1,254},{3,2284},{56,50}</t>
  </si>
  <si>
    <t>{1,261},{3,2316},{56,50}</t>
  </si>
  <si>
    <t>{1,268},{3,2348},{56,50}</t>
  </si>
  <si>
    <t>{1,275},{3,2380},{56,50}</t>
  </si>
  <si>
    <t>{1,282},{3,2412},{56,50}</t>
  </si>
  <si>
    <t>{1,289},{3,2444},{56,50}</t>
  </si>
  <si>
    <t>{1,296},{3,2476},{56,50}</t>
  </si>
  <si>
    <t>{1,324},{3,2796},{56,100}</t>
  </si>
  <si>
    <t>{1,332},{3,2844},{56,100}</t>
  </si>
  <si>
    <t>{1,341},{3,2892},{56,100}</t>
  </si>
  <si>
    <t>{1,349},{3,2940},{56,100}</t>
  </si>
  <si>
    <t>{1,358},{3,2988},{56,100}</t>
  </si>
  <si>
    <t>{1,366},{3,3036},{56,100}</t>
  </si>
  <si>
    <t>{1,374},{3,3084},{56,100}</t>
  </si>
  <si>
    <t>{1,383},{3,3132},{56,100}</t>
  </si>
  <si>
    <t>{1,391},{3,3180},{56,100}</t>
  </si>
  <si>
    <t>{1,400},{3,3228},{56,100}</t>
  </si>
  <si>
    <t>{1,408},{3,3276},{56,100}</t>
  </si>
  <si>
    <t>{1,416},{3,3324},{56,100}</t>
  </si>
  <si>
    <t>{1,425},{3,3372},{56,100}</t>
  </si>
  <si>
    <t>{1,433},{3,3420},{56,100}</t>
  </si>
  <si>
    <t>{1,442},{3,3468},{56,100}</t>
  </si>
  <si>
    <t>{1,450},{3,3516},{56,100}</t>
  </si>
  <si>
    <t>{1,458},{3,3564},{56,100}</t>
  </si>
  <si>
    <t>{1,467},{3,3612},{56,100}</t>
  </si>
  <si>
    <t>{1,475},{3,3660},{56,100}</t>
  </si>
  <si>
    <t>{1,484},{3,3708},{56,100}</t>
  </si>
  <si>
    <t>{1,526},{3,4188},{56,150}</t>
  </si>
  <si>
    <t>{1,535},{3,4252},{56,150}</t>
  </si>
  <si>
    <t>{1,545},{3,4316},{56,150}</t>
  </si>
  <si>
    <t>{1,555},{3,4380},{56,150}</t>
  </si>
  <si>
    <t>{1,565},{3,4444},{56,150}</t>
  </si>
  <si>
    <t>{1,575},{3,4508},{56,150}</t>
  </si>
  <si>
    <t>{1,584},{3,4572},{56,150}</t>
  </si>
  <si>
    <t>{1,594},{3,4636},{56,150}</t>
  </si>
  <si>
    <t>{1,604},{3,4700},{56,150}</t>
  </si>
  <si>
    <t>{1,614},{3,4764},{56,150}</t>
  </si>
  <si>
    <t>{1,624},{3,4828},{56,150}</t>
  </si>
  <si>
    <t>{1,633},{3,4892},{56,150}</t>
  </si>
  <si>
    <t>{1,643},{3,4956},{56,150}</t>
  </si>
  <si>
    <t>{1,653},{3,5020},{56,150}</t>
  </si>
  <si>
    <t>{1,663},{3,5084},{56,150}</t>
  </si>
  <si>
    <t>{1,673},{3,5148},{56,150}</t>
  </si>
  <si>
    <t>{1,682},{3,5212},{56,150}</t>
  </si>
  <si>
    <t>{1,692},{3,5276},{56,150}</t>
  </si>
  <si>
    <t>{1,702},{3,5340},{56,150}</t>
  </si>
  <si>
    <t>{1,712},{3,5404},{56,150}</t>
  </si>
  <si>
    <t>{1,768},{3,6044},{56,200}</t>
  </si>
  <si>
    <t>{1,779},{3,6124},{56,200}</t>
  </si>
  <si>
    <t>{1,790},{3,6204},{56,200}</t>
  </si>
  <si>
    <t>{1,801},{3,6284},{56,200}</t>
  </si>
  <si>
    <t>{1,813},{3,6364},{56,200}</t>
  </si>
  <si>
    <t>{1,824},{3,6444},{56,200}</t>
  </si>
  <si>
    <t>{1,835},{3,6524},{56,200}</t>
  </si>
  <si>
    <t>{1,846},{3,6604},{56,200}</t>
  </si>
  <si>
    <t>{1,857},{3,6684},{56,200}</t>
  </si>
  <si>
    <t>{1,869},{3,6764},{56,200}</t>
  </si>
  <si>
    <t>{1,880},{3,6844},{56,200}</t>
  </si>
  <si>
    <t>{1,891},{3,6924},{56,200}</t>
  </si>
  <si>
    <t>{1,902},{3,7004},{56,200}</t>
  </si>
  <si>
    <t>{1,913},{3,7084},{56,200}</t>
  </si>
  <si>
    <t>{1,925},{3,7164},{56,200}</t>
  </si>
  <si>
    <t>{1,936},{3,7244},{56,200}</t>
  </si>
  <si>
    <t>{1,947},{3,7324},{56,200}</t>
  </si>
  <si>
    <t>{1,958},{3,7404},{56,200}</t>
  </si>
  <si>
    <t>{1,969},{3,7484},{56,200}</t>
  </si>
  <si>
    <t>{1,981},{3,7564},{56,200}</t>
  </si>
  <si>
    <t>{1,1051},{3,8364},{56,250}</t>
  </si>
  <si>
    <t>{1,1063},{3,8460},{56,250}</t>
  </si>
  <si>
    <t>{1,1076},{3,8556},{56,250}</t>
  </si>
  <si>
    <t>{1,1088},{3,8652},{56,250}</t>
  </si>
  <si>
    <t>{1,1101},{3,8748},{56,250}</t>
  </si>
  <si>
    <t>{1,1114},{3,8844},{56,250}</t>
  </si>
  <si>
    <t>{1,1126},{3,8940},{56,250}</t>
  </si>
  <si>
    <t>{1,1139},{3,9036},{56,250}</t>
  </si>
  <si>
    <t>{1,1151},{3,9132},{56,250}</t>
  </si>
  <si>
    <t>{1,1164},{3,9228},{56,250}</t>
  </si>
  <si>
    <t>{1,1177},{3,9324},{56,250}</t>
  </si>
  <si>
    <t>{1,1189},{3,9420},{56,250}</t>
  </si>
  <si>
    <t>{1,1202},{3,9516},{56,250}</t>
  </si>
  <si>
    <t>{1,1214},{3,9612},{56,250}</t>
  </si>
  <si>
    <t>{1,1227},{3,9708},{56,250}</t>
  </si>
  <si>
    <t>{1,1240},{3,9804},{56,250}</t>
  </si>
  <si>
    <t>{1,1252},{3,9900},{56,250}</t>
  </si>
  <si>
    <t>{1,1265},{3,9996},{56,250}</t>
  </si>
  <si>
    <t>{1,1277},{3,10092},{56,250}</t>
  </si>
  <si>
    <t>{1,1290},{3,10188},{56,250}</t>
  </si>
  <si>
    <t>{1,1303},{3,10284},{56,250}</t>
  </si>
  <si>
    <t>1=升级
2=突破</t>
    <phoneticPr fontId="10" type="noConversion"/>
  </si>
  <si>
    <t>{201,450},{2,15750}</t>
    <phoneticPr fontId="10" type="noConversion"/>
  </si>
  <si>
    <t>{1,262},{3,2128},{56,100}</t>
  </si>
  <si>
    <t>{1,269},{3,2167},{56,100}</t>
  </si>
  <si>
    <t>{1,276},{3,2206},{56,100}</t>
  </si>
  <si>
    <t>{1,284},{3,2245},{56,100}</t>
  </si>
  <si>
    <t>{1,291},{3,2284},{56,100}</t>
  </si>
  <si>
    <t>{1,298},{3,2323},{56,100}</t>
  </si>
  <si>
    <t>{1,305},{3,2362},{56,100}</t>
  </si>
  <si>
    <t>{1,312},{3,2401},{56,100}</t>
  </si>
  <si>
    <t>{1,320},{3,2440},{56,100}</t>
  </si>
  <si>
    <t>{1,327},{3,2479},{56,100}</t>
  </si>
  <si>
    <t>{1,334},{3,2518},{56,100}</t>
  </si>
  <si>
    <t>{1,341},{3,2557},{56,100}</t>
  </si>
  <si>
    <t>{1,348},{3,2596},{56,100}</t>
  </si>
  <si>
    <t>{1,356},{3,2635},{56,100}</t>
  </si>
  <si>
    <t>{1,363},{3,2674},{56,100}</t>
  </si>
  <si>
    <t>{1,370},{3,2713},{56,100}</t>
  </si>
  <si>
    <t>{1,377},{3,2752},{56,100}</t>
  </si>
  <si>
    <t>{1,384},{3,2791},{56,100}</t>
  </si>
  <si>
    <t>{1,392},{3,2830},{56,100}</t>
  </si>
  <si>
    <t>{1,399},{3,2869},{56,100}</t>
  </si>
  <si>
    <t>{1,435},{3,3259},{56,150}</t>
  </si>
  <si>
    <t>{1,443},{3,3311},{56,150}</t>
  </si>
  <si>
    <t>{1,452},{3,3363},{56,150}</t>
  </si>
  <si>
    <t>{1,460},{3,3415},{56,150}</t>
  </si>
  <si>
    <t>{1,468},{3,3467},{56,150}</t>
  </si>
  <si>
    <t>{1,477},{3,3519},{56,150}</t>
  </si>
  <si>
    <t>{1,485},{3,3571},{56,150}</t>
  </si>
  <si>
    <t>{1,494},{3,3623},{56,150}</t>
  </si>
  <si>
    <t>{1,502},{3,3675},{56,150}</t>
  </si>
  <si>
    <t>{1,510},{3,3727},{56,150}</t>
  </si>
  <si>
    <t>{1,519},{3,3779},{56,150}</t>
  </si>
  <si>
    <t>{1,527},{3,3831},{56,150}</t>
  </si>
  <si>
    <t>{1,536},{3,3883},{56,150}</t>
  </si>
  <si>
    <t>{1,544},{3,3935},{56,150}</t>
  </si>
  <si>
    <t>{1,552},{3,3987},{56,150}</t>
  </si>
  <si>
    <t>{1,561},{3,4039},{56,150}</t>
  </si>
  <si>
    <t>{1,569},{3,4091},{56,150}</t>
  </si>
  <si>
    <t>{1,578},{3,4143},{56,150}</t>
  </si>
  <si>
    <t>{1,586},{3,4195},{56,150}</t>
  </si>
  <si>
    <t>{1,594},{3,4247},{56,150}</t>
  </si>
  <si>
    <t>{1,642},{3,4767},{56,200}</t>
  </si>
  <si>
    <t>{1,652},{3,4832},{56,200}</t>
  </si>
  <si>
    <t>{1,662},{3,4897},{56,200}</t>
  </si>
  <si>
    <t>{1,671},{3,4962},{56,200}</t>
  </si>
  <si>
    <t>{1,681},{3,5027},{56,200}</t>
  </si>
  <si>
    <t>{1,690},{3,5092},{56,200}</t>
  </si>
  <si>
    <t>{1,700},{3,5157},{56,200}</t>
  </si>
  <si>
    <t>{1,710},{3,5222},{56,200}</t>
  </si>
  <si>
    <t>{1,719},{3,5287},{56,200}</t>
  </si>
  <si>
    <t>{1,729},{3,5352},{56,200}</t>
  </si>
  <si>
    <t>{1,738},{3,5417},{56,200}</t>
  </si>
  <si>
    <t>{1,748},{3,5482},{56,200}</t>
  </si>
  <si>
    <t>{1,758},{3,5547},{56,200}</t>
  </si>
  <si>
    <t>{1,767},{3,5612},{56,200}</t>
  </si>
  <si>
    <t>{1,777},{3,5677},{56,200}</t>
  </si>
  <si>
    <t>{1,786},{3,5742},{56,200}</t>
  </si>
  <si>
    <t>{1,796},{3,5807},{56,200}</t>
  </si>
  <si>
    <t>{1,806},{3,5872},{56,200}</t>
  </si>
  <si>
    <t>{1,815},{3,5937},{56,200}</t>
  </si>
  <si>
    <t>{1,825},{3,6002},{56,200}</t>
  </si>
  <si>
    <t>{1,885},{3,6652},{56,250}</t>
  </si>
  <si>
    <t>{1,896},{3,6730},{56,250}</t>
  </si>
  <si>
    <t>{1,906},{3,6808},{56,250}</t>
  </si>
  <si>
    <t>{1,917},{3,6886},{56,250}</t>
  </si>
  <si>
    <t>{1,928},{3,6964},{56,250}</t>
  </si>
  <si>
    <t>{1,939},{3,7042},{56,250}</t>
  </si>
  <si>
    <t>{1,950},{3,7120},{56,250}</t>
  </si>
  <si>
    <t>{1,960},{3,7198},{56,250}</t>
  </si>
  <si>
    <t>{1,971},{3,7276},{56,250}</t>
  </si>
  <si>
    <t>{1,982},{3,7354},{56,250}</t>
  </si>
  <si>
    <t>{1,993},{3,7432},{56,250}</t>
  </si>
  <si>
    <t>{1,1004},{3,7510},{56,250}</t>
  </si>
  <si>
    <t>{1,1014},{3,7588},{56,250}</t>
  </si>
  <si>
    <t>{1,1025},{3,7666},{56,250}</t>
  </si>
  <si>
    <t>{1,1036},{3,7744},{56,250}</t>
  </si>
  <si>
    <t>{1,1047},{3,7822},{56,250}</t>
  </si>
  <si>
    <t>{1,1058},{3,7900},{56,250}</t>
  </si>
  <si>
    <t>{1,1068},{3,7978},{56,250}</t>
  </si>
  <si>
    <t>{1,1079},{3,8056},{56,250}</t>
  </si>
  <si>
    <t>{1,1090},{3,8134},{56,250}</t>
  </si>
  <si>
    <t>{1,1101},{3,8212},{56,250}</t>
  </si>
  <si>
    <t>{403,400}</t>
    <phoneticPr fontId="10" type="noConversion"/>
  </si>
  <si>
    <t>{1004,1}</t>
    <phoneticPr fontId="10" type="noConversion"/>
  </si>
  <si>
    <t>{1007,1}</t>
    <phoneticPr fontId="10" type="noConversion"/>
  </si>
  <si>
    <t>{1006,1}</t>
    <phoneticPr fontId="10" type="noConversion"/>
  </si>
  <si>
    <t>{1,2888}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</si>
</sst>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50">
    <font>
      <sz val="12"/>
      <name val="宋体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theme="2" tint="-9.9978637043366805E-2"/>
      <name val="微软雅黑"/>
      <family val="2"/>
      <charset val="134"/>
    </font>
    <font>
      <b/>
      <sz val="12"/>
      <color theme="4" tint="-0.249977111117893"/>
      <name val="微软雅黑"/>
      <family val="2"/>
      <charset val="134"/>
    </font>
    <font>
      <b/>
      <sz val="12"/>
      <color rgb="FF7030A0"/>
      <name val="微软雅黑"/>
      <family val="2"/>
      <charset val="134"/>
    </font>
    <font>
      <b/>
      <sz val="12"/>
      <color theme="7"/>
      <name val="微软雅黑"/>
      <family val="2"/>
      <charset val="134"/>
    </font>
    <font>
      <b/>
      <sz val="12"/>
      <color rgb="FFEE0000"/>
      <name val="微软雅黑"/>
      <family val="2"/>
      <charset val="134"/>
    </font>
    <font>
      <b/>
      <sz val="12"/>
      <color theme="8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宋体"/>
      <family val="3"/>
      <charset val="134"/>
    </font>
    <font>
      <b/>
      <sz val="12"/>
      <color rgb="FFFF0000"/>
      <name val="微软雅黑"/>
      <family val="2"/>
      <charset val="134"/>
    </font>
    <font>
      <b/>
      <sz val="12"/>
      <color theme="9"/>
      <name val="微软雅黑"/>
      <family val="2"/>
      <charset val="134"/>
    </font>
    <font>
      <b/>
      <sz val="12"/>
      <color theme="2"/>
      <name val="微软雅黑"/>
      <family val="2"/>
      <charset val="134"/>
    </font>
    <font>
      <b/>
      <sz val="12"/>
      <color theme="2" tint="-0.499984740745262"/>
      <name val="微软雅黑"/>
      <family val="2"/>
      <charset val="134"/>
    </font>
    <font>
      <b/>
      <sz val="12"/>
      <color theme="4" tint="0.39997558519241921"/>
      <name val="微软雅黑"/>
      <family val="2"/>
      <charset val="134"/>
    </font>
    <font>
      <b/>
      <sz val="12"/>
      <color theme="3"/>
      <name val="微软雅黑"/>
      <family val="2"/>
      <charset val="134"/>
    </font>
    <font>
      <b/>
      <sz val="12"/>
      <color theme="2" tint="0.79998168889431442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36"/>
      <color theme="8"/>
      <name val="微软雅黑"/>
      <family val="2"/>
      <charset val="134"/>
    </font>
    <font>
      <b/>
      <sz val="12"/>
      <color theme="3" tint="-0.249977111117893"/>
      <name val="微软雅黑"/>
      <family val="2"/>
      <charset val="134"/>
    </font>
    <font>
      <b/>
      <sz val="12"/>
      <color theme="9" tint="0.59999389629810485"/>
      <name val="微软雅黑"/>
      <family val="2"/>
      <charset val="134"/>
    </font>
    <font>
      <b/>
      <sz val="12"/>
      <color theme="9" tint="0.59999389629810485"/>
      <name val="宋体"/>
      <family val="3"/>
      <charset val="134"/>
    </font>
    <font>
      <b/>
      <sz val="12"/>
      <color rgb="FF00B0F0"/>
      <name val="宋体"/>
      <family val="3"/>
      <charset val="134"/>
    </font>
    <font>
      <b/>
      <sz val="12"/>
      <color rgb="FF00B0F0"/>
      <name val="微软雅黑"/>
      <family val="2"/>
      <charset val="134"/>
    </font>
    <font>
      <b/>
      <sz val="12"/>
      <color theme="3" tint="-0.249977111117893"/>
      <name val="宋体"/>
      <family val="3"/>
      <charset val="134"/>
    </font>
    <font>
      <b/>
      <sz val="12"/>
      <color rgb="FFFFC000"/>
      <name val="宋体"/>
      <family val="3"/>
      <charset val="134"/>
    </font>
    <font>
      <b/>
      <sz val="12"/>
      <color rgb="FFFFC000"/>
      <name val="微软雅黑"/>
      <family val="2"/>
      <charset val="134"/>
    </font>
    <font>
      <b/>
      <sz val="12"/>
      <color theme="9"/>
      <name val="宋体"/>
      <family val="3"/>
      <charset val="134"/>
    </font>
    <font>
      <b/>
      <sz val="12"/>
      <color theme="5" tint="0.59999389629810485"/>
      <name val="微软雅黑"/>
      <family val="2"/>
      <charset val="134"/>
    </font>
    <font>
      <b/>
      <sz val="36"/>
      <color theme="9"/>
      <name val="微软雅黑"/>
      <family val="2"/>
      <charset val="134"/>
    </font>
    <font>
      <b/>
      <sz val="12"/>
      <color theme="9" tint="0.39997558519241921"/>
      <name val="微软雅黑"/>
      <family val="2"/>
      <charset val="134"/>
    </font>
    <font>
      <b/>
      <sz val="26"/>
      <color theme="9"/>
      <name val="微软雅黑"/>
      <family val="2"/>
      <charset val="134"/>
    </font>
    <font>
      <b/>
      <sz val="26"/>
      <color theme="8"/>
      <name val="微软雅黑"/>
      <family val="2"/>
      <charset val="134"/>
    </font>
    <font>
      <b/>
      <sz val="26"/>
      <color theme="4" tint="0.39997558519241921"/>
      <name val="微软雅黑"/>
      <family val="2"/>
      <charset val="134"/>
    </font>
    <font>
      <b/>
      <sz val="12"/>
      <color theme="4"/>
      <name val="微软雅黑"/>
      <family val="2"/>
      <charset val="134"/>
    </font>
    <font>
      <b/>
      <sz val="12"/>
      <color theme="5"/>
      <name val="微软雅黑"/>
      <family val="2"/>
      <charset val="134"/>
    </font>
  </fonts>
  <fills count="3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81536301767021"/>
        <bgColor indexed="64"/>
      </patternFill>
    </fill>
    <fill>
      <patternFill patternType="solid">
        <fgColor theme="1" tint="0.14966277047029022"/>
        <bgColor indexed="64"/>
      </patternFill>
    </fill>
    <fill>
      <patternFill patternType="solid">
        <fgColor rgb="FF373C4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2">
    <xf numFmtId="0" fontId="0" fillId="0" borderId="0">
      <alignment vertical="center"/>
    </xf>
    <xf numFmtId="0" fontId="23" fillId="0" borderId="0">
      <alignment vertical="center"/>
    </xf>
  </cellStyleXfs>
  <cellXfs count="200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8" fillId="5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8" fillId="12" borderId="1" xfId="0" applyFont="1" applyFill="1" applyBorder="1">
      <alignment vertical="center"/>
    </xf>
    <xf numFmtId="0" fontId="7" fillId="0" borderId="0" xfId="0" applyFont="1">
      <alignment vertical="center"/>
    </xf>
    <xf numFmtId="0" fontId="18" fillId="13" borderId="5" xfId="0" applyFont="1" applyFill="1" applyBorder="1" applyAlignment="1">
      <alignment horizontal="center" vertical="center"/>
    </xf>
    <xf numFmtId="0" fontId="18" fillId="13" borderId="5" xfId="0" applyFont="1" applyFill="1" applyBorder="1">
      <alignment vertical="center"/>
    </xf>
    <xf numFmtId="0" fontId="0" fillId="0" borderId="6" xfId="0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11" fillId="0" borderId="1" xfId="0" applyFont="1" applyBorder="1">
      <alignment vertical="center"/>
    </xf>
    <xf numFmtId="49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24" fillId="0" borderId="1" xfId="0" applyFont="1" applyBorder="1">
      <alignment vertical="center"/>
    </xf>
    <xf numFmtId="0" fontId="24" fillId="0" borderId="0" xfId="0" applyFont="1">
      <alignment vertical="center"/>
    </xf>
    <xf numFmtId="49" fontId="24" fillId="0" borderId="0" xfId="0" applyNumberFormat="1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>
      <alignment vertical="center"/>
    </xf>
    <xf numFmtId="0" fontId="11" fillId="15" borderId="1" xfId="0" applyFont="1" applyFill="1" applyBorder="1">
      <alignment vertical="center"/>
    </xf>
    <xf numFmtId="49" fontId="11" fillId="15" borderId="0" xfId="0" applyNumberFormat="1" applyFont="1" applyFill="1">
      <alignment vertical="center"/>
    </xf>
    <xf numFmtId="0" fontId="11" fillId="15" borderId="0" xfId="0" applyFont="1" applyFill="1">
      <alignment vertical="center"/>
    </xf>
    <xf numFmtId="49" fontId="11" fillId="15" borderId="1" xfId="0" applyNumberFormat="1" applyFont="1" applyFill="1" applyBorder="1">
      <alignment vertical="center"/>
    </xf>
    <xf numFmtId="49" fontId="11" fillId="0" borderId="0" xfId="0" applyNumberFormat="1" applyFont="1" applyAlignment="1">
      <alignment horizontal="left" vertical="center"/>
    </xf>
    <xf numFmtId="49" fontId="18" fillId="12" borderId="1" xfId="0" applyNumberFormat="1" applyFont="1" applyFill="1" applyBorder="1" applyAlignment="1">
      <alignment horizontal="center" vertical="center"/>
    </xf>
    <xf numFmtId="0" fontId="17" fillId="16" borderId="6" xfId="1" applyFont="1" applyFill="1" applyBorder="1" applyAlignment="1">
      <alignment horizontal="center" vertical="center"/>
    </xf>
    <xf numFmtId="49" fontId="11" fillId="1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20" fillId="2" borderId="0" xfId="0" applyNumberFormat="1" applyFont="1" applyFill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1" fillId="0" borderId="0" xfId="0" applyNumberFormat="1" applyFont="1">
      <alignment vertical="center"/>
    </xf>
    <xf numFmtId="176" fontId="11" fillId="15" borderId="0" xfId="0" applyNumberFormat="1" applyFont="1" applyFill="1">
      <alignment vertical="center"/>
    </xf>
    <xf numFmtId="176" fontId="24" fillId="0" borderId="0" xfId="0" applyNumberFormat="1" applyFont="1">
      <alignment vertical="center"/>
    </xf>
    <xf numFmtId="176" fontId="20" fillId="12" borderId="0" xfId="0" applyNumberFormat="1" applyFont="1" applyFill="1" applyAlignment="1">
      <alignment horizontal="center" vertical="center"/>
    </xf>
    <xf numFmtId="49" fontId="20" fillId="12" borderId="0" xfId="0" applyNumberFormat="1" applyFont="1" applyFill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11" fillId="15" borderId="0" xfId="0" applyNumberFormat="1" applyFont="1" applyFill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5" fillId="12" borderId="0" xfId="0" applyNumberFormat="1" applyFont="1" applyFill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49" fontId="15" fillId="14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/>
    </xf>
    <xf numFmtId="0" fontId="20" fillId="15" borderId="1" xfId="0" applyFont="1" applyFill="1" applyBorder="1" applyAlignment="1">
      <alignment horizontal="center" vertical="center"/>
    </xf>
    <xf numFmtId="49" fontId="15" fillId="14" borderId="7" xfId="0" applyNumberFormat="1" applyFont="1" applyFill="1" applyBorder="1" applyAlignment="1">
      <alignment horizontal="center" vertical="center" wrapText="1"/>
    </xf>
    <xf numFmtId="49" fontId="18" fillId="12" borderId="7" xfId="0" applyNumberFormat="1" applyFont="1" applyFill="1" applyBorder="1" applyAlignment="1">
      <alignment horizontal="center" vertical="center"/>
    </xf>
    <xf numFmtId="0" fontId="17" fillId="16" borderId="8" xfId="1" applyFont="1" applyFill="1" applyBorder="1" applyAlignment="1">
      <alignment horizontal="center" vertical="center"/>
    </xf>
    <xf numFmtId="0" fontId="17" fillId="16" borderId="1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/>
    </xf>
    <xf numFmtId="0" fontId="26" fillId="13" borderId="5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/>
    </xf>
    <xf numFmtId="0" fontId="23" fillId="0" borderId="0" xfId="0" applyFont="1">
      <alignment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11" fillId="7" borderId="1" xfId="0" applyFont="1" applyFill="1" applyBorder="1" applyAlignment="1">
      <alignment horizontal="left" wrapText="1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6" fillId="7" borderId="1" xfId="0" applyFont="1" applyFill="1" applyBorder="1" applyAlignment="1">
      <alignment horizontal="center" vertical="center"/>
    </xf>
    <xf numFmtId="0" fontId="18" fillId="13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8" fillId="1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49" fontId="20" fillId="17" borderId="0" xfId="0" applyNumberFormat="1" applyFont="1" applyFill="1" applyAlignment="1">
      <alignment horizontal="center" vertical="center"/>
    </xf>
    <xf numFmtId="49" fontId="20" fillId="11" borderId="0" xfId="0" applyNumberFormat="1" applyFont="1" applyFill="1" applyAlignment="1">
      <alignment horizontal="center" vertical="center"/>
    </xf>
    <xf numFmtId="49" fontId="20" fillId="18" borderId="0" xfId="0" applyNumberFormat="1" applyFont="1" applyFill="1" applyAlignment="1">
      <alignment horizontal="center" vertical="center"/>
    </xf>
    <xf numFmtId="49" fontId="20" fillId="19" borderId="0" xfId="0" applyNumberFormat="1" applyFont="1" applyFill="1" applyAlignment="1">
      <alignment horizontal="center" vertical="center"/>
    </xf>
    <xf numFmtId="49" fontId="20" fillId="20" borderId="0" xfId="0" applyNumberFormat="1" applyFont="1" applyFill="1" applyAlignment="1">
      <alignment horizontal="center" vertical="center"/>
    </xf>
    <xf numFmtId="176" fontId="17" fillId="0" borderId="0" xfId="0" applyNumberFormat="1" applyFont="1">
      <alignment vertical="center"/>
    </xf>
    <xf numFmtId="49" fontId="20" fillId="21" borderId="0" xfId="0" applyNumberFormat="1" applyFont="1" applyFill="1" applyAlignment="1">
      <alignment horizontal="center" vertical="center"/>
    </xf>
    <xf numFmtId="176" fontId="26" fillId="12" borderId="0" xfId="0" applyNumberFormat="1" applyFont="1" applyFill="1" applyAlignment="1">
      <alignment horizontal="center" vertical="center"/>
    </xf>
    <xf numFmtId="0" fontId="21" fillId="22" borderId="0" xfId="0" applyFont="1" applyFill="1">
      <alignment vertical="center"/>
    </xf>
    <xf numFmtId="176" fontId="17" fillId="12" borderId="0" xfId="0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0" fontId="25" fillId="0" borderId="0" xfId="0" applyFont="1">
      <alignment vertical="center"/>
    </xf>
    <xf numFmtId="176" fontId="27" fillId="0" borderId="0" xfId="0" applyNumberFormat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1" fillId="23" borderId="0" xfId="0" applyFont="1" applyFill="1">
      <alignment vertical="center"/>
    </xf>
    <xf numFmtId="0" fontId="34" fillId="23" borderId="0" xfId="0" applyFont="1" applyFill="1">
      <alignment vertical="center"/>
    </xf>
    <xf numFmtId="176" fontId="17" fillId="15" borderId="0" xfId="0" applyNumberFormat="1" applyFont="1" applyFill="1">
      <alignment vertical="center"/>
    </xf>
    <xf numFmtId="0" fontId="34" fillId="12" borderId="1" xfId="0" applyFont="1" applyFill="1" applyBorder="1">
      <alignment vertical="center"/>
    </xf>
    <xf numFmtId="0" fontId="34" fillId="0" borderId="1" xfId="0" applyFont="1" applyBorder="1">
      <alignment vertical="center"/>
    </xf>
    <xf numFmtId="0" fontId="35" fillId="0" borderId="1" xfId="0" applyFont="1" applyBorder="1">
      <alignment vertical="center"/>
    </xf>
    <xf numFmtId="0" fontId="36" fillId="0" borderId="1" xfId="0" applyFont="1" applyBorder="1">
      <alignment vertical="center"/>
    </xf>
    <xf numFmtId="0" fontId="37" fillId="0" borderId="1" xfId="0" applyFont="1" applyBorder="1">
      <alignment vertical="center"/>
    </xf>
    <xf numFmtId="0" fontId="38" fillId="0" borderId="1" xfId="0" applyFont="1" applyBorder="1">
      <alignment vertical="center"/>
    </xf>
    <xf numFmtId="0" fontId="33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42" fillId="12" borderId="1" xfId="0" applyFont="1" applyFill="1" applyBorder="1">
      <alignment vertical="center"/>
    </xf>
    <xf numFmtId="49" fontId="21" fillId="0" borderId="0" xfId="0" applyNumberFormat="1" applyFont="1">
      <alignment vertical="center"/>
    </xf>
    <xf numFmtId="0" fontId="1" fillId="0" borderId="6" xfId="0" applyFont="1" applyBorder="1">
      <alignment vertical="center"/>
    </xf>
    <xf numFmtId="49" fontId="33" fillId="0" borderId="0" xfId="0" applyNumberFormat="1" applyFont="1">
      <alignment vertical="center"/>
    </xf>
    <xf numFmtId="176" fontId="20" fillId="24" borderId="1" xfId="0" applyNumberFormat="1" applyFont="1" applyFill="1" applyBorder="1" applyAlignment="1">
      <alignment horizontal="center" vertical="center"/>
    </xf>
    <xf numFmtId="176" fontId="20" fillId="25" borderId="1" xfId="0" applyNumberFormat="1" applyFont="1" applyFill="1" applyBorder="1" applyAlignment="1">
      <alignment horizontal="center" vertical="center"/>
    </xf>
    <xf numFmtId="176" fontId="20" fillId="26" borderId="1" xfId="0" applyNumberFormat="1" applyFont="1" applyFill="1" applyBorder="1" applyAlignment="1">
      <alignment horizontal="center" vertical="center"/>
    </xf>
    <xf numFmtId="176" fontId="20" fillId="20" borderId="1" xfId="0" applyNumberFormat="1" applyFont="1" applyFill="1" applyBorder="1" applyAlignment="1">
      <alignment horizontal="center" vertical="center"/>
    </xf>
    <xf numFmtId="176" fontId="25" fillId="27" borderId="1" xfId="0" applyNumberFormat="1" applyFont="1" applyFill="1" applyBorder="1" applyAlignment="1">
      <alignment horizontal="center" vertical="center"/>
    </xf>
    <xf numFmtId="49" fontId="43" fillId="0" borderId="0" xfId="0" applyNumberFormat="1" applyFont="1">
      <alignment vertical="center"/>
    </xf>
    <xf numFmtId="0" fontId="11" fillId="0" borderId="5" xfId="0" applyFont="1" applyBorder="1">
      <alignment vertical="center"/>
    </xf>
    <xf numFmtId="0" fontId="17" fillId="0" borderId="1" xfId="0" applyFont="1" applyBorder="1">
      <alignment vertical="center"/>
    </xf>
    <xf numFmtId="0" fontId="44" fillId="0" borderId="1" xfId="0" applyFont="1" applyBorder="1">
      <alignment vertical="center"/>
    </xf>
    <xf numFmtId="0" fontId="21" fillId="29" borderId="0" xfId="0" applyFont="1" applyFill="1">
      <alignment vertical="center"/>
    </xf>
    <xf numFmtId="0" fontId="20" fillId="29" borderId="0" xfId="0" applyFont="1" applyFill="1" applyAlignment="1">
      <alignment horizontal="center" vertical="center"/>
    </xf>
    <xf numFmtId="0" fontId="11" fillId="29" borderId="1" xfId="0" applyFont="1" applyFill="1" applyBorder="1">
      <alignment vertical="center"/>
    </xf>
    <xf numFmtId="176" fontId="23" fillId="0" borderId="0" xfId="0" applyNumberFormat="1" applyFont="1">
      <alignment vertical="center"/>
    </xf>
    <xf numFmtId="176" fontId="21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21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7" fontId="20" fillId="25" borderId="1" xfId="0" applyNumberFormat="1" applyFont="1" applyFill="1" applyBorder="1" applyAlignment="1">
      <alignment horizontal="center" vertical="center"/>
    </xf>
    <xf numFmtId="177" fontId="11" fillId="0" borderId="5" xfId="0" applyNumberFormat="1" applyFont="1" applyBorder="1">
      <alignment vertical="center"/>
    </xf>
    <xf numFmtId="177" fontId="11" fillId="0" borderId="1" xfId="0" applyNumberFormat="1" applyFont="1" applyBorder="1">
      <alignment vertical="center"/>
    </xf>
    <xf numFmtId="177" fontId="11" fillId="29" borderId="1" xfId="0" applyNumberFormat="1" applyFont="1" applyFill="1" applyBorder="1">
      <alignment vertical="center"/>
    </xf>
    <xf numFmtId="177" fontId="33" fillId="0" borderId="1" xfId="0" applyNumberFormat="1" applyFont="1" applyBorder="1">
      <alignment vertical="center"/>
    </xf>
    <xf numFmtId="177" fontId="20" fillId="26" borderId="1" xfId="0" applyNumberFormat="1" applyFont="1" applyFill="1" applyBorder="1" applyAlignment="1">
      <alignment horizontal="center" vertical="center"/>
    </xf>
    <xf numFmtId="177" fontId="17" fillId="0" borderId="1" xfId="0" applyNumberFormat="1" applyFont="1" applyBorder="1">
      <alignment vertical="center"/>
    </xf>
    <xf numFmtId="177" fontId="20" fillId="20" borderId="1" xfId="0" applyNumberFormat="1" applyFont="1" applyFill="1" applyBorder="1" applyAlignment="1">
      <alignment horizontal="center" vertical="center"/>
    </xf>
    <xf numFmtId="177" fontId="44" fillId="0" borderId="1" xfId="0" applyNumberFormat="1" applyFont="1" applyBorder="1">
      <alignment vertical="center"/>
    </xf>
    <xf numFmtId="177" fontId="25" fillId="27" borderId="1" xfId="0" applyNumberFormat="1" applyFont="1" applyFill="1" applyBorder="1" applyAlignment="1">
      <alignment horizontal="center" vertical="center"/>
    </xf>
    <xf numFmtId="177" fontId="34" fillId="0" borderId="1" xfId="0" applyNumberFormat="1" applyFont="1" applyBorder="1">
      <alignment vertical="center"/>
    </xf>
    <xf numFmtId="177" fontId="20" fillId="24" borderId="1" xfId="0" applyNumberFormat="1" applyFont="1" applyFill="1" applyBorder="1" applyAlignment="1">
      <alignment horizontal="center" vertical="center"/>
    </xf>
    <xf numFmtId="177" fontId="37" fillId="0" borderId="1" xfId="0" applyNumberFormat="1" applyFont="1" applyBorder="1">
      <alignment vertical="center"/>
    </xf>
    <xf numFmtId="176" fontId="48" fillId="0" borderId="0" xfId="0" applyNumberFormat="1" applyFont="1">
      <alignment vertical="center"/>
    </xf>
    <xf numFmtId="176" fontId="29" fillId="0" borderId="0" xfId="0" applyNumberFormat="1" applyFont="1">
      <alignment vertical="center"/>
    </xf>
    <xf numFmtId="176" fontId="44" fillId="0" borderId="0" xfId="0" applyNumberFormat="1" applyFont="1">
      <alignment vertical="center"/>
    </xf>
    <xf numFmtId="176" fontId="49" fillId="0" borderId="0" xfId="0" applyNumberFormat="1" applyFont="1">
      <alignment vertical="center"/>
    </xf>
    <xf numFmtId="0" fontId="48" fillId="0" borderId="1" xfId="0" applyFont="1" applyBorder="1" applyAlignment="1">
      <alignment horizontal="center" vertical="center"/>
    </xf>
    <xf numFmtId="0" fontId="48" fillId="1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5" fillId="30" borderId="1" xfId="0" applyFont="1" applyFill="1" applyBorder="1" applyAlignment="1">
      <alignment horizontal="center" vertical="center"/>
    </xf>
    <xf numFmtId="0" fontId="25" fillId="31" borderId="1" xfId="0" applyFont="1" applyFill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49" fontId="45" fillId="28" borderId="1" xfId="0" applyNumberFormat="1" applyFont="1" applyFill="1" applyBorder="1" applyAlignment="1">
      <alignment horizontal="center" vertical="center"/>
    </xf>
    <xf numFmtId="49" fontId="46" fillId="28" borderId="1" xfId="0" applyNumberFormat="1" applyFont="1" applyFill="1" applyBorder="1" applyAlignment="1">
      <alignment horizontal="center" vertical="center"/>
    </xf>
    <xf numFmtId="0" fontId="47" fillId="28" borderId="1" xfId="0" applyFont="1" applyFill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6C35EC03-F607-4656-B1EB-9456C5422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549087</xdr:colOff>
      <xdr:row>7</xdr:row>
      <xdr:rowOff>159124</xdr:rowOff>
    </xdr:from>
    <xdr:to>
      <xdr:col>39</xdr:col>
      <xdr:colOff>595678</xdr:colOff>
      <xdr:row>37</xdr:row>
      <xdr:rowOff>101124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6DB5E9-C021-D054-7D6E-09D5CF1CC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8352" y="2187389"/>
          <a:ext cx="8249296" cy="66655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t·修" id="{1192FC30-2179-4DDF-A6A9-4CEEC3578CC9}" userId="vit·修" providerId="None"/>
</personList>
</file>

<file path=xl/theme/theme1.xml><?xml version="1.0" encoding="utf-8"?>
<a:theme xmlns:a="http://schemas.openxmlformats.org/drawingml/2006/main" name="Office 主题​​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5-10-16T07:56:16.85" personId="{1192FC30-2179-4DDF-A6A9-4CEEC3578CC9}" id="{EAEF071F-1F0F-4896-8A56-1A87DD99E803}">
    <text>原字段类型“double”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="85" zoomScaleNormal="85" workbookViewId="0">
      <selection activeCell="H24" sqref="H24"/>
    </sheetView>
  </sheetViews>
  <sheetFormatPr defaultColWidth="8.25" defaultRowHeight="18"/>
  <cols>
    <col min="1" max="1" width="8.25" style="35" customWidth="1"/>
    <col min="2" max="2" width="26.125" style="35" customWidth="1"/>
    <col min="3" max="3" width="18.375" style="35" customWidth="1"/>
    <col min="4" max="4" width="37.375" style="35" customWidth="1"/>
    <col min="5" max="5" width="25" style="35" bestFit="1" customWidth="1"/>
    <col min="6" max="6" width="18.25" style="35" bestFit="1" customWidth="1"/>
    <col min="7" max="7" width="19.5" style="35" bestFit="1" customWidth="1"/>
    <col min="8" max="8" width="18.25" style="35" bestFit="1" customWidth="1"/>
    <col min="9" max="9" width="8" style="35" bestFit="1" customWidth="1"/>
    <col min="10" max="10" width="8.75" style="35" bestFit="1" customWidth="1"/>
    <col min="11" max="11" width="19.875" style="35" customWidth="1"/>
    <col min="12" max="12" width="53.625" style="35" bestFit="1" customWidth="1"/>
    <col min="13" max="13" width="53.625" style="35" customWidth="1"/>
    <col min="14" max="14" width="60.375" style="35" customWidth="1"/>
    <col min="15" max="15" width="35.375" style="42" bestFit="1" customWidth="1"/>
    <col min="16" max="16" width="13.25" style="42" customWidth="1"/>
    <col min="17" max="17" width="15.625" style="40" bestFit="1" customWidth="1"/>
    <col min="18" max="16384" width="8.25" style="40"/>
  </cols>
  <sheetData>
    <row r="1" spans="1:17">
      <c r="A1" s="91" t="s">
        <v>2117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 ht="144">
      <c r="A3" s="17"/>
      <c r="B3" s="48" t="s">
        <v>188</v>
      </c>
      <c r="C3" s="109" t="s">
        <v>188</v>
      </c>
      <c r="D3" s="48" t="s">
        <v>190</v>
      </c>
      <c r="E3" s="49"/>
      <c r="F3" s="101" t="s">
        <v>2135</v>
      </c>
      <c r="G3" s="49"/>
      <c r="H3" s="91" t="s">
        <v>2138</v>
      </c>
      <c r="I3" s="17"/>
      <c r="J3" s="19"/>
      <c r="K3" s="106" t="s">
        <v>2154</v>
      </c>
      <c r="L3" s="20"/>
      <c r="M3" s="20"/>
      <c r="N3" s="17"/>
      <c r="O3" s="17"/>
      <c r="P3" s="17"/>
      <c r="Q3" s="20"/>
    </row>
    <row r="4" spans="1:17">
      <c r="A4" s="36" t="s">
        <v>173</v>
      </c>
      <c r="B4" s="36" t="s">
        <v>2169</v>
      </c>
      <c r="C4" s="98" t="s">
        <v>2170</v>
      </c>
      <c r="D4" s="36" t="s">
        <v>1</v>
      </c>
      <c r="E4" s="36" t="s">
        <v>2</v>
      </c>
      <c r="F4" s="98" t="s">
        <v>2132</v>
      </c>
      <c r="G4" s="98" t="s">
        <v>2136</v>
      </c>
      <c r="H4" s="98" t="s">
        <v>2168</v>
      </c>
      <c r="I4" s="36" t="s">
        <v>3</v>
      </c>
      <c r="J4" s="36" t="s">
        <v>2134</v>
      </c>
      <c r="K4" s="36" t="s">
        <v>4</v>
      </c>
      <c r="L4" s="36" t="s">
        <v>5</v>
      </c>
      <c r="M4" s="36" t="s">
        <v>2155</v>
      </c>
      <c r="N4" s="36" t="s">
        <v>6</v>
      </c>
      <c r="O4" s="41" t="s">
        <v>185</v>
      </c>
      <c r="P4" s="41" t="s">
        <v>7</v>
      </c>
      <c r="Q4" s="24"/>
    </row>
    <row r="5" spans="1:17">
      <c r="A5" s="21" t="s">
        <v>154</v>
      </c>
      <c r="B5" s="21" t="s">
        <v>154</v>
      </c>
      <c r="C5" s="21" t="s">
        <v>154</v>
      </c>
      <c r="D5" s="21" t="s">
        <v>154</v>
      </c>
      <c r="E5" s="21" t="s">
        <v>154</v>
      </c>
      <c r="F5" s="99"/>
      <c r="G5" s="99"/>
      <c r="H5" s="98"/>
      <c r="I5" s="21" t="s">
        <v>154</v>
      </c>
      <c r="J5" s="21" t="s">
        <v>154</v>
      </c>
      <c r="K5" s="21" t="s">
        <v>154</v>
      </c>
      <c r="L5" s="21" t="s">
        <v>192</v>
      </c>
      <c r="M5" s="21" t="s">
        <v>192</v>
      </c>
      <c r="N5" s="21" t="s">
        <v>154</v>
      </c>
      <c r="O5" s="41"/>
      <c r="P5" s="21" t="s">
        <v>154</v>
      </c>
      <c r="Q5" s="24"/>
    </row>
    <row r="6" spans="1:17">
      <c r="A6" s="36" t="s">
        <v>9</v>
      </c>
      <c r="B6" s="36" t="s">
        <v>10</v>
      </c>
      <c r="C6" s="98" t="s">
        <v>2167</v>
      </c>
      <c r="D6" s="36" t="s">
        <v>1</v>
      </c>
      <c r="E6" s="36" t="s">
        <v>11</v>
      </c>
      <c r="F6" s="98" t="s">
        <v>2131</v>
      </c>
      <c r="G6" s="98" t="s">
        <v>2133</v>
      </c>
      <c r="H6" s="98" t="s">
        <v>2130</v>
      </c>
      <c r="I6" s="36" t="s">
        <v>12</v>
      </c>
      <c r="J6" s="36" t="s">
        <v>13</v>
      </c>
      <c r="K6" s="36" t="s">
        <v>14</v>
      </c>
      <c r="L6" s="36" t="s">
        <v>2156</v>
      </c>
      <c r="M6" s="36" t="s">
        <v>2157</v>
      </c>
      <c r="N6" s="36" t="s">
        <v>15</v>
      </c>
      <c r="O6" s="41" t="s">
        <v>16</v>
      </c>
      <c r="P6" s="41" t="s">
        <v>17</v>
      </c>
      <c r="Q6" s="24"/>
    </row>
    <row r="7" spans="1:17">
      <c r="A7" s="43" t="s">
        <v>187</v>
      </c>
      <c r="B7" s="110" t="s">
        <v>189</v>
      </c>
      <c r="C7" s="114" t="s">
        <v>189</v>
      </c>
      <c r="D7" s="112" t="s">
        <v>189</v>
      </c>
      <c r="E7" s="43" t="s">
        <v>189</v>
      </c>
      <c r="F7" s="100" t="s">
        <v>187</v>
      </c>
      <c r="G7" s="100" t="s">
        <v>189</v>
      </c>
      <c r="H7" s="100" t="s">
        <v>905</v>
      </c>
      <c r="I7" s="43" t="s">
        <v>187</v>
      </c>
      <c r="J7" s="43" t="s">
        <v>187</v>
      </c>
      <c r="K7" s="43" t="s">
        <v>187</v>
      </c>
      <c r="L7" s="43" t="s">
        <v>177</v>
      </c>
      <c r="M7" s="43" t="s">
        <v>177</v>
      </c>
      <c r="N7" s="43" t="s">
        <v>177</v>
      </c>
      <c r="O7" s="44" t="s">
        <v>21</v>
      </c>
      <c r="P7" s="43" t="s">
        <v>176</v>
      </c>
      <c r="Q7" s="30"/>
    </row>
    <row r="8" spans="1:17">
      <c r="A8" s="46">
        <v>1001</v>
      </c>
      <c r="B8" s="111" t="s">
        <v>22</v>
      </c>
      <c r="C8" s="115" t="s">
        <v>2171</v>
      </c>
      <c r="D8" s="113" t="s">
        <v>2140</v>
      </c>
      <c r="E8" s="105" t="s">
        <v>191</v>
      </c>
      <c r="F8" s="103">
        <v>1</v>
      </c>
      <c r="G8" s="104"/>
      <c r="H8" s="103"/>
      <c r="I8" s="46">
        <v>1</v>
      </c>
      <c r="J8" s="46">
        <v>1</v>
      </c>
      <c r="K8" s="46">
        <v>1</v>
      </c>
      <c r="L8" s="107" t="s">
        <v>2159</v>
      </c>
      <c r="M8" s="107" t="s">
        <v>2158</v>
      </c>
      <c r="N8" s="47" t="s">
        <v>178</v>
      </c>
      <c r="O8" s="46"/>
      <c r="P8" s="46">
        <v>1</v>
      </c>
      <c r="Q8" s="35"/>
    </row>
    <row r="9" spans="1:17" s="35" customFormat="1">
      <c r="A9" s="46">
        <v>1002</v>
      </c>
      <c r="B9" s="111" t="s">
        <v>174</v>
      </c>
      <c r="C9" s="115" t="s">
        <v>2172</v>
      </c>
      <c r="D9" s="116" t="s">
        <v>2180</v>
      </c>
      <c r="E9" s="148" t="s">
        <v>2129</v>
      </c>
      <c r="F9" s="103">
        <v>2</v>
      </c>
      <c r="G9" s="103"/>
      <c r="H9" s="103" t="s">
        <v>2152</v>
      </c>
      <c r="I9" s="46">
        <v>1</v>
      </c>
      <c r="J9" s="46">
        <v>1</v>
      </c>
      <c r="K9" s="46">
        <v>2</v>
      </c>
      <c r="L9" s="107" t="s">
        <v>2160</v>
      </c>
      <c r="M9" s="97" t="s">
        <v>2158</v>
      </c>
      <c r="N9" s="47" t="s">
        <v>179</v>
      </c>
      <c r="O9" s="46"/>
      <c r="P9" s="46">
        <v>1</v>
      </c>
    </row>
    <row r="10" spans="1:17" s="35" customFormat="1" ht="68.099999999999994" customHeight="1">
      <c r="A10" s="46">
        <v>1003</v>
      </c>
      <c r="B10" s="111" t="s">
        <v>25</v>
      </c>
      <c r="C10" s="115" t="s">
        <v>2173</v>
      </c>
      <c r="D10" s="113" t="s">
        <v>2141</v>
      </c>
      <c r="E10" s="105" t="s">
        <v>2146</v>
      </c>
      <c r="F10" s="103">
        <v>3</v>
      </c>
      <c r="G10" s="103" t="s">
        <v>2150</v>
      </c>
      <c r="H10" s="103" t="s">
        <v>2551</v>
      </c>
      <c r="I10" s="46">
        <v>1</v>
      </c>
      <c r="J10" s="46">
        <v>1</v>
      </c>
      <c r="K10" s="46">
        <v>2</v>
      </c>
      <c r="L10" s="107" t="s">
        <v>2161</v>
      </c>
      <c r="M10" s="97" t="s">
        <v>2158</v>
      </c>
      <c r="N10" s="47" t="s">
        <v>180</v>
      </c>
      <c r="O10" s="46"/>
      <c r="P10" s="46">
        <v>1</v>
      </c>
      <c r="Q10" s="40"/>
    </row>
    <row r="11" spans="1:17" s="35" customFormat="1">
      <c r="A11" s="46">
        <v>1004</v>
      </c>
      <c r="B11" s="111" t="s">
        <v>27</v>
      </c>
      <c r="C11" s="115" t="s">
        <v>2174</v>
      </c>
      <c r="D11" s="113" t="s">
        <v>2142</v>
      </c>
      <c r="E11" s="105" t="s">
        <v>2147</v>
      </c>
      <c r="F11" s="103">
        <v>4</v>
      </c>
      <c r="G11" s="103" t="s">
        <v>2137</v>
      </c>
      <c r="H11" s="103" t="s">
        <v>2552</v>
      </c>
      <c r="I11" s="46">
        <v>1</v>
      </c>
      <c r="J11" s="46">
        <v>1</v>
      </c>
      <c r="K11" s="46">
        <v>2</v>
      </c>
      <c r="L11" s="107" t="s">
        <v>2162</v>
      </c>
      <c r="M11" s="97" t="s">
        <v>2158</v>
      </c>
      <c r="N11" s="47" t="s">
        <v>186</v>
      </c>
      <c r="O11" s="46"/>
      <c r="P11" s="46">
        <v>1</v>
      </c>
      <c r="Q11" s="40"/>
    </row>
    <row r="12" spans="1:17" s="35" customFormat="1">
      <c r="A12" s="46">
        <v>1005</v>
      </c>
      <c r="B12" s="111" t="s">
        <v>30</v>
      </c>
      <c r="C12" s="115" t="s">
        <v>2175</v>
      </c>
      <c r="D12" s="113" t="s">
        <v>2143</v>
      </c>
      <c r="E12" s="105" t="s">
        <v>2148</v>
      </c>
      <c r="F12" s="103">
        <v>5</v>
      </c>
      <c r="G12" s="103" t="s">
        <v>2151</v>
      </c>
      <c r="H12" s="103" t="s">
        <v>2153</v>
      </c>
      <c r="I12" s="46">
        <v>1</v>
      </c>
      <c r="J12" s="46">
        <v>1</v>
      </c>
      <c r="K12" s="46">
        <v>3</v>
      </c>
      <c r="L12" s="107" t="s">
        <v>2163</v>
      </c>
      <c r="M12" s="97" t="s">
        <v>2158</v>
      </c>
      <c r="N12" s="47" t="s">
        <v>181</v>
      </c>
      <c r="O12" s="46"/>
      <c r="P12" s="46">
        <v>1</v>
      </c>
      <c r="Q12" s="40" t="s">
        <v>29</v>
      </c>
    </row>
    <row r="13" spans="1:17" s="35" customFormat="1">
      <c r="A13" s="46">
        <v>1006</v>
      </c>
      <c r="B13" s="111" t="s">
        <v>33</v>
      </c>
      <c r="C13" s="115" t="s">
        <v>2176</v>
      </c>
      <c r="D13" s="116" t="s">
        <v>2179</v>
      </c>
      <c r="E13" s="108" t="s">
        <v>2149</v>
      </c>
      <c r="F13" s="103">
        <v>4</v>
      </c>
      <c r="G13" s="103" t="s">
        <v>2137</v>
      </c>
      <c r="H13" s="103" t="s">
        <v>2554</v>
      </c>
      <c r="I13" s="46">
        <v>1</v>
      </c>
      <c r="J13" s="46">
        <v>1</v>
      </c>
      <c r="K13" s="46">
        <v>3</v>
      </c>
      <c r="L13" s="107" t="s">
        <v>2164</v>
      </c>
      <c r="M13" s="97" t="s">
        <v>2158</v>
      </c>
      <c r="N13" s="47" t="s">
        <v>182</v>
      </c>
      <c r="O13" s="46"/>
      <c r="P13" s="46">
        <v>3</v>
      </c>
      <c r="Q13" s="40" t="s">
        <v>32</v>
      </c>
    </row>
    <row r="14" spans="1:17">
      <c r="A14" s="46">
        <v>1007</v>
      </c>
      <c r="B14" s="111" t="s">
        <v>35</v>
      </c>
      <c r="C14" s="115" t="s">
        <v>2177</v>
      </c>
      <c r="D14" s="113" t="s">
        <v>2144</v>
      </c>
      <c r="E14" s="47" t="s">
        <v>175</v>
      </c>
      <c r="F14" s="103">
        <v>4</v>
      </c>
      <c r="G14" s="103" t="s">
        <v>2137</v>
      </c>
      <c r="H14" s="103" t="s">
        <v>2553</v>
      </c>
      <c r="I14" s="46">
        <v>1</v>
      </c>
      <c r="J14" s="46">
        <v>1</v>
      </c>
      <c r="K14" s="46">
        <v>3</v>
      </c>
      <c r="L14" s="107" t="s">
        <v>2165</v>
      </c>
      <c r="M14" s="97" t="s">
        <v>2158</v>
      </c>
      <c r="N14" s="47" t="s">
        <v>183</v>
      </c>
      <c r="O14" s="46"/>
      <c r="P14" s="46">
        <v>5</v>
      </c>
    </row>
    <row r="15" spans="1:17">
      <c r="A15" s="46">
        <v>1008</v>
      </c>
      <c r="B15" s="111" t="s">
        <v>37</v>
      </c>
      <c r="C15" s="115" t="s">
        <v>2178</v>
      </c>
      <c r="D15" s="113" t="s">
        <v>2145</v>
      </c>
      <c r="E15" s="148" t="s">
        <v>2238</v>
      </c>
      <c r="F15" s="103">
        <v>2</v>
      </c>
      <c r="G15" s="103" t="s">
        <v>2137</v>
      </c>
      <c r="H15" s="103" t="s">
        <v>2555</v>
      </c>
      <c r="I15" s="46">
        <v>1</v>
      </c>
      <c r="J15" s="46">
        <v>1</v>
      </c>
      <c r="K15" s="46">
        <v>3</v>
      </c>
      <c r="L15" s="107" t="s">
        <v>2166</v>
      </c>
      <c r="M15" s="97" t="s">
        <v>2158</v>
      </c>
      <c r="N15" s="47" t="s">
        <v>184</v>
      </c>
      <c r="O15" s="46"/>
      <c r="P15" s="46">
        <v>1.5</v>
      </c>
    </row>
    <row r="16" spans="1:17">
      <c r="L16" s="37"/>
      <c r="M16" s="37"/>
    </row>
    <row r="18" spans="3:14">
      <c r="E18" s="38"/>
      <c r="F18" s="38"/>
      <c r="G18" s="38"/>
    </row>
    <row r="19" spans="3:14">
      <c r="C19" s="37"/>
      <c r="E19" s="47"/>
      <c r="F19" s="42"/>
      <c r="G19" s="42"/>
      <c r="H19" s="37"/>
    </row>
    <row r="21" spans="3:14">
      <c r="L21" s="37"/>
      <c r="M21" s="37"/>
      <c r="N21" s="42"/>
    </row>
    <row r="23" spans="3:14">
      <c r="E23" s="102"/>
    </row>
    <row r="24" spans="3:14">
      <c r="E24" s="38"/>
      <c r="F24" s="38"/>
      <c r="G24" s="38"/>
    </row>
    <row r="25" spans="3:14">
      <c r="E25" s="38"/>
      <c r="F25" s="38"/>
      <c r="G25" s="38"/>
    </row>
    <row r="26" spans="3:14">
      <c r="E26" s="38"/>
      <c r="F26" s="38"/>
      <c r="G26" s="38"/>
    </row>
    <row r="27" spans="3:14">
      <c r="C27" s="39"/>
      <c r="E27" s="38"/>
      <c r="F27" s="38"/>
      <c r="G27" s="38"/>
      <c r="H27" s="39"/>
    </row>
    <row r="28" spans="3:14">
      <c r="C28" s="39"/>
      <c r="E28" s="38"/>
      <c r="F28" s="38"/>
      <c r="G28" s="38"/>
      <c r="H28" s="39"/>
    </row>
    <row r="29" spans="3:14">
      <c r="E29" s="38"/>
      <c r="F29" s="38"/>
      <c r="G29" s="38"/>
    </row>
    <row r="30" spans="3:14">
      <c r="E30" s="42"/>
      <c r="F30" s="42"/>
      <c r="G30" s="42"/>
    </row>
    <row r="31" spans="3:14">
      <c r="C31" s="38"/>
      <c r="E31" s="42"/>
      <c r="F31" s="42"/>
      <c r="G31" s="42"/>
      <c r="H31" s="38"/>
    </row>
    <row r="33" spans="3:8">
      <c r="C33" s="38"/>
      <c r="H33" s="38"/>
    </row>
  </sheetData>
  <phoneticPr fontId="10" type="noConversion"/>
  <pageMargins left="0.75" right="0.75" top="1" bottom="1" header="0.51180555555555596" footer="0.51180555555555596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7"/>
  <sheetViews>
    <sheetView zoomScale="85" zoomScaleNormal="85" workbookViewId="0">
      <selection activeCell="F808" sqref="F808"/>
    </sheetView>
  </sheetViews>
  <sheetFormatPr defaultColWidth="9.125" defaultRowHeight="18"/>
  <cols>
    <col min="1" max="1" width="15.25" style="74" bestFit="1" customWidth="1"/>
    <col min="2" max="2" width="15.25" style="74" customWidth="1"/>
    <col min="3" max="3" width="8.625" style="74" bestFit="1" customWidth="1"/>
    <col min="4" max="4" width="43.25" style="74" bestFit="1" customWidth="1"/>
    <col min="5" max="5" width="36" style="71" bestFit="1" customWidth="1"/>
    <col min="6" max="6" width="22.25" style="71" customWidth="1"/>
    <col min="7" max="16384" width="9.125" style="55"/>
  </cols>
  <sheetData>
    <row r="1" spans="1:6">
      <c r="A1" s="90" t="s">
        <v>2114</v>
      </c>
      <c r="B1" s="90"/>
      <c r="C1" s="72"/>
      <c r="D1" s="72"/>
      <c r="E1" s="68"/>
      <c r="F1" s="68"/>
    </row>
    <row r="2" spans="1:6">
      <c r="A2" s="72"/>
      <c r="B2" s="72"/>
      <c r="C2" s="72"/>
      <c r="D2" s="72"/>
      <c r="E2" s="68"/>
      <c r="F2" s="68"/>
    </row>
    <row r="3" spans="1:6" ht="54">
      <c r="A3" s="73" t="s">
        <v>8</v>
      </c>
      <c r="B3" s="73"/>
      <c r="C3" s="73"/>
      <c r="D3" s="89" t="s">
        <v>2115</v>
      </c>
      <c r="E3" s="93" t="s">
        <v>2116</v>
      </c>
      <c r="F3" s="88" t="s">
        <v>2468</v>
      </c>
    </row>
    <row r="4" spans="1:6" s="35" customFormat="1">
      <c r="A4" s="36" t="s">
        <v>2127</v>
      </c>
      <c r="B4" s="36" t="s">
        <v>39</v>
      </c>
      <c r="C4" s="36" t="s">
        <v>0</v>
      </c>
      <c r="D4" s="36" t="s">
        <v>40</v>
      </c>
      <c r="E4" s="94" t="s">
        <v>41</v>
      </c>
      <c r="F4" s="66" t="s">
        <v>2125</v>
      </c>
    </row>
    <row r="5" spans="1:6" s="35" customFormat="1" ht="68.099999999999994" customHeight="1">
      <c r="A5" s="67" t="s">
        <v>154</v>
      </c>
      <c r="B5" s="67" t="s">
        <v>154</v>
      </c>
      <c r="C5" s="67" t="s">
        <v>154</v>
      </c>
      <c r="D5" s="67" t="s">
        <v>154</v>
      </c>
      <c r="E5" s="95" t="s">
        <v>154</v>
      </c>
      <c r="F5" s="96" t="s">
        <v>154</v>
      </c>
    </row>
    <row r="6" spans="1:6" s="35" customFormat="1">
      <c r="A6" s="36" t="s">
        <v>9</v>
      </c>
      <c r="B6" s="36" t="s">
        <v>2128</v>
      </c>
      <c r="C6" s="36" t="s">
        <v>42</v>
      </c>
      <c r="D6" s="36" t="s">
        <v>43</v>
      </c>
      <c r="E6" s="94" t="s">
        <v>2126</v>
      </c>
      <c r="F6" s="66" t="s">
        <v>2118</v>
      </c>
    </row>
    <row r="7" spans="1:6" s="35" customFormat="1">
      <c r="A7" s="36" t="s">
        <v>904</v>
      </c>
      <c r="B7" s="36" t="s">
        <v>187</v>
      </c>
      <c r="C7" s="36" t="s">
        <v>904</v>
      </c>
      <c r="D7" s="36" t="s">
        <v>905</v>
      </c>
      <c r="E7" s="94" t="s">
        <v>905</v>
      </c>
      <c r="F7" s="66" t="s">
        <v>187</v>
      </c>
    </row>
    <row r="8" spans="1:6">
      <c r="A8" s="69">
        <v>1</v>
      </c>
      <c r="B8" s="69">
        <v>1</v>
      </c>
      <c r="C8" s="69">
        <v>1001</v>
      </c>
      <c r="D8" s="86" t="s">
        <v>2139</v>
      </c>
      <c r="E8" s="185" t="s">
        <v>2249</v>
      </c>
      <c r="F8" s="32">
        <v>1</v>
      </c>
    </row>
    <row r="9" spans="1:6">
      <c r="A9" s="69">
        <v>2</v>
      </c>
      <c r="B9" s="69">
        <v>2</v>
      </c>
      <c r="C9" s="69">
        <v>1001</v>
      </c>
      <c r="D9" s="86" t="s">
        <v>888</v>
      </c>
      <c r="E9" s="185" t="s">
        <v>2250</v>
      </c>
      <c r="F9" s="32">
        <v>1</v>
      </c>
    </row>
    <row r="10" spans="1:6">
      <c r="A10" s="69">
        <v>3</v>
      </c>
      <c r="B10" s="69">
        <v>3</v>
      </c>
      <c r="C10" s="69">
        <v>1001</v>
      </c>
      <c r="D10" s="86" t="s">
        <v>889</v>
      </c>
      <c r="E10" s="185" t="s">
        <v>2251</v>
      </c>
      <c r="F10" s="32">
        <v>1</v>
      </c>
    </row>
    <row r="11" spans="1:6">
      <c r="A11" s="69">
        <v>4</v>
      </c>
      <c r="B11" s="69">
        <v>4</v>
      </c>
      <c r="C11" s="69">
        <v>1001</v>
      </c>
      <c r="D11" s="86" t="s">
        <v>890</v>
      </c>
      <c r="E11" s="185" t="s">
        <v>2252</v>
      </c>
      <c r="F11" s="32">
        <v>1</v>
      </c>
    </row>
    <row r="12" spans="1:6">
      <c r="A12" s="69">
        <v>5</v>
      </c>
      <c r="B12" s="69">
        <v>5</v>
      </c>
      <c r="C12" s="69">
        <v>1001</v>
      </c>
      <c r="D12" s="86" t="s">
        <v>891</v>
      </c>
      <c r="E12" s="185" t="s">
        <v>2253</v>
      </c>
      <c r="F12" s="32">
        <v>1</v>
      </c>
    </row>
    <row r="13" spans="1:6">
      <c r="A13" s="69">
        <v>6</v>
      </c>
      <c r="B13" s="69">
        <v>6</v>
      </c>
      <c r="C13" s="69">
        <v>1001</v>
      </c>
      <c r="D13" s="86" t="s">
        <v>892</v>
      </c>
      <c r="E13" s="185" t="s">
        <v>2254</v>
      </c>
      <c r="F13" s="32">
        <v>1</v>
      </c>
    </row>
    <row r="14" spans="1:6">
      <c r="A14" s="69">
        <v>7</v>
      </c>
      <c r="B14" s="69">
        <v>7</v>
      </c>
      <c r="C14" s="69">
        <v>1001</v>
      </c>
      <c r="D14" s="86" t="s">
        <v>893</v>
      </c>
      <c r="E14" s="185" t="s">
        <v>2255</v>
      </c>
      <c r="F14" s="32">
        <v>1</v>
      </c>
    </row>
    <row r="15" spans="1:6">
      <c r="A15" s="69">
        <v>8</v>
      </c>
      <c r="B15" s="69">
        <v>8</v>
      </c>
      <c r="C15" s="69">
        <v>1001</v>
      </c>
      <c r="D15" s="86" t="s">
        <v>894</v>
      </c>
      <c r="E15" s="185" t="s">
        <v>2256</v>
      </c>
      <c r="F15" s="32">
        <v>1</v>
      </c>
    </row>
    <row r="16" spans="1:6">
      <c r="A16" s="69">
        <v>9</v>
      </c>
      <c r="B16" s="69">
        <v>9</v>
      </c>
      <c r="C16" s="69">
        <v>1001</v>
      </c>
      <c r="D16" s="86" t="s">
        <v>894</v>
      </c>
      <c r="E16" s="185" t="s">
        <v>2257</v>
      </c>
      <c r="F16" s="32">
        <v>1</v>
      </c>
    </row>
    <row r="17" spans="1:6">
      <c r="A17" s="69">
        <v>10</v>
      </c>
      <c r="B17" s="69">
        <v>10</v>
      </c>
      <c r="C17" s="69">
        <v>1001</v>
      </c>
      <c r="D17" s="86" t="s">
        <v>894</v>
      </c>
      <c r="E17" s="185" t="s">
        <v>2258</v>
      </c>
      <c r="F17" s="32">
        <v>1</v>
      </c>
    </row>
    <row r="18" spans="1:6">
      <c r="A18" s="69">
        <v>11</v>
      </c>
      <c r="B18" s="69">
        <v>11</v>
      </c>
      <c r="C18" s="69">
        <v>1001</v>
      </c>
      <c r="D18" s="86" t="s">
        <v>894</v>
      </c>
      <c r="E18" s="185" t="s">
        <v>2259</v>
      </c>
      <c r="F18" s="32">
        <v>1</v>
      </c>
    </row>
    <row r="19" spans="1:6">
      <c r="A19" s="69">
        <v>12</v>
      </c>
      <c r="B19" s="69">
        <v>12</v>
      </c>
      <c r="C19" s="69">
        <v>1001</v>
      </c>
      <c r="D19" s="86" t="s">
        <v>894</v>
      </c>
      <c r="E19" s="185" t="s">
        <v>2260</v>
      </c>
      <c r="F19" s="32">
        <v>1</v>
      </c>
    </row>
    <row r="20" spans="1:6">
      <c r="A20" s="69">
        <v>13</v>
      </c>
      <c r="B20" s="69">
        <v>13</v>
      </c>
      <c r="C20" s="69">
        <v>1001</v>
      </c>
      <c r="D20" s="86" t="s">
        <v>894</v>
      </c>
      <c r="E20" s="185" t="s">
        <v>2261</v>
      </c>
      <c r="F20" s="32">
        <v>1</v>
      </c>
    </row>
    <row r="21" spans="1:6">
      <c r="A21" s="69">
        <v>14</v>
      </c>
      <c r="B21" s="69">
        <v>14</v>
      </c>
      <c r="C21" s="69">
        <v>1001</v>
      </c>
      <c r="D21" s="86" t="s">
        <v>894</v>
      </c>
      <c r="E21" s="185" t="s">
        <v>2262</v>
      </c>
      <c r="F21" s="32">
        <v>1</v>
      </c>
    </row>
    <row r="22" spans="1:6">
      <c r="A22" s="69">
        <v>15</v>
      </c>
      <c r="B22" s="69">
        <v>15</v>
      </c>
      <c r="C22" s="69">
        <v>1001</v>
      </c>
      <c r="D22" s="86" t="s">
        <v>894</v>
      </c>
      <c r="E22" s="185" t="s">
        <v>2263</v>
      </c>
      <c r="F22" s="32">
        <v>1</v>
      </c>
    </row>
    <row r="23" spans="1:6">
      <c r="A23" s="69">
        <v>16</v>
      </c>
      <c r="B23" s="69">
        <v>16</v>
      </c>
      <c r="C23" s="69">
        <v>1001</v>
      </c>
      <c r="D23" s="86" t="s">
        <v>894</v>
      </c>
      <c r="E23" s="185" t="s">
        <v>2264</v>
      </c>
      <c r="F23" s="32">
        <v>1</v>
      </c>
    </row>
    <row r="24" spans="1:6">
      <c r="A24" s="69">
        <v>17</v>
      </c>
      <c r="B24" s="69">
        <v>17</v>
      </c>
      <c r="C24" s="69">
        <v>1001</v>
      </c>
      <c r="D24" s="86" t="s">
        <v>894</v>
      </c>
      <c r="E24" s="185" t="s">
        <v>2265</v>
      </c>
      <c r="F24" s="32">
        <v>1</v>
      </c>
    </row>
    <row r="25" spans="1:6">
      <c r="A25" s="69">
        <v>18</v>
      </c>
      <c r="B25" s="69">
        <v>18</v>
      </c>
      <c r="C25" s="69">
        <v>1001</v>
      </c>
      <c r="D25" s="86" t="s">
        <v>894</v>
      </c>
      <c r="E25" s="185" t="s">
        <v>2266</v>
      </c>
      <c r="F25" s="32">
        <v>1</v>
      </c>
    </row>
    <row r="26" spans="1:6">
      <c r="A26" s="69">
        <v>19</v>
      </c>
      <c r="B26" s="69">
        <v>19</v>
      </c>
      <c r="C26" s="69">
        <v>1001</v>
      </c>
      <c r="D26" s="86" t="s">
        <v>894</v>
      </c>
      <c r="E26" s="185" t="s">
        <v>2267</v>
      </c>
      <c r="F26" s="32">
        <v>1</v>
      </c>
    </row>
    <row r="27" spans="1:6">
      <c r="A27" s="69">
        <v>20</v>
      </c>
      <c r="B27" s="69">
        <v>20</v>
      </c>
      <c r="C27" s="69">
        <v>1001</v>
      </c>
      <c r="D27" s="87" t="s">
        <v>895</v>
      </c>
      <c r="E27" s="186" t="s">
        <v>2268</v>
      </c>
      <c r="F27" s="92">
        <v>2</v>
      </c>
    </row>
    <row r="28" spans="1:6">
      <c r="A28" s="69">
        <v>21</v>
      </c>
      <c r="B28" s="69">
        <v>21</v>
      </c>
      <c r="C28" s="69">
        <v>1001</v>
      </c>
      <c r="D28" s="86" t="s">
        <v>896</v>
      </c>
      <c r="E28" s="185" t="s">
        <v>2269</v>
      </c>
      <c r="F28" s="32">
        <v>1</v>
      </c>
    </row>
    <row r="29" spans="1:6">
      <c r="A29" s="69">
        <v>22</v>
      </c>
      <c r="B29" s="69">
        <v>22</v>
      </c>
      <c r="C29" s="69">
        <v>1001</v>
      </c>
      <c r="D29" s="86" t="s">
        <v>896</v>
      </c>
      <c r="E29" s="185" t="s">
        <v>2270</v>
      </c>
      <c r="F29" s="32">
        <v>1</v>
      </c>
    </row>
    <row r="30" spans="1:6">
      <c r="A30" s="69">
        <v>23</v>
      </c>
      <c r="B30" s="69">
        <v>23</v>
      </c>
      <c r="C30" s="69">
        <v>1001</v>
      </c>
      <c r="D30" s="86" t="s">
        <v>896</v>
      </c>
      <c r="E30" s="185" t="s">
        <v>2271</v>
      </c>
      <c r="F30" s="32">
        <v>1</v>
      </c>
    </row>
    <row r="31" spans="1:6">
      <c r="A31" s="69">
        <v>24</v>
      </c>
      <c r="B31" s="69">
        <v>24</v>
      </c>
      <c r="C31" s="69">
        <v>1001</v>
      </c>
      <c r="D31" s="86" t="s">
        <v>896</v>
      </c>
      <c r="E31" s="185" t="s">
        <v>2272</v>
      </c>
      <c r="F31" s="32">
        <v>1</v>
      </c>
    </row>
    <row r="32" spans="1:6">
      <c r="A32" s="69">
        <v>25</v>
      </c>
      <c r="B32" s="69">
        <v>25</v>
      </c>
      <c r="C32" s="69">
        <v>1001</v>
      </c>
      <c r="D32" s="86" t="s">
        <v>896</v>
      </c>
      <c r="E32" s="185" t="s">
        <v>2273</v>
      </c>
      <c r="F32" s="32">
        <v>1</v>
      </c>
    </row>
    <row r="33" spans="1:6">
      <c r="A33" s="69">
        <v>26</v>
      </c>
      <c r="B33" s="69">
        <v>26</v>
      </c>
      <c r="C33" s="69">
        <v>1001</v>
      </c>
      <c r="D33" s="86" t="s">
        <v>896</v>
      </c>
      <c r="E33" s="185" t="s">
        <v>2274</v>
      </c>
      <c r="F33" s="32">
        <v>1</v>
      </c>
    </row>
    <row r="34" spans="1:6">
      <c r="A34" s="69">
        <v>27</v>
      </c>
      <c r="B34" s="69">
        <v>27</v>
      </c>
      <c r="C34" s="69">
        <v>1001</v>
      </c>
      <c r="D34" s="86" t="s">
        <v>896</v>
      </c>
      <c r="E34" s="185" t="s">
        <v>2275</v>
      </c>
      <c r="F34" s="32">
        <v>1</v>
      </c>
    </row>
    <row r="35" spans="1:6">
      <c r="A35" s="69">
        <v>28</v>
      </c>
      <c r="B35" s="69">
        <v>28</v>
      </c>
      <c r="C35" s="69">
        <v>1001</v>
      </c>
      <c r="D35" s="86" t="s">
        <v>896</v>
      </c>
      <c r="E35" s="185" t="s">
        <v>2276</v>
      </c>
      <c r="F35" s="32">
        <v>1</v>
      </c>
    </row>
    <row r="36" spans="1:6">
      <c r="A36" s="69">
        <v>29</v>
      </c>
      <c r="B36" s="69">
        <v>29</v>
      </c>
      <c r="C36" s="69">
        <v>1001</v>
      </c>
      <c r="D36" s="86" t="s">
        <v>896</v>
      </c>
      <c r="E36" s="185" t="s">
        <v>2277</v>
      </c>
      <c r="F36" s="32">
        <v>1</v>
      </c>
    </row>
    <row r="37" spans="1:6">
      <c r="A37" s="69">
        <v>30</v>
      </c>
      <c r="B37" s="69">
        <v>30</v>
      </c>
      <c r="C37" s="69">
        <v>1001</v>
      </c>
      <c r="D37" s="86" t="s">
        <v>896</v>
      </c>
      <c r="E37" s="185" t="s">
        <v>2278</v>
      </c>
      <c r="F37" s="32">
        <v>1</v>
      </c>
    </row>
    <row r="38" spans="1:6">
      <c r="A38" s="69">
        <v>31</v>
      </c>
      <c r="B38" s="69">
        <v>31</v>
      </c>
      <c r="C38" s="69">
        <v>1001</v>
      </c>
      <c r="D38" s="86" t="s">
        <v>896</v>
      </c>
      <c r="E38" s="185" t="s">
        <v>2279</v>
      </c>
      <c r="F38" s="32">
        <v>1</v>
      </c>
    </row>
    <row r="39" spans="1:6">
      <c r="A39" s="69">
        <v>32</v>
      </c>
      <c r="B39" s="69">
        <v>32</v>
      </c>
      <c r="C39" s="69">
        <v>1001</v>
      </c>
      <c r="D39" s="86" t="s">
        <v>896</v>
      </c>
      <c r="E39" s="185" t="s">
        <v>2280</v>
      </c>
      <c r="F39" s="32">
        <v>1</v>
      </c>
    </row>
    <row r="40" spans="1:6">
      <c r="A40" s="69">
        <v>33</v>
      </c>
      <c r="B40" s="69">
        <v>33</v>
      </c>
      <c r="C40" s="69">
        <v>1001</v>
      </c>
      <c r="D40" s="86" t="s">
        <v>896</v>
      </c>
      <c r="E40" s="185" t="s">
        <v>2281</v>
      </c>
      <c r="F40" s="32">
        <v>1</v>
      </c>
    </row>
    <row r="41" spans="1:6">
      <c r="A41" s="69">
        <v>34</v>
      </c>
      <c r="B41" s="69">
        <v>34</v>
      </c>
      <c r="C41" s="69">
        <v>1001</v>
      </c>
      <c r="D41" s="86" t="s">
        <v>896</v>
      </c>
      <c r="E41" s="185" t="s">
        <v>2282</v>
      </c>
      <c r="F41" s="32">
        <v>1</v>
      </c>
    </row>
    <row r="42" spans="1:6">
      <c r="A42" s="69">
        <v>35</v>
      </c>
      <c r="B42" s="69">
        <v>35</v>
      </c>
      <c r="C42" s="69">
        <v>1001</v>
      </c>
      <c r="D42" s="86" t="s">
        <v>896</v>
      </c>
      <c r="E42" s="185" t="s">
        <v>2283</v>
      </c>
      <c r="F42" s="32">
        <v>1</v>
      </c>
    </row>
    <row r="43" spans="1:6">
      <c r="A43" s="69">
        <v>36</v>
      </c>
      <c r="B43" s="69">
        <v>36</v>
      </c>
      <c r="C43" s="69">
        <v>1001</v>
      </c>
      <c r="D43" s="86" t="s">
        <v>896</v>
      </c>
      <c r="E43" s="185" t="s">
        <v>2284</v>
      </c>
      <c r="F43" s="32">
        <v>1</v>
      </c>
    </row>
    <row r="44" spans="1:6">
      <c r="A44" s="69">
        <v>37</v>
      </c>
      <c r="B44" s="69">
        <v>37</v>
      </c>
      <c r="C44" s="69">
        <v>1001</v>
      </c>
      <c r="D44" s="86" t="s">
        <v>896</v>
      </c>
      <c r="E44" s="185" t="s">
        <v>2285</v>
      </c>
      <c r="F44" s="32">
        <v>1</v>
      </c>
    </row>
    <row r="45" spans="1:6">
      <c r="A45" s="69">
        <v>38</v>
      </c>
      <c r="B45" s="69">
        <v>38</v>
      </c>
      <c r="C45" s="69">
        <v>1001</v>
      </c>
      <c r="D45" s="86" t="s">
        <v>896</v>
      </c>
      <c r="E45" s="185" t="s">
        <v>2286</v>
      </c>
      <c r="F45" s="32">
        <v>1</v>
      </c>
    </row>
    <row r="46" spans="1:6">
      <c r="A46" s="69">
        <v>39</v>
      </c>
      <c r="B46" s="69">
        <v>39</v>
      </c>
      <c r="C46" s="69">
        <v>1001</v>
      </c>
      <c r="D46" s="86" t="s">
        <v>896</v>
      </c>
      <c r="E46" s="185" t="s">
        <v>2287</v>
      </c>
      <c r="F46" s="32">
        <v>1</v>
      </c>
    </row>
    <row r="47" spans="1:6">
      <c r="A47" s="69">
        <v>40</v>
      </c>
      <c r="B47" s="69">
        <v>40</v>
      </c>
      <c r="C47" s="69">
        <v>1001</v>
      </c>
      <c r="D47" s="87" t="s">
        <v>897</v>
      </c>
      <c r="E47" s="186" t="s">
        <v>2288</v>
      </c>
      <c r="F47" s="92">
        <v>2</v>
      </c>
    </row>
    <row r="48" spans="1:6">
      <c r="A48" s="69">
        <v>41</v>
      </c>
      <c r="B48" s="69">
        <v>41</v>
      </c>
      <c r="C48" s="69">
        <v>1001</v>
      </c>
      <c r="D48" s="86" t="s">
        <v>898</v>
      </c>
      <c r="E48" s="185" t="s">
        <v>2289</v>
      </c>
      <c r="F48" s="32">
        <v>1</v>
      </c>
    </row>
    <row r="49" spans="1:6">
      <c r="A49" s="69">
        <v>42</v>
      </c>
      <c r="B49" s="69">
        <v>42</v>
      </c>
      <c r="C49" s="69">
        <v>1001</v>
      </c>
      <c r="D49" s="86" t="s">
        <v>898</v>
      </c>
      <c r="E49" s="185" t="s">
        <v>2290</v>
      </c>
      <c r="F49" s="32">
        <v>1</v>
      </c>
    </row>
    <row r="50" spans="1:6">
      <c r="A50" s="69">
        <v>43</v>
      </c>
      <c r="B50" s="69">
        <v>43</v>
      </c>
      <c r="C50" s="69">
        <v>1001</v>
      </c>
      <c r="D50" s="86" t="s">
        <v>898</v>
      </c>
      <c r="E50" s="185" t="s">
        <v>2291</v>
      </c>
      <c r="F50" s="32">
        <v>1</v>
      </c>
    </row>
    <row r="51" spans="1:6">
      <c r="A51" s="69">
        <v>44</v>
      </c>
      <c r="B51" s="69">
        <v>44</v>
      </c>
      <c r="C51" s="69">
        <v>1001</v>
      </c>
      <c r="D51" s="86" t="s">
        <v>898</v>
      </c>
      <c r="E51" s="185" t="s">
        <v>2292</v>
      </c>
      <c r="F51" s="32">
        <v>1</v>
      </c>
    </row>
    <row r="52" spans="1:6">
      <c r="A52" s="69">
        <v>45</v>
      </c>
      <c r="B52" s="69">
        <v>45</v>
      </c>
      <c r="C52" s="69">
        <v>1001</v>
      </c>
      <c r="D52" s="86" t="s">
        <v>898</v>
      </c>
      <c r="E52" s="185" t="s">
        <v>2293</v>
      </c>
      <c r="F52" s="32">
        <v>1</v>
      </c>
    </row>
    <row r="53" spans="1:6">
      <c r="A53" s="69">
        <v>46</v>
      </c>
      <c r="B53" s="69">
        <v>46</v>
      </c>
      <c r="C53" s="69">
        <v>1001</v>
      </c>
      <c r="D53" s="86" t="s">
        <v>898</v>
      </c>
      <c r="E53" s="185" t="s">
        <v>2294</v>
      </c>
      <c r="F53" s="32">
        <v>1</v>
      </c>
    </row>
    <row r="54" spans="1:6">
      <c r="A54" s="69">
        <v>47</v>
      </c>
      <c r="B54" s="69">
        <v>47</v>
      </c>
      <c r="C54" s="69">
        <v>1001</v>
      </c>
      <c r="D54" s="86" t="s">
        <v>898</v>
      </c>
      <c r="E54" s="185" t="s">
        <v>2295</v>
      </c>
      <c r="F54" s="32">
        <v>1</v>
      </c>
    </row>
    <row r="55" spans="1:6">
      <c r="A55" s="69">
        <v>48</v>
      </c>
      <c r="B55" s="69">
        <v>48</v>
      </c>
      <c r="C55" s="69">
        <v>1001</v>
      </c>
      <c r="D55" s="86" t="s">
        <v>898</v>
      </c>
      <c r="E55" s="185" t="s">
        <v>2296</v>
      </c>
      <c r="F55" s="32">
        <v>1</v>
      </c>
    </row>
    <row r="56" spans="1:6">
      <c r="A56" s="69">
        <v>49</v>
      </c>
      <c r="B56" s="69">
        <v>49</v>
      </c>
      <c r="C56" s="69">
        <v>1001</v>
      </c>
      <c r="D56" s="86" t="s">
        <v>898</v>
      </c>
      <c r="E56" s="185" t="s">
        <v>2297</v>
      </c>
      <c r="F56" s="32">
        <v>1</v>
      </c>
    </row>
    <row r="57" spans="1:6">
      <c r="A57" s="69">
        <v>50</v>
      </c>
      <c r="B57" s="69">
        <v>50</v>
      </c>
      <c r="C57" s="69">
        <v>1001</v>
      </c>
      <c r="D57" s="86" t="s">
        <v>898</v>
      </c>
      <c r="E57" s="185" t="s">
        <v>2298</v>
      </c>
      <c r="F57" s="32">
        <v>1</v>
      </c>
    </row>
    <row r="58" spans="1:6">
      <c r="A58" s="69">
        <v>51</v>
      </c>
      <c r="B58" s="69">
        <v>51</v>
      </c>
      <c r="C58" s="69">
        <v>1001</v>
      </c>
      <c r="D58" s="86" t="s">
        <v>898</v>
      </c>
      <c r="E58" s="185" t="s">
        <v>2299</v>
      </c>
      <c r="F58" s="32">
        <v>1</v>
      </c>
    </row>
    <row r="59" spans="1:6">
      <c r="A59" s="69">
        <v>52</v>
      </c>
      <c r="B59" s="69">
        <v>52</v>
      </c>
      <c r="C59" s="69">
        <v>1001</v>
      </c>
      <c r="D59" s="86" t="s">
        <v>898</v>
      </c>
      <c r="E59" s="185" t="s">
        <v>2300</v>
      </c>
      <c r="F59" s="32">
        <v>1</v>
      </c>
    </row>
    <row r="60" spans="1:6">
      <c r="A60" s="69">
        <v>53</v>
      </c>
      <c r="B60" s="69">
        <v>53</v>
      </c>
      <c r="C60" s="69">
        <v>1001</v>
      </c>
      <c r="D60" s="86" t="s">
        <v>898</v>
      </c>
      <c r="E60" s="185" t="s">
        <v>2301</v>
      </c>
      <c r="F60" s="32">
        <v>1</v>
      </c>
    </row>
    <row r="61" spans="1:6">
      <c r="A61" s="69">
        <v>54</v>
      </c>
      <c r="B61" s="69">
        <v>54</v>
      </c>
      <c r="C61" s="69">
        <v>1001</v>
      </c>
      <c r="D61" s="86" t="s">
        <v>898</v>
      </c>
      <c r="E61" s="185" t="s">
        <v>2302</v>
      </c>
      <c r="F61" s="32">
        <v>1</v>
      </c>
    </row>
    <row r="62" spans="1:6">
      <c r="A62" s="69">
        <v>55</v>
      </c>
      <c r="B62" s="69">
        <v>55</v>
      </c>
      <c r="C62" s="69">
        <v>1001</v>
      </c>
      <c r="D62" s="86" t="s">
        <v>898</v>
      </c>
      <c r="E62" s="185" t="s">
        <v>2303</v>
      </c>
      <c r="F62" s="32">
        <v>1</v>
      </c>
    </row>
    <row r="63" spans="1:6">
      <c r="A63" s="69">
        <v>56</v>
      </c>
      <c r="B63" s="69">
        <v>56</v>
      </c>
      <c r="C63" s="69">
        <v>1001</v>
      </c>
      <c r="D63" s="86" t="s">
        <v>898</v>
      </c>
      <c r="E63" s="185" t="s">
        <v>2304</v>
      </c>
      <c r="F63" s="32">
        <v>1</v>
      </c>
    </row>
    <row r="64" spans="1:6">
      <c r="A64" s="69">
        <v>57</v>
      </c>
      <c r="B64" s="69">
        <v>57</v>
      </c>
      <c r="C64" s="69">
        <v>1001</v>
      </c>
      <c r="D64" s="86" t="s">
        <v>898</v>
      </c>
      <c r="E64" s="185" t="s">
        <v>2305</v>
      </c>
      <c r="F64" s="32">
        <v>1</v>
      </c>
    </row>
    <row r="65" spans="1:6">
      <c r="A65" s="69">
        <v>58</v>
      </c>
      <c r="B65" s="69">
        <v>58</v>
      </c>
      <c r="C65" s="69">
        <v>1001</v>
      </c>
      <c r="D65" s="86" t="s">
        <v>898</v>
      </c>
      <c r="E65" s="185" t="s">
        <v>2306</v>
      </c>
      <c r="F65" s="32">
        <v>1</v>
      </c>
    </row>
    <row r="66" spans="1:6">
      <c r="A66" s="69">
        <v>59</v>
      </c>
      <c r="B66" s="69">
        <v>59</v>
      </c>
      <c r="C66" s="69">
        <v>1001</v>
      </c>
      <c r="D66" s="86" t="s">
        <v>898</v>
      </c>
      <c r="E66" s="185" t="s">
        <v>2307</v>
      </c>
      <c r="F66" s="32">
        <v>1</v>
      </c>
    </row>
    <row r="67" spans="1:6">
      <c r="A67" s="69">
        <v>60</v>
      </c>
      <c r="B67" s="69">
        <v>60</v>
      </c>
      <c r="C67" s="69">
        <v>1001</v>
      </c>
      <c r="D67" s="87" t="s">
        <v>899</v>
      </c>
      <c r="E67" s="186" t="s">
        <v>2308</v>
      </c>
      <c r="F67" s="92">
        <v>2</v>
      </c>
    </row>
    <row r="68" spans="1:6">
      <c r="A68" s="69">
        <v>61</v>
      </c>
      <c r="B68" s="69">
        <v>61</v>
      </c>
      <c r="C68" s="69">
        <v>1001</v>
      </c>
      <c r="D68" s="86" t="s">
        <v>900</v>
      </c>
      <c r="E68" s="185" t="s">
        <v>2309</v>
      </c>
      <c r="F68" s="32">
        <v>1</v>
      </c>
    </row>
    <row r="69" spans="1:6">
      <c r="A69" s="69">
        <v>62</v>
      </c>
      <c r="B69" s="69">
        <v>62</v>
      </c>
      <c r="C69" s="69">
        <v>1001</v>
      </c>
      <c r="D69" s="86" t="s">
        <v>900</v>
      </c>
      <c r="E69" s="185" t="s">
        <v>2310</v>
      </c>
      <c r="F69" s="32">
        <v>1</v>
      </c>
    </row>
    <row r="70" spans="1:6">
      <c r="A70" s="69">
        <v>63</v>
      </c>
      <c r="B70" s="69">
        <v>63</v>
      </c>
      <c r="C70" s="69">
        <v>1001</v>
      </c>
      <c r="D70" s="86" t="s">
        <v>900</v>
      </c>
      <c r="E70" s="185" t="s">
        <v>2311</v>
      </c>
      <c r="F70" s="32">
        <v>1</v>
      </c>
    </row>
    <row r="71" spans="1:6">
      <c r="A71" s="69">
        <v>64</v>
      </c>
      <c r="B71" s="69">
        <v>64</v>
      </c>
      <c r="C71" s="69">
        <v>1001</v>
      </c>
      <c r="D71" s="86" t="s">
        <v>900</v>
      </c>
      <c r="E71" s="185" t="s">
        <v>2312</v>
      </c>
      <c r="F71" s="32">
        <v>1</v>
      </c>
    </row>
    <row r="72" spans="1:6">
      <c r="A72" s="69">
        <v>65</v>
      </c>
      <c r="B72" s="69">
        <v>65</v>
      </c>
      <c r="C72" s="69">
        <v>1001</v>
      </c>
      <c r="D72" s="86" t="s">
        <v>900</v>
      </c>
      <c r="E72" s="185" t="s">
        <v>2313</v>
      </c>
      <c r="F72" s="32">
        <v>1</v>
      </c>
    </row>
    <row r="73" spans="1:6">
      <c r="A73" s="69">
        <v>66</v>
      </c>
      <c r="B73" s="69">
        <v>66</v>
      </c>
      <c r="C73" s="69">
        <v>1001</v>
      </c>
      <c r="D73" s="86" t="s">
        <v>900</v>
      </c>
      <c r="E73" s="185" t="s">
        <v>2314</v>
      </c>
      <c r="F73" s="32">
        <v>1</v>
      </c>
    </row>
    <row r="74" spans="1:6">
      <c r="A74" s="69">
        <v>67</v>
      </c>
      <c r="B74" s="69">
        <v>67</v>
      </c>
      <c r="C74" s="69">
        <v>1001</v>
      </c>
      <c r="D74" s="86" t="s">
        <v>900</v>
      </c>
      <c r="E74" s="185" t="s">
        <v>2315</v>
      </c>
      <c r="F74" s="32">
        <v>1</v>
      </c>
    </row>
    <row r="75" spans="1:6">
      <c r="A75" s="69">
        <v>68</v>
      </c>
      <c r="B75" s="69">
        <v>68</v>
      </c>
      <c r="C75" s="69">
        <v>1001</v>
      </c>
      <c r="D75" s="86" t="s">
        <v>900</v>
      </c>
      <c r="E75" s="185" t="s">
        <v>2316</v>
      </c>
      <c r="F75" s="32">
        <v>1</v>
      </c>
    </row>
    <row r="76" spans="1:6">
      <c r="A76" s="69">
        <v>69</v>
      </c>
      <c r="B76" s="69">
        <v>69</v>
      </c>
      <c r="C76" s="69">
        <v>1001</v>
      </c>
      <c r="D76" s="86" t="s">
        <v>900</v>
      </c>
      <c r="E76" s="185" t="s">
        <v>2317</v>
      </c>
      <c r="F76" s="32">
        <v>1</v>
      </c>
    </row>
    <row r="77" spans="1:6">
      <c r="A77" s="69">
        <v>70</v>
      </c>
      <c r="B77" s="69">
        <v>70</v>
      </c>
      <c r="C77" s="69">
        <v>1001</v>
      </c>
      <c r="D77" s="86" t="s">
        <v>900</v>
      </c>
      <c r="E77" s="185" t="s">
        <v>2318</v>
      </c>
      <c r="F77" s="32">
        <v>1</v>
      </c>
    </row>
    <row r="78" spans="1:6">
      <c r="A78" s="69">
        <v>71</v>
      </c>
      <c r="B78" s="69">
        <v>71</v>
      </c>
      <c r="C78" s="69">
        <v>1001</v>
      </c>
      <c r="D78" s="86" t="s">
        <v>900</v>
      </c>
      <c r="E78" s="185" t="s">
        <v>2319</v>
      </c>
      <c r="F78" s="32">
        <v>1</v>
      </c>
    </row>
    <row r="79" spans="1:6">
      <c r="A79" s="69">
        <v>72</v>
      </c>
      <c r="B79" s="69">
        <v>72</v>
      </c>
      <c r="C79" s="69">
        <v>1001</v>
      </c>
      <c r="D79" s="86" t="s">
        <v>900</v>
      </c>
      <c r="E79" s="185" t="s">
        <v>2320</v>
      </c>
      <c r="F79" s="32">
        <v>1</v>
      </c>
    </row>
    <row r="80" spans="1:6">
      <c r="A80" s="69">
        <v>73</v>
      </c>
      <c r="B80" s="69">
        <v>73</v>
      </c>
      <c r="C80" s="69">
        <v>1001</v>
      </c>
      <c r="D80" s="86" t="s">
        <v>900</v>
      </c>
      <c r="E80" s="185" t="s">
        <v>2321</v>
      </c>
      <c r="F80" s="32">
        <v>1</v>
      </c>
    </row>
    <row r="81" spans="1:6">
      <c r="A81" s="69">
        <v>74</v>
      </c>
      <c r="B81" s="69">
        <v>74</v>
      </c>
      <c r="C81" s="69">
        <v>1001</v>
      </c>
      <c r="D81" s="86" t="s">
        <v>900</v>
      </c>
      <c r="E81" s="185" t="s">
        <v>2322</v>
      </c>
      <c r="F81" s="32">
        <v>1</v>
      </c>
    </row>
    <row r="82" spans="1:6">
      <c r="A82" s="69">
        <v>75</v>
      </c>
      <c r="B82" s="69">
        <v>75</v>
      </c>
      <c r="C82" s="69">
        <v>1001</v>
      </c>
      <c r="D82" s="86" t="s">
        <v>900</v>
      </c>
      <c r="E82" s="185" t="s">
        <v>2323</v>
      </c>
      <c r="F82" s="32">
        <v>1</v>
      </c>
    </row>
    <row r="83" spans="1:6">
      <c r="A83" s="69">
        <v>76</v>
      </c>
      <c r="B83" s="69">
        <v>76</v>
      </c>
      <c r="C83" s="69">
        <v>1001</v>
      </c>
      <c r="D83" s="86" t="s">
        <v>900</v>
      </c>
      <c r="E83" s="185" t="s">
        <v>2324</v>
      </c>
      <c r="F83" s="32">
        <v>1</v>
      </c>
    </row>
    <row r="84" spans="1:6">
      <c r="A84" s="69">
        <v>77</v>
      </c>
      <c r="B84" s="69">
        <v>77</v>
      </c>
      <c r="C84" s="69">
        <v>1001</v>
      </c>
      <c r="D84" s="86" t="s">
        <v>900</v>
      </c>
      <c r="E84" s="185" t="s">
        <v>2325</v>
      </c>
      <c r="F84" s="32">
        <v>1</v>
      </c>
    </row>
    <row r="85" spans="1:6">
      <c r="A85" s="69">
        <v>78</v>
      </c>
      <c r="B85" s="69">
        <v>78</v>
      </c>
      <c r="C85" s="69">
        <v>1001</v>
      </c>
      <c r="D85" s="86" t="s">
        <v>900</v>
      </c>
      <c r="E85" s="185" t="s">
        <v>2326</v>
      </c>
      <c r="F85" s="32">
        <v>1</v>
      </c>
    </row>
    <row r="86" spans="1:6">
      <c r="A86" s="69">
        <v>79</v>
      </c>
      <c r="B86" s="69">
        <v>79</v>
      </c>
      <c r="C86" s="69">
        <v>1001</v>
      </c>
      <c r="D86" s="86" t="s">
        <v>900</v>
      </c>
      <c r="E86" s="185" t="s">
        <v>2327</v>
      </c>
      <c r="F86" s="32">
        <v>1</v>
      </c>
    </row>
    <row r="87" spans="1:6">
      <c r="A87" s="69">
        <v>80</v>
      </c>
      <c r="B87" s="69">
        <v>80</v>
      </c>
      <c r="C87" s="69">
        <v>1001</v>
      </c>
      <c r="D87" s="87" t="s">
        <v>901</v>
      </c>
      <c r="E87" s="186" t="s">
        <v>2328</v>
      </c>
      <c r="F87" s="92">
        <v>2</v>
      </c>
    </row>
    <row r="88" spans="1:6">
      <c r="A88" s="69">
        <v>81</v>
      </c>
      <c r="B88" s="69">
        <v>81</v>
      </c>
      <c r="C88" s="69">
        <v>1001</v>
      </c>
      <c r="D88" s="86" t="s">
        <v>902</v>
      </c>
      <c r="E88" s="185" t="s">
        <v>2329</v>
      </c>
      <c r="F88" s="32">
        <v>1</v>
      </c>
    </row>
    <row r="89" spans="1:6">
      <c r="A89" s="69">
        <v>82</v>
      </c>
      <c r="B89" s="69">
        <v>82</v>
      </c>
      <c r="C89" s="69">
        <v>1001</v>
      </c>
      <c r="D89" s="86" t="s">
        <v>902</v>
      </c>
      <c r="E89" s="185" t="s">
        <v>2330</v>
      </c>
      <c r="F89" s="32">
        <v>1</v>
      </c>
    </row>
    <row r="90" spans="1:6">
      <c r="A90" s="69">
        <v>83</v>
      </c>
      <c r="B90" s="69">
        <v>83</v>
      </c>
      <c r="C90" s="69">
        <v>1001</v>
      </c>
      <c r="D90" s="86" t="s">
        <v>902</v>
      </c>
      <c r="E90" s="185" t="s">
        <v>2331</v>
      </c>
      <c r="F90" s="32">
        <v>1</v>
      </c>
    </row>
    <row r="91" spans="1:6">
      <c r="A91" s="69">
        <v>84</v>
      </c>
      <c r="B91" s="69">
        <v>84</v>
      </c>
      <c r="C91" s="69">
        <v>1001</v>
      </c>
      <c r="D91" s="86" t="s">
        <v>902</v>
      </c>
      <c r="E91" s="185" t="s">
        <v>2332</v>
      </c>
      <c r="F91" s="32">
        <v>1</v>
      </c>
    </row>
    <row r="92" spans="1:6">
      <c r="A92" s="69">
        <v>85</v>
      </c>
      <c r="B92" s="69">
        <v>85</v>
      </c>
      <c r="C92" s="69">
        <v>1001</v>
      </c>
      <c r="D92" s="86" t="s">
        <v>902</v>
      </c>
      <c r="E92" s="185" t="s">
        <v>2333</v>
      </c>
      <c r="F92" s="32">
        <v>1</v>
      </c>
    </row>
    <row r="93" spans="1:6">
      <c r="A93" s="69">
        <v>86</v>
      </c>
      <c r="B93" s="69">
        <v>86</v>
      </c>
      <c r="C93" s="69">
        <v>1001</v>
      </c>
      <c r="D93" s="86" t="s">
        <v>902</v>
      </c>
      <c r="E93" s="185" t="s">
        <v>2334</v>
      </c>
      <c r="F93" s="32">
        <v>1</v>
      </c>
    </row>
    <row r="94" spans="1:6">
      <c r="A94" s="69">
        <v>87</v>
      </c>
      <c r="B94" s="69">
        <v>87</v>
      </c>
      <c r="C94" s="69">
        <v>1001</v>
      </c>
      <c r="D94" s="86" t="s">
        <v>902</v>
      </c>
      <c r="E94" s="185" t="s">
        <v>2335</v>
      </c>
      <c r="F94" s="32">
        <v>1</v>
      </c>
    </row>
    <row r="95" spans="1:6">
      <c r="A95" s="69">
        <v>88</v>
      </c>
      <c r="B95" s="69">
        <v>88</v>
      </c>
      <c r="C95" s="69">
        <v>1001</v>
      </c>
      <c r="D95" s="86" t="s">
        <v>902</v>
      </c>
      <c r="E95" s="185" t="s">
        <v>2336</v>
      </c>
      <c r="F95" s="32">
        <v>1</v>
      </c>
    </row>
    <row r="96" spans="1:6">
      <c r="A96" s="69">
        <v>89</v>
      </c>
      <c r="B96" s="69">
        <v>89</v>
      </c>
      <c r="C96" s="69">
        <v>1001</v>
      </c>
      <c r="D96" s="86" t="s">
        <v>902</v>
      </c>
      <c r="E96" s="185" t="s">
        <v>2337</v>
      </c>
      <c r="F96" s="32">
        <v>1</v>
      </c>
    </row>
    <row r="97" spans="1:6">
      <c r="A97" s="69">
        <v>90</v>
      </c>
      <c r="B97" s="69">
        <v>90</v>
      </c>
      <c r="C97" s="69">
        <v>1001</v>
      </c>
      <c r="D97" s="86" t="s">
        <v>902</v>
      </c>
      <c r="E97" s="185" t="s">
        <v>2338</v>
      </c>
      <c r="F97" s="32">
        <v>1</v>
      </c>
    </row>
    <row r="98" spans="1:6">
      <c r="A98" s="69">
        <v>91</v>
      </c>
      <c r="B98" s="69">
        <v>91</v>
      </c>
      <c r="C98" s="69">
        <v>1001</v>
      </c>
      <c r="D98" s="86" t="s">
        <v>902</v>
      </c>
      <c r="E98" s="185" t="s">
        <v>2339</v>
      </c>
      <c r="F98" s="32">
        <v>1</v>
      </c>
    </row>
    <row r="99" spans="1:6">
      <c r="A99" s="69">
        <v>92</v>
      </c>
      <c r="B99" s="69">
        <v>92</v>
      </c>
      <c r="C99" s="69">
        <v>1001</v>
      </c>
      <c r="D99" s="86" t="s">
        <v>902</v>
      </c>
      <c r="E99" s="185" t="s">
        <v>2340</v>
      </c>
      <c r="F99" s="32">
        <v>1</v>
      </c>
    </row>
    <row r="100" spans="1:6">
      <c r="A100" s="69">
        <v>93</v>
      </c>
      <c r="B100" s="69">
        <v>93</v>
      </c>
      <c r="C100" s="69">
        <v>1001</v>
      </c>
      <c r="D100" s="86" t="s">
        <v>902</v>
      </c>
      <c r="E100" s="185" t="s">
        <v>2341</v>
      </c>
      <c r="F100" s="32">
        <v>1</v>
      </c>
    </row>
    <row r="101" spans="1:6">
      <c r="A101" s="69">
        <v>94</v>
      </c>
      <c r="B101" s="69">
        <v>94</v>
      </c>
      <c r="C101" s="69">
        <v>1001</v>
      </c>
      <c r="D101" s="86" t="s">
        <v>902</v>
      </c>
      <c r="E101" s="185" t="s">
        <v>2342</v>
      </c>
      <c r="F101" s="32">
        <v>1</v>
      </c>
    </row>
    <row r="102" spans="1:6">
      <c r="A102" s="69">
        <v>95</v>
      </c>
      <c r="B102" s="69">
        <v>95</v>
      </c>
      <c r="C102" s="69">
        <v>1001</v>
      </c>
      <c r="D102" s="86" t="s">
        <v>902</v>
      </c>
      <c r="E102" s="185" t="s">
        <v>2343</v>
      </c>
      <c r="F102" s="32">
        <v>1</v>
      </c>
    </row>
    <row r="103" spans="1:6">
      <c r="A103" s="69">
        <v>96</v>
      </c>
      <c r="B103" s="69">
        <v>96</v>
      </c>
      <c r="C103" s="69">
        <v>1001</v>
      </c>
      <c r="D103" s="86" t="s">
        <v>902</v>
      </c>
      <c r="E103" s="185" t="s">
        <v>2344</v>
      </c>
      <c r="F103" s="32">
        <v>1</v>
      </c>
    </row>
    <row r="104" spans="1:6">
      <c r="A104" s="69">
        <v>97</v>
      </c>
      <c r="B104" s="69">
        <v>97</v>
      </c>
      <c r="C104" s="69">
        <v>1001</v>
      </c>
      <c r="D104" s="86" t="s">
        <v>902</v>
      </c>
      <c r="E104" s="185" t="s">
        <v>2345</v>
      </c>
      <c r="F104" s="32">
        <v>1</v>
      </c>
    </row>
    <row r="105" spans="1:6">
      <c r="A105" s="69">
        <v>98</v>
      </c>
      <c r="B105" s="69">
        <v>98</v>
      </c>
      <c r="C105" s="69">
        <v>1001</v>
      </c>
      <c r="D105" s="86" t="s">
        <v>902</v>
      </c>
      <c r="E105" s="185" t="s">
        <v>2346</v>
      </c>
      <c r="F105" s="32">
        <v>1</v>
      </c>
    </row>
    <row r="106" spans="1:6">
      <c r="A106" s="69">
        <v>99</v>
      </c>
      <c r="B106" s="69">
        <v>99</v>
      </c>
      <c r="C106" s="69">
        <v>1001</v>
      </c>
      <c r="D106" s="86" t="s">
        <v>902</v>
      </c>
      <c r="E106" s="185" t="s">
        <v>2347</v>
      </c>
      <c r="F106" s="32">
        <v>1</v>
      </c>
    </row>
    <row r="107" spans="1:6" s="57" customFormat="1">
      <c r="A107" s="69">
        <v>100</v>
      </c>
      <c r="B107" s="70">
        <v>100</v>
      </c>
      <c r="C107" s="70">
        <v>1001</v>
      </c>
      <c r="D107" s="193" t="s">
        <v>902</v>
      </c>
      <c r="E107" s="185" t="s">
        <v>2348</v>
      </c>
      <c r="F107" s="192">
        <v>0</v>
      </c>
    </row>
    <row r="108" spans="1:6">
      <c r="A108" s="69">
        <v>101</v>
      </c>
      <c r="B108" s="69">
        <v>1</v>
      </c>
      <c r="C108" s="69">
        <v>1002</v>
      </c>
      <c r="D108" s="86" t="s">
        <v>887</v>
      </c>
      <c r="E108" s="187" t="s">
        <v>2349</v>
      </c>
      <c r="F108" s="32">
        <v>1</v>
      </c>
    </row>
    <row r="109" spans="1:6">
      <c r="A109" s="69">
        <v>102</v>
      </c>
      <c r="B109" s="69">
        <v>2</v>
      </c>
      <c r="C109" s="69">
        <v>1002</v>
      </c>
      <c r="D109" s="86" t="s">
        <v>888</v>
      </c>
      <c r="E109" s="187" t="s">
        <v>2350</v>
      </c>
      <c r="F109" s="32">
        <v>1</v>
      </c>
    </row>
    <row r="110" spans="1:6">
      <c r="A110" s="69">
        <v>103</v>
      </c>
      <c r="B110" s="69">
        <v>3</v>
      </c>
      <c r="C110" s="69">
        <v>1002</v>
      </c>
      <c r="D110" s="86" t="s">
        <v>889</v>
      </c>
      <c r="E110" s="187" t="s">
        <v>2351</v>
      </c>
      <c r="F110" s="32">
        <v>1</v>
      </c>
    </row>
    <row r="111" spans="1:6">
      <c r="A111" s="69">
        <v>104</v>
      </c>
      <c r="B111" s="69">
        <v>4</v>
      </c>
      <c r="C111" s="69">
        <v>1002</v>
      </c>
      <c r="D111" s="86" t="s">
        <v>890</v>
      </c>
      <c r="E111" s="187" t="s">
        <v>2352</v>
      </c>
      <c r="F111" s="32">
        <v>1</v>
      </c>
    </row>
    <row r="112" spans="1:6">
      <c r="A112" s="69">
        <v>105</v>
      </c>
      <c r="B112" s="69">
        <v>5</v>
      </c>
      <c r="C112" s="69">
        <v>1002</v>
      </c>
      <c r="D112" s="86" t="s">
        <v>891</v>
      </c>
      <c r="E112" s="187" t="s">
        <v>2353</v>
      </c>
      <c r="F112" s="32">
        <v>1</v>
      </c>
    </row>
    <row r="113" spans="1:6">
      <c r="A113" s="69">
        <v>106</v>
      </c>
      <c r="B113" s="69">
        <v>6</v>
      </c>
      <c r="C113" s="69">
        <v>1002</v>
      </c>
      <c r="D113" s="86" t="s">
        <v>892</v>
      </c>
      <c r="E113" s="187" t="s">
        <v>2354</v>
      </c>
      <c r="F113" s="32">
        <v>1</v>
      </c>
    </row>
    <row r="114" spans="1:6">
      <c r="A114" s="69">
        <v>107</v>
      </c>
      <c r="B114" s="69">
        <v>7</v>
      </c>
      <c r="C114" s="69">
        <v>1002</v>
      </c>
      <c r="D114" s="86" t="s">
        <v>893</v>
      </c>
      <c r="E114" s="187" t="s">
        <v>2355</v>
      </c>
      <c r="F114" s="32">
        <v>1</v>
      </c>
    </row>
    <row r="115" spans="1:6">
      <c r="A115" s="69">
        <v>108</v>
      </c>
      <c r="B115" s="69">
        <v>8</v>
      </c>
      <c r="C115" s="69">
        <v>1002</v>
      </c>
      <c r="D115" s="86" t="s">
        <v>894</v>
      </c>
      <c r="E115" s="187" t="s">
        <v>2356</v>
      </c>
      <c r="F115" s="32">
        <v>1</v>
      </c>
    </row>
    <row r="116" spans="1:6">
      <c r="A116" s="69">
        <v>109</v>
      </c>
      <c r="B116" s="69">
        <v>9</v>
      </c>
      <c r="C116" s="69">
        <v>1002</v>
      </c>
      <c r="D116" s="86" t="s">
        <v>894</v>
      </c>
      <c r="E116" s="187" t="s">
        <v>2357</v>
      </c>
      <c r="F116" s="32">
        <v>1</v>
      </c>
    </row>
    <row r="117" spans="1:6">
      <c r="A117" s="69">
        <v>110</v>
      </c>
      <c r="B117" s="69">
        <v>10</v>
      </c>
      <c r="C117" s="69">
        <v>1002</v>
      </c>
      <c r="D117" s="86" t="s">
        <v>894</v>
      </c>
      <c r="E117" s="187" t="s">
        <v>2358</v>
      </c>
      <c r="F117" s="32">
        <v>1</v>
      </c>
    </row>
    <row r="118" spans="1:6">
      <c r="A118" s="69">
        <v>111</v>
      </c>
      <c r="B118" s="69">
        <v>11</v>
      </c>
      <c r="C118" s="69">
        <v>1002</v>
      </c>
      <c r="D118" s="86" t="s">
        <v>894</v>
      </c>
      <c r="E118" s="187" t="s">
        <v>2359</v>
      </c>
      <c r="F118" s="32">
        <v>1</v>
      </c>
    </row>
    <row r="119" spans="1:6">
      <c r="A119" s="69">
        <v>112</v>
      </c>
      <c r="B119" s="69">
        <v>12</v>
      </c>
      <c r="C119" s="69">
        <v>1002</v>
      </c>
      <c r="D119" s="86" t="s">
        <v>894</v>
      </c>
      <c r="E119" s="187" t="s">
        <v>2360</v>
      </c>
      <c r="F119" s="32">
        <v>1</v>
      </c>
    </row>
    <row r="120" spans="1:6">
      <c r="A120" s="69">
        <v>113</v>
      </c>
      <c r="B120" s="69">
        <v>13</v>
      </c>
      <c r="C120" s="69">
        <v>1002</v>
      </c>
      <c r="D120" s="86" t="s">
        <v>894</v>
      </c>
      <c r="E120" s="187" t="s">
        <v>2361</v>
      </c>
      <c r="F120" s="32">
        <v>1</v>
      </c>
    </row>
    <row r="121" spans="1:6">
      <c r="A121" s="69">
        <v>114</v>
      </c>
      <c r="B121" s="69">
        <v>14</v>
      </c>
      <c r="C121" s="69">
        <v>1002</v>
      </c>
      <c r="D121" s="86" t="s">
        <v>894</v>
      </c>
      <c r="E121" s="187" t="s">
        <v>2362</v>
      </c>
      <c r="F121" s="32">
        <v>1</v>
      </c>
    </row>
    <row r="122" spans="1:6">
      <c r="A122" s="69">
        <v>115</v>
      </c>
      <c r="B122" s="69">
        <v>15</v>
      </c>
      <c r="C122" s="69">
        <v>1002</v>
      </c>
      <c r="D122" s="86" t="s">
        <v>894</v>
      </c>
      <c r="E122" s="187" t="s">
        <v>2363</v>
      </c>
      <c r="F122" s="32">
        <v>1</v>
      </c>
    </row>
    <row r="123" spans="1:6">
      <c r="A123" s="69">
        <v>116</v>
      </c>
      <c r="B123" s="69">
        <v>16</v>
      </c>
      <c r="C123" s="69">
        <v>1002</v>
      </c>
      <c r="D123" s="86" t="s">
        <v>894</v>
      </c>
      <c r="E123" s="187" t="s">
        <v>2364</v>
      </c>
      <c r="F123" s="32">
        <v>1</v>
      </c>
    </row>
    <row r="124" spans="1:6">
      <c r="A124" s="69">
        <v>117</v>
      </c>
      <c r="B124" s="69">
        <v>17</v>
      </c>
      <c r="C124" s="69">
        <v>1002</v>
      </c>
      <c r="D124" s="86" t="s">
        <v>894</v>
      </c>
      <c r="E124" s="187" t="s">
        <v>2365</v>
      </c>
      <c r="F124" s="32">
        <v>1</v>
      </c>
    </row>
    <row r="125" spans="1:6">
      <c r="A125" s="69">
        <v>118</v>
      </c>
      <c r="B125" s="69">
        <v>18</v>
      </c>
      <c r="C125" s="69">
        <v>1002</v>
      </c>
      <c r="D125" s="86" t="s">
        <v>894</v>
      </c>
      <c r="E125" s="187" t="s">
        <v>2366</v>
      </c>
      <c r="F125" s="32">
        <v>1</v>
      </c>
    </row>
    <row r="126" spans="1:6">
      <c r="A126" s="69">
        <v>119</v>
      </c>
      <c r="B126" s="69">
        <v>19</v>
      </c>
      <c r="C126" s="69">
        <v>1002</v>
      </c>
      <c r="D126" s="86" t="s">
        <v>894</v>
      </c>
      <c r="E126" s="187" t="s">
        <v>2367</v>
      </c>
      <c r="F126" s="32">
        <v>1</v>
      </c>
    </row>
    <row r="127" spans="1:6">
      <c r="A127" s="69">
        <v>120</v>
      </c>
      <c r="B127" s="69">
        <v>20</v>
      </c>
      <c r="C127" s="69">
        <v>1002</v>
      </c>
      <c r="D127" s="87" t="s">
        <v>895</v>
      </c>
      <c r="E127" s="188" t="s">
        <v>2470</v>
      </c>
      <c r="F127" s="92">
        <v>2</v>
      </c>
    </row>
    <row r="128" spans="1:6">
      <c r="A128" s="69">
        <v>121</v>
      </c>
      <c r="B128" s="69">
        <v>21</v>
      </c>
      <c r="C128" s="69">
        <v>1002</v>
      </c>
      <c r="D128" s="86" t="s">
        <v>896</v>
      </c>
      <c r="E128" s="187" t="s">
        <v>2471</v>
      </c>
      <c r="F128" s="32">
        <v>1</v>
      </c>
    </row>
    <row r="129" spans="1:6">
      <c r="A129" s="69">
        <v>122</v>
      </c>
      <c r="B129" s="69">
        <v>22</v>
      </c>
      <c r="C129" s="69">
        <v>1002</v>
      </c>
      <c r="D129" s="86" t="s">
        <v>896</v>
      </c>
      <c r="E129" s="187" t="s">
        <v>2472</v>
      </c>
      <c r="F129" s="32">
        <v>1</v>
      </c>
    </row>
    <row r="130" spans="1:6">
      <c r="A130" s="69">
        <v>123</v>
      </c>
      <c r="B130" s="69">
        <v>23</v>
      </c>
      <c r="C130" s="69">
        <v>1002</v>
      </c>
      <c r="D130" s="86" t="s">
        <v>896</v>
      </c>
      <c r="E130" s="187" t="s">
        <v>2473</v>
      </c>
      <c r="F130" s="32">
        <v>1</v>
      </c>
    </row>
    <row r="131" spans="1:6">
      <c r="A131" s="69">
        <v>124</v>
      </c>
      <c r="B131" s="69">
        <v>24</v>
      </c>
      <c r="C131" s="69">
        <v>1002</v>
      </c>
      <c r="D131" s="86" t="s">
        <v>896</v>
      </c>
      <c r="E131" s="187" t="s">
        <v>2474</v>
      </c>
      <c r="F131" s="32">
        <v>1</v>
      </c>
    </row>
    <row r="132" spans="1:6">
      <c r="A132" s="69">
        <v>125</v>
      </c>
      <c r="B132" s="69">
        <v>25</v>
      </c>
      <c r="C132" s="69">
        <v>1002</v>
      </c>
      <c r="D132" s="86" t="s">
        <v>896</v>
      </c>
      <c r="E132" s="187" t="s">
        <v>2475</v>
      </c>
      <c r="F132" s="32">
        <v>1</v>
      </c>
    </row>
    <row r="133" spans="1:6">
      <c r="A133" s="69">
        <v>126</v>
      </c>
      <c r="B133" s="69">
        <v>26</v>
      </c>
      <c r="C133" s="69">
        <v>1002</v>
      </c>
      <c r="D133" s="86" t="s">
        <v>896</v>
      </c>
      <c r="E133" s="187" t="s">
        <v>2476</v>
      </c>
      <c r="F133" s="32">
        <v>1</v>
      </c>
    </row>
    <row r="134" spans="1:6">
      <c r="A134" s="69">
        <v>127</v>
      </c>
      <c r="B134" s="69">
        <v>27</v>
      </c>
      <c r="C134" s="69">
        <v>1002</v>
      </c>
      <c r="D134" s="86" t="s">
        <v>896</v>
      </c>
      <c r="E134" s="187" t="s">
        <v>2477</v>
      </c>
      <c r="F134" s="32">
        <v>1</v>
      </c>
    </row>
    <row r="135" spans="1:6">
      <c r="A135" s="69">
        <v>128</v>
      </c>
      <c r="B135" s="69">
        <v>28</v>
      </c>
      <c r="C135" s="69">
        <v>1002</v>
      </c>
      <c r="D135" s="86" t="s">
        <v>896</v>
      </c>
      <c r="E135" s="187" t="s">
        <v>2478</v>
      </c>
      <c r="F135" s="32">
        <v>1</v>
      </c>
    </row>
    <row r="136" spans="1:6">
      <c r="A136" s="69">
        <v>129</v>
      </c>
      <c r="B136" s="69">
        <v>29</v>
      </c>
      <c r="C136" s="69">
        <v>1002</v>
      </c>
      <c r="D136" s="86" t="s">
        <v>896</v>
      </c>
      <c r="E136" s="187" t="s">
        <v>2479</v>
      </c>
      <c r="F136" s="32">
        <v>1</v>
      </c>
    </row>
    <row r="137" spans="1:6">
      <c r="A137" s="69">
        <v>130</v>
      </c>
      <c r="B137" s="69">
        <v>30</v>
      </c>
      <c r="C137" s="69">
        <v>1002</v>
      </c>
      <c r="D137" s="86" t="s">
        <v>896</v>
      </c>
      <c r="E137" s="187" t="s">
        <v>2480</v>
      </c>
      <c r="F137" s="32">
        <v>1</v>
      </c>
    </row>
    <row r="138" spans="1:6">
      <c r="A138" s="69">
        <v>131</v>
      </c>
      <c r="B138" s="69">
        <v>31</v>
      </c>
      <c r="C138" s="69">
        <v>1002</v>
      </c>
      <c r="D138" s="86" t="s">
        <v>896</v>
      </c>
      <c r="E138" s="187" t="s">
        <v>2481</v>
      </c>
      <c r="F138" s="32">
        <v>1</v>
      </c>
    </row>
    <row r="139" spans="1:6">
      <c r="A139" s="69">
        <v>132</v>
      </c>
      <c r="B139" s="69">
        <v>32</v>
      </c>
      <c r="C139" s="69">
        <v>1002</v>
      </c>
      <c r="D139" s="86" t="s">
        <v>896</v>
      </c>
      <c r="E139" s="187" t="s">
        <v>2482</v>
      </c>
      <c r="F139" s="32">
        <v>1</v>
      </c>
    </row>
    <row r="140" spans="1:6">
      <c r="A140" s="69">
        <v>133</v>
      </c>
      <c r="B140" s="69">
        <v>33</v>
      </c>
      <c r="C140" s="69">
        <v>1002</v>
      </c>
      <c r="D140" s="86" t="s">
        <v>896</v>
      </c>
      <c r="E140" s="187" t="s">
        <v>2483</v>
      </c>
      <c r="F140" s="32">
        <v>1</v>
      </c>
    </row>
    <row r="141" spans="1:6">
      <c r="A141" s="69">
        <v>134</v>
      </c>
      <c r="B141" s="69">
        <v>34</v>
      </c>
      <c r="C141" s="69">
        <v>1002</v>
      </c>
      <c r="D141" s="86" t="s">
        <v>896</v>
      </c>
      <c r="E141" s="187" t="s">
        <v>2484</v>
      </c>
      <c r="F141" s="32">
        <v>1</v>
      </c>
    </row>
    <row r="142" spans="1:6">
      <c r="A142" s="69">
        <v>135</v>
      </c>
      <c r="B142" s="69">
        <v>35</v>
      </c>
      <c r="C142" s="69">
        <v>1002</v>
      </c>
      <c r="D142" s="86" t="s">
        <v>896</v>
      </c>
      <c r="E142" s="187" t="s">
        <v>2485</v>
      </c>
      <c r="F142" s="32">
        <v>1</v>
      </c>
    </row>
    <row r="143" spans="1:6">
      <c r="A143" s="69">
        <v>136</v>
      </c>
      <c r="B143" s="69">
        <v>36</v>
      </c>
      <c r="C143" s="69">
        <v>1002</v>
      </c>
      <c r="D143" s="86" t="s">
        <v>896</v>
      </c>
      <c r="E143" s="187" t="s">
        <v>2486</v>
      </c>
      <c r="F143" s="32">
        <v>1</v>
      </c>
    </row>
    <row r="144" spans="1:6">
      <c r="A144" s="69">
        <v>137</v>
      </c>
      <c r="B144" s="69">
        <v>37</v>
      </c>
      <c r="C144" s="69">
        <v>1002</v>
      </c>
      <c r="D144" s="86" t="s">
        <v>896</v>
      </c>
      <c r="E144" s="187" t="s">
        <v>2487</v>
      </c>
      <c r="F144" s="32">
        <v>1</v>
      </c>
    </row>
    <row r="145" spans="1:6">
      <c r="A145" s="69">
        <v>138</v>
      </c>
      <c r="B145" s="69">
        <v>38</v>
      </c>
      <c r="C145" s="69">
        <v>1002</v>
      </c>
      <c r="D145" s="86" t="s">
        <v>896</v>
      </c>
      <c r="E145" s="187" t="s">
        <v>2488</v>
      </c>
      <c r="F145" s="32">
        <v>1</v>
      </c>
    </row>
    <row r="146" spans="1:6">
      <c r="A146" s="69">
        <v>139</v>
      </c>
      <c r="B146" s="69">
        <v>39</v>
      </c>
      <c r="C146" s="69">
        <v>1002</v>
      </c>
      <c r="D146" s="86" t="s">
        <v>896</v>
      </c>
      <c r="E146" s="187" t="s">
        <v>2489</v>
      </c>
      <c r="F146" s="32">
        <v>1</v>
      </c>
    </row>
    <row r="147" spans="1:6">
      <c r="A147" s="69">
        <v>140</v>
      </c>
      <c r="B147" s="69">
        <v>40</v>
      </c>
      <c r="C147" s="69">
        <v>1002</v>
      </c>
      <c r="D147" s="87" t="s">
        <v>897</v>
      </c>
      <c r="E147" s="188" t="s">
        <v>2490</v>
      </c>
      <c r="F147" s="92">
        <v>2</v>
      </c>
    </row>
    <row r="148" spans="1:6">
      <c r="A148" s="69">
        <v>141</v>
      </c>
      <c r="B148" s="69">
        <v>41</v>
      </c>
      <c r="C148" s="69">
        <v>1002</v>
      </c>
      <c r="D148" s="86" t="s">
        <v>898</v>
      </c>
      <c r="E148" s="187" t="s">
        <v>2491</v>
      </c>
      <c r="F148" s="32">
        <v>1</v>
      </c>
    </row>
    <row r="149" spans="1:6">
      <c r="A149" s="69">
        <v>142</v>
      </c>
      <c r="B149" s="69">
        <v>42</v>
      </c>
      <c r="C149" s="69">
        <v>1002</v>
      </c>
      <c r="D149" s="86" t="s">
        <v>898</v>
      </c>
      <c r="E149" s="187" t="s">
        <v>2492</v>
      </c>
      <c r="F149" s="32">
        <v>1</v>
      </c>
    </row>
    <row r="150" spans="1:6">
      <c r="A150" s="69">
        <v>143</v>
      </c>
      <c r="B150" s="69">
        <v>43</v>
      </c>
      <c r="C150" s="69">
        <v>1002</v>
      </c>
      <c r="D150" s="86" t="s">
        <v>898</v>
      </c>
      <c r="E150" s="187" t="s">
        <v>2493</v>
      </c>
      <c r="F150" s="32">
        <v>1</v>
      </c>
    </row>
    <row r="151" spans="1:6">
      <c r="A151" s="69">
        <v>144</v>
      </c>
      <c r="B151" s="69">
        <v>44</v>
      </c>
      <c r="C151" s="69">
        <v>1002</v>
      </c>
      <c r="D151" s="86" t="s">
        <v>898</v>
      </c>
      <c r="E151" s="187" t="s">
        <v>2494</v>
      </c>
      <c r="F151" s="32">
        <v>1</v>
      </c>
    </row>
    <row r="152" spans="1:6">
      <c r="A152" s="69">
        <v>145</v>
      </c>
      <c r="B152" s="69">
        <v>45</v>
      </c>
      <c r="C152" s="69">
        <v>1002</v>
      </c>
      <c r="D152" s="86" t="s">
        <v>898</v>
      </c>
      <c r="E152" s="187" t="s">
        <v>2495</v>
      </c>
      <c r="F152" s="32">
        <v>1</v>
      </c>
    </row>
    <row r="153" spans="1:6">
      <c r="A153" s="69">
        <v>146</v>
      </c>
      <c r="B153" s="69">
        <v>46</v>
      </c>
      <c r="C153" s="69">
        <v>1002</v>
      </c>
      <c r="D153" s="86" t="s">
        <v>898</v>
      </c>
      <c r="E153" s="187" t="s">
        <v>2496</v>
      </c>
      <c r="F153" s="32">
        <v>1</v>
      </c>
    </row>
    <row r="154" spans="1:6">
      <c r="A154" s="69">
        <v>147</v>
      </c>
      <c r="B154" s="69">
        <v>47</v>
      </c>
      <c r="C154" s="69">
        <v>1002</v>
      </c>
      <c r="D154" s="86" t="s">
        <v>898</v>
      </c>
      <c r="E154" s="187" t="s">
        <v>2497</v>
      </c>
      <c r="F154" s="32">
        <v>1</v>
      </c>
    </row>
    <row r="155" spans="1:6">
      <c r="A155" s="69">
        <v>148</v>
      </c>
      <c r="B155" s="69">
        <v>48</v>
      </c>
      <c r="C155" s="69">
        <v>1002</v>
      </c>
      <c r="D155" s="86" t="s">
        <v>898</v>
      </c>
      <c r="E155" s="187" t="s">
        <v>2498</v>
      </c>
      <c r="F155" s="32">
        <v>1</v>
      </c>
    </row>
    <row r="156" spans="1:6">
      <c r="A156" s="69">
        <v>149</v>
      </c>
      <c r="B156" s="69">
        <v>49</v>
      </c>
      <c r="C156" s="69">
        <v>1002</v>
      </c>
      <c r="D156" s="86" t="s">
        <v>898</v>
      </c>
      <c r="E156" s="187" t="s">
        <v>2499</v>
      </c>
      <c r="F156" s="32">
        <v>1</v>
      </c>
    </row>
    <row r="157" spans="1:6">
      <c r="A157" s="69">
        <v>150</v>
      </c>
      <c r="B157" s="69">
        <v>50</v>
      </c>
      <c r="C157" s="69">
        <v>1002</v>
      </c>
      <c r="D157" s="86" t="s">
        <v>898</v>
      </c>
      <c r="E157" s="187" t="s">
        <v>2500</v>
      </c>
      <c r="F157" s="32">
        <v>1</v>
      </c>
    </row>
    <row r="158" spans="1:6">
      <c r="A158" s="69">
        <v>151</v>
      </c>
      <c r="B158" s="69">
        <v>51</v>
      </c>
      <c r="C158" s="69">
        <v>1002</v>
      </c>
      <c r="D158" s="86" t="s">
        <v>898</v>
      </c>
      <c r="E158" s="187" t="s">
        <v>2501</v>
      </c>
      <c r="F158" s="32">
        <v>1</v>
      </c>
    </row>
    <row r="159" spans="1:6">
      <c r="A159" s="69">
        <v>152</v>
      </c>
      <c r="B159" s="69">
        <v>52</v>
      </c>
      <c r="C159" s="69">
        <v>1002</v>
      </c>
      <c r="D159" s="86" t="s">
        <v>898</v>
      </c>
      <c r="E159" s="187" t="s">
        <v>2502</v>
      </c>
      <c r="F159" s="32">
        <v>1</v>
      </c>
    </row>
    <row r="160" spans="1:6">
      <c r="A160" s="69">
        <v>153</v>
      </c>
      <c r="B160" s="69">
        <v>53</v>
      </c>
      <c r="C160" s="69">
        <v>1002</v>
      </c>
      <c r="D160" s="86" t="s">
        <v>898</v>
      </c>
      <c r="E160" s="187" t="s">
        <v>2503</v>
      </c>
      <c r="F160" s="32">
        <v>1</v>
      </c>
    </row>
    <row r="161" spans="1:6">
      <c r="A161" s="69">
        <v>154</v>
      </c>
      <c r="B161" s="69">
        <v>54</v>
      </c>
      <c r="C161" s="69">
        <v>1002</v>
      </c>
      <c r="D161" s="86" t="s">
        <v>898</v>
      </c>
      <c r="E161" s="187" t="s">
        <v>2504</v>
      </c>
      <c r="F161" s="32">
        <v>1</v>
      </c>
    </row>
    <row r="162" spans="1:6">
      <c r="A162" s="69">
        <v>155</v>
      </c>
      <c r="B162" s="69">
        <v>55</v>
      </c>
      <c r="C162" s="69">
        <v>1002</v>
      </c>
      <c r="D162" s="86" t="s">
        <v>898</v>
      </c>
      <c r="E162" s="187" t="s">
        <v>2505</v>
      </c>
      <c r="F162" s="32">
        <v>1</v>
      </c>
    </row>
    <row r="163" spans="1:6">
      <c r="A163" s="69">
        <v>156</v>
      </c>
      <c r="B163" s="69">
        <v>56</v>
      </c>
      <c r="C163" s="69">
        <v>1002</v>
      </c>
      <c r="D163" s="86" t="s">
        <v>898</v>
      </c>
      <c r="E163" s="187" t="s">
        <v>2506</v>
      </c>
      <c r="F163" s="32">
        <v>1</v>
      </c>
    </row>
    <row r="164" spans="1:6">
      <c r="A164" s="69">
        <v>157</v>
      </c>
      <c r="B164" s="69">
        <v>57</v>
      </c>
      <c r="C164" s="69">
        <v>1002</v>
      </c>
      <c r="D164" s="86" t="s">
        <v>898</v>
      </c>
      <c r="E164" s="187" t="s">
        <v>2507</v>
      </c>
      <c r="F164" s="32">
        <v>1</v>
      </c>
    </row>
    <row r="165" spans="1:6">
      <c r="A165" s="69">
        <v>158</v>
      </c>
      <c r="B165" s="69">
        <v>58</v>
      </c>
      <c r="C165" s="69">
        <v>1002</v>
      </c>
      <c r="D165" s="86" t="s">
        <v>898</v>
      </c>
      <c r="E165" s="187" t="s">
        <v>2508</v>
      </c>
      <c r="F165" s="32">
        <v>1</v>
      </c>
    </row>
    <row r="166" spans="1:6">
      <c r="A166" s="69">
        <v>159</v>
      </c>
      <c r="B166" s="69">
        <v>59</v>
      </c>
      <c r="C166" s="69">
        <v>1002</v>
      </c>
      <c r="D166" s="86" t="s">
        <v>898</v>
      </c>
      <c r="E166" s="187" t="s">
        <v>2509</v>
      </c>
      <c r="F166" s="32">
        <v>1</v>
      </c>
    </row>
    <row r="167" spans="1:6">
      <c r="A167" s="69">
        <v>160</v>
      </c>
      <c r="B167" s="69">
        <v>60</v>
      </c>
      <c r="C167" s="69">
        <v>1002</v>
      </c>
      <c r="D167" s="87" t="s">
        <v>899</v>
      </c>
      <c r="E167" s="188" t="s">
        <v>2510</v>
      </c>
      <c r="F167" s="92">
        <v>2</v>
      </c>
    </row>
    <row r="168" spans="1:6">
      <c r="A168" s="69">
        <v>161</v>
      </c>
      <c r="B168" s="69">
        <v>61</v>
      </c>
      <c r="C168" s="69">
        <v>1002</v>
      </c>
      <c r="D168" s="86" t="s">
        <v>900</v>
      </c>
      <c r="E168" s="187" t="s">
        <v>2511</v>
      </c>
      <c r="F168" s="32">
        <v>1</v>
      </c>
    </row>
    <row r="169" spans="1:6">
      <c r="A169" s="69">
        <v>162</v>
      </c>
      <c r="B169" s="69">
        <v>62</v>
      </c>
      <c r="C169" s="69">
        <v>1002</v>
      </c>
      <c r="D169" s="86" t="s">
        <v>900</v>
      </c>
      <c r="E169" s="187" t="s">
        <v>2512</v>
      </c>
      <c r="F169" s="32">
        <v>1</v>
      </c>
    </row>
    <row r="170" spans="1:6">
      <c r="A170" s="69">
        <v>163</v>
      </c>
      <c r="B170" s="69">
        <v>63</v>
      </c>
      <c r="C170" s="69">
        <v>1002</v>
      </c>
      <c r="D170" s="86" t="s">
        <v>900</v>
      </c>
      <c r="E170" s="187" t="s">
        <v>2513</v>
      </c>
      <c r="F170" s="32">
        <v>1</v>
      </c>
    </row>
    <row r="171" spans="1:6">
      <c r="A171" s="69">
        <v>164</v>
      </c>
      <c r="B171" s="69">
        <v>64</v>
      </c>
      <c r="C171" s="69">
        <v>1002</v>
      </c>
      <c r="D171" s="86" t="s">
        <v>900</v>
      </c>
      <c r="E171" s="187" t="s">
        <v>2514</v>
      </c>
      <c r="F171" s="32">
        <v>1</v>
      </c>
    </row>
    <row r="172" spans="1:6">
      <c r="A172" s="69">
        <v>165</v>
      </c>
      <c r="B172" s="69">
        <v>65</v>
      </c>
      <c r="C172" s="69">
        <v>1002</v>
      </c>
      <c r="D172" s="86" t="s">
        <v>900</v>
      </c>
      <c r="E172" s="187" t="s">
        <v>2515</v>
      </c>
      <c r="F172" s="32">
        <v>1</v>
      </c>
    </row>
    <row r="173" spans="1:6">
      <c r="A173" s="69">
        <v>166</v>
      </c>
      <c r="B173" s="69">
        <v>66</v>
      </c>
      <c r="C173" s="69">
        <v>1002</v>
      </c>
      <c r="D173" s="86" t="s">
        <v>900</v>
      </c>
      <c r="E173" s="187" t="s">
        <v>2516</v>
      </c>
      <c r="F173" s="32">
        <v>1</v>
      </c>
    </row>
    <row r="174" spans="1:6">
      <c r="A174" s="69">
        <v>167</v>
      </c>
      <c r="B174" s="69">
        <v>67</v>
      </c>
      <c r="C174" s="69">
        <v>1002</v>
      </c>
      <c r="D174" s="86" t="s">
        <v>900</v>
      </c>
      <c r="E174" s="187" t="s">
        <v>2517</v>
      </c>
      <c r="F174" s="32">
        <v>1</v>
      </c>
    </row>
    <row r="175" spans="1:6">
      <c r="A175" s="69">
        <v>168</v>
      </c>
      <c r="B175" s="69">
        <v>68</v>
      </c>
      <c r="C175" s="69">
        <v>1002</v>
      </c>
      <c r="D175" s="86" t="s">
        <v>900</v>
      </c>
      <c r="E175" s="187" t="s">
        <v>2518</v>
      </c>
      <c r="F175" s="32">
        <v>1</v>
      </c>
    </row>
    <row r="176" spans="1:6">
      <c r="A176" s="69">
        <v>169</v>
      </c>
      <c r="B176" s="69">
        <v>69</v>
      </c>
      <c r="C176" s="69">
        <v>1002</v>
      </c>
      <c r="D176" s="86" t="s">
        <v>900</v>
      </c>
      <c r="E176" s="187" t="s">
        <v>2519</v>
      </c>
      <c r="F176" s="32">
        <v>1</v>
      </c>
    </row>
    <row r="177" spans="1:6">
      <c r="A177" s="69">
        <v>170</v>
      </c>
      <c r="B177" s="69">
        <v>70</v>
      </c>
      <c r="C177" s="69">
        <v>1002</v>
      </c>
      <c r="D177" s="86" t="s">
        <v>900</v>
      </c>
      <c r="E177" s="187" t="s">
        <v>2520</v>
      </c>
      <c r="F177" s="32">
        <v>1</v>
      </c>
    </row>
    <row r="178" spans="1:6">
      <c r="A178" s="69">
        <v>171</v>
      </c>
      <c r="B178" s="69">
        <v>71</v>
      </c>
      <c r="C178" s="69">
        <v>1002</v>
      </c>
      <c r="D178" s="86" t="s">
        <v>900</v>
      </c>
      <c r="E178" s="187" t="s">
        <v>2521</v>
      </c>
      <c r="F178" s="32">
        <v>1</v>
      </c>
    </row>
    <row r="179" spans="1:6">
      <c r="A179" s="69">
        <v>172</v>
      </c>
      <c r="B179" s="69">
        <v>72</v>
      </c>
      <c r="C179" s="69">
        <v>1002</v>
      </c>
      <c r="D179" s="86" t="s">
        <v>900</v>
      </c>
      <c r="E179" s="187" t="s">
        <v>2522</v>
      </c>
      <c r="F179" s="32">
        <v>1</v>
      </c>
    </row>
    <row r="180" spans="1:6">
      <c r="A180" s="69">
        <v>173</v>
      </c>
      <c r="B180" s="69">
        <v>73</v>
      </c>
      <c r="C180" s="69">
        <v>1002</v>
      </c>
      <c r="D180" s="86" t="s">
        <v>900</v>
      </c>
      <c r="E180" s="187" t="s">
        <v>2523</v>
      </c>
      <c r="F180" s="32">
        <v>1</v>
      </c>
    </row>
    <row r="181" spans="1:6">
      <c r="A181" s="69">
        <v>174</v>
      </c>
      <c r="B181" s="69">
        <v>74</v>
      </c>
      <c r="C181" s="69">
        <v>1002</v>
      </c>
      <c r="D181" s="86" t="s">
        <v>900</v>
      </c>
      <c r="E181" s="187" t="s">
        <v>2524</v>
      </c>
      <c r="F181" s="32">
        <v>1</v>
      </c>
    </row>
    <row r="182" spans="1:6">
      <c r="A182" s="69">
        <v>175</v>
      </c>
      <c r="B182" s="69">
        <v>75</v>
      </c>
      <c r="C182" s="69">
        <v>1002</v>
      </c>
      <c r="D182" s="86" t="s">
        <v>900</v>
      </c>
      <c r="E182" s="187" t="s">
        <v>2525</v>
      </c>
      <c r="F182" s="32">
        <v>1</v>
      </c>
    </row>
    <row r="183" spans="1:6">
      <c r="A183" s="69">
        <v>176</v>
      </c>
      <c r="B183" s="69">
        <v>76</v>
      </c>
      <c r="C183" s="69">
        <v>1002</v>
      </c>
      <c r="D183" s="86" t="s">
        <v>900</v>
      </c>
      <c r="E183" s="187" t="s">
        <v>2526</v>
      </c>
      <c r="F183" s="32">
        <v>1</v>
      </c>
    </row>
    <row r="184" spans="1:6">
      <c r="A184" s="69">
        <v>177</v>
      </c>
      <c r="B184" s="69">
        <v>77</v>
      </c>
      <c r="C184" s="69">
        <v>1002</v>
      </c>
      <c r="D184" s="86" t="s">
        <v>900</v>
      </c>
      <c r="E184" s="187" t="s">
        <v>2527</v>
      </c>
      <c r="F184" s="32">
        <v>1</v>
      </c>
    </row>
    <row r="185" spans="1:6">
      <c r="A185" s="69">
        <v>178</v>
      </c>
      <c r="B185" s="69">
        <v>78</v>
      </c>
      <c r="C185" s="69">
        <v>1002</v>
      </c>
      <c r="D185" s="86" t="s">
        <v>900</v>
      </c>
      <c r="E185" s="187" t="s">
        <v>2528</v>
      </c>
      <c r="F185" s="32">
        <v>1</v>
      </c>
    </row>
    <row r="186" spans="1:6">
      <c r="A186" s="69">
        <v>179</v>
      </c>
      <c r="B186" s="69">
        <v>79</v>
      </c>
      <c r="C186" s="69">
        <v>1002</v>
      </c>
      <c r="D186" s="86" t="s">
        <v>900</v>
      </c>
      <c r="E186" s="187" t="s">
        <v>2529</v>
      </c>
      <c r="F186" s="32">
        <v>1</v>
      </c>
    </row>
    <row r="187" spans="1:6">
      <c r="A187" s="69">
        <v>180</v>
      </c>
      <c r="B187" s="69">
        <v>80</v>
      </c>
      <c r="C187" s="69">
        <v>1002</v>
      </c>
      <c r="D187" s="87" t="s">
        <v>901</v>
      </c>
      <c r="E187" s="188" t="s">
        <v>2530</v>
      </c>
      <c r="F187" s="92">
        <v>2</v>
      </c>
    </row>
    <row r="188" spans="1:6">
      <c r="A188" s="69">
        <v>181</v>
      </c>
      <c r="B188" s="69">
        <v>81</v>
      </c>
      <c r="C188" s="69">
        <v>1002</v>
      </c>
      <c r="D188" s="86" t="s">
        <v>902</v>
      </c>
      <c r="E188" s="187" t="s">
        <v>2531</v>
      </c>
      <c r="F188" s="32">
        <v>1</v>
      </c>
    </row>
    <row r="189" spans="1:6">
      <c r="A189" s="69">
        <v>182</v>
      </c>
      <c r="B189" s="69">
        <v>82</v>
      </c>
      <c r="C189" s="69">
        <v>1002</v>
      </c>
      <c r="D189" s="86" t="s">
        <v>902</v>
      </c>
      <c r="E189" s="187" t="s">
        <v>2532</v>
      </c>
      <c r="F189" s="32">
        <v>1</v>
      </c>
    </row>
    <row r="190" spans="1:6">
      <c r="A190" s="69">
        <v>183</v>
      </c>
      <c r="B190" s="69">
        <v>83</v>
      </c>
      <c r="C190" s="69">
        <v>1002</v>
      </c>
      <c r="D190" s="86" t="s">
        <v>902</v>
      </c>
      <c r="E190" s="187" t="s">
        <v>2533</v>
      </c>
      <c r="F190" s="32">
        <v>1</v>
      </c>
    </row>
    <row r="191" spans="1:6">
      <c r="A191" s="69">
        <v>184</v>
      </c>
      <c r="B191" s="69">
        <v>84</v>
      </c>
      <c r="C191" s="69">
        <v>1002</v>
      </c>
      <c r="D191" s="86" t="s">
        <v>902</v>
      </c>
      <c r="E191" s="187" t="s">
        <v>2534</v>
      </c>
      <c r="F191" s="32">
        <v>1</v>
      </c>
    </row>
    <row r="192" spans="1:6">
      <c r="A192" s="69">
        <v>185</v>
      </c>
      <c r="B192" s="69">
        <v>85</v>
      </c>
      <c r="C192" s="69">
        <v>1002</v>
      </c>
      <c r="D192" s="86" t="s">
        <v>902</v>
      </c>
      <c r="E192" s="187" t="s">
        <v>2535</v>
      </c>
      <c r="F192" s="32">
        <v>1</v>
      </c>
    </row>
    <row r="193" spans="1:6">
      <c r="A193" s="69">
        <v>186</v>
      </c>
      <c r="B193" s="69">
        <v>86</v>
      </c>
      <c r="C193" s="69">
        <v>1002</v>
      </c>
      <c r="D193" s="86" t="s">
        <v>902</v>
      </c>
      <c r="E193" s="187" t="s">
        <v>2536</v>
      </c>
      <c r="F193" s="32">
        <v>1</v>
      </c>
    </row>
    <row r="194" spans="1:6">
      <c r="A194" s="69">
        <v>187</v>
      </c>
      <c r="B194" s="69">
        <v>87</v>
      </c>
      <c r="C194" s="69">
        <v>1002</v>
      </c>
      <c r="D194" s="86" t="s">
        <v>902</v>
      </c>
      <c r="E194" s="187" t="s">
        <v>2537</v>
      </c>
      <c r="F194" s="32">
        <v>1</v>
      </c>
    </row>
    <row r="195" spans="1:6">
      <c r="A195" s="69">
        <v>188</v>
      </c>
      <c r="B195" s="69">
        <v>88</v>
      </c>
      <c r="C195" s="69">
        <v>1002</v>
      </c>
      <c r="D195" s="86" t="s">
        <v>902</v>
      </c>
      <c r="E195" s="187" t="s">
        <v>2538</v>
      </c>
      <c r="F195" s="32">
        <v>1</v>
      </c>
    </row>
    <row r="196" spans="1:6">
      <c r="A196" s="69">
        <v>189</v>
      </c>
      <c r="B196" s="69">
        <v>89</v>
      </c>
      <c r="C196" s="69">
        <v>1002</v>
      </c>
      <c r="D196" s="86" t="s">
        <v>902</v>
      </c>
      <c r="E196" s="187" t="s">
        <v>2539</v>
      </c>
      <c r="F196" s="32">
        <v>1</v>
      </c>
    </row>
    <row r="197" spans="1:6">
      <c r="A197" s="69">
        <v>190</v>
      </c>
      <c r="B197" s="69">
        <v>90</v>
      </c>
      <c r="C197" s="69">
        <v>1002</v>
      </c>
      <c r="D197" s="86" t="s">
        <v>902</v>
      </c>
      <c r="E197" s="187" t="s">
        <v>2540</v>
      </c>
      <c r="F197" s="32">
        <v>1</v>
      </c>
    </row>
    <row r="198" spans="1:6">
      <c r="A198" s="69">
        <v>191</v>
      </c>
      <c r="B198" s="69">
        <v>91</v>
      </c>
      <c r="C198" s="69">
        <v>1002</v>
      </c>
      <c r="D198" s="86" t="s">
        <v>902</v>
      </c>
      <c r="E198" s="187" t="s">
        <v>2541</v>
      </c>
      <c r="F198" s="32">
        <v>1</v>
      </c>
    </row>
    <row r="199" spans="1:6">
      <c r="A199" s="69">
        <v>192</v>
      </c>
      <c r="B199" s="69">
        <v>92</v>
      </c>
      <c r="C199" s="69">
        <v>1002</v>
      </c>
      <c r="D199" s="86" t="s">
        <v>902</v>
      </c>
      <c r="E199" s="187" t="s">
        <v>2542</v>
      </c>
      <c r="F199" s="32">
        <v>1</v>
      </c>
    </row>
    <row r="200" spans="1:6">
      <c r="A200" s="69">
        <v>193</v>
      </c>
      <c r="B200" s="69">
        <v>93</v>
      </c>
      <c r="C200" s="69">
        <v>1002</v>
      </c>
      <c r="D200" s="86" t="s">
        <v>902</v>
      </c>
      <c r="E200" s="187" t="s">
        <v>2543</v>
      </c>
      <c r="F200" s="32">
        <v>1</v>
      </c>
    </row>
    <row r="201" spans="1:6">
      <c r="A201" s="69">
        <v>194</v>
      </c>
      <c r="B201" s="69">
        <v>94</v>
      </c>
      <c r="C201" s="69">
        <v>1002</v>
      </c>
      <c r="D201" s="86" t="s">
        <v>902</v>
      </c>
      <c r="E201" s="187" t="s">
        <v>2544</v>
      </c>
      <c r="F201" s="32">
        <v>1</v>
      </c>
    </row>
    <row r="202" spans="1:6">
      <c r="A202" s="69">
        <v>195</v>
      </c>
      <c r="B202" s="69">
        <v>95</v>
      </c>
      <c r="C202" s="69">
        <v>1002</v>
      </c>
      <c r="D202" s="86" t="s">
        <v>902</v>
      </c>
      <c r="E202" s="187" t="s">
        <v>2545</v>
      </c>
      <c r="F202" s="32">
        <v>1</v>
      </c>
    </row>
    <row r="203" spans="1:6">
      <c r="A203" s="69">
        <v>196</v>
      </c>
      <c r="B203" s="69">
        <v>96</v>
      </c>
      <c r="C203" s="69">
        <v>1002</v>
      </c>
      <c r="D203" s="86" t="s">
        <v>902</v>
      </c>
      <c r="E203" s="187" t="s">
        <v>2546</v>
      </c>
      <c r="F203" s="32">
        <v>1</v>
      </c>
    </row>
    <row r="204" spans="1:6">
      <c r="A204" s="69">
        <v>197</v>
      </c>
      <c r="B204" s="69">
        <v>97</v>
      </c>
      <c r="C204" s="69">
        <v>1002</v>
      </c>
      <c r="D204" s="86" t="s">
        <v>902</v>
      </c>
      <c r="E204" s="187" t="s">
        <v>2547</v>
      </c>
      <c r="F204" s="32">
        <v>1</v>
      </c>
    </row>
    <row r="205" spans="1:6">
      <c r="A205" s="69">
        <v>198</v>
      </c>
      <c r="B205" s="69">
        <v>98</v>
      </c>
      <c r="C205" s="69">
        <v>1002</v>
      </c>
      <c r="D205" s="86" t="s">
        <v>902</v>
      </c>
      <c r="E205" s="187" t="s">
        <v>2548</v>
      </c>
      <c r="F205" s="32">
        <v>1</v>
      </c>
    </row>
    <row r="206" spans="1:6">
      <c r="A206" s="69">
        <v>199</v>
      </c>
      <c r="B206" s="69">
        <v>99</v>
      </c>
      <c r="C206" s="69">
        <v>1002</v>
      </c>
      <c r="D206" s="86" t="s">
        <v>902</v>
      </c>
      <c r="E206" s="187" t="s">
        <v>2549</v>
      </c>
      <c r="F206" s="32">
        <v>1</v>
      </c>
    </row>
    <row r="207" spans="1:6" s="57" customFormat="1">
      <c r="A207" s="69">
        <v>200</v>
      </c>
      <c r="B207" s="70">
        <v>100</v>
      </c>
      <c r="C207" s="70">
        <v>1002</v>
      </c>
      <c r="D207" s="86" t="s">
        <v>902</v>
      </c>
      <c r="E207" s="187" t="s">
        <v>2550</v>
      </c>
      <c r="F207" s="192">
        <v>0</v>
      </c>
    </row>
    <row r="208" spans="1:6">
      <c r="A208" s="69">
        <v>201</v>
      </c>
      <c r="B208" s="69">
        <v>1</v>
      </c>
      <c r="C208" s="69">
        <v>1003</v>
      </c>
      <c r="D208" s="86" t="s">
        <v>887</v>
      </c>
      <c r="E208" s="187" t="s">
        <v>2349</v>
      </c>
      <c r="F208" s="32">
        <v>1</v>
      </c>
    </row>
    <row r="209" spans="1:6">
      <c r="A209" s="69">
        <v>202</v>
      </c>
      <c r="B209" s="69">
        <v>2</v>
      </c>
      <c r="C209" s="69">
        <v>1003</v>
      </c>
      <c r="D209" s="86" t="s">
        <v>888</v>
      </c>
      <c r="E209" s="187" t="s">
        <v>2350</v>
      </c>
      <c r="F209" s="32">
        <v>1</v>
      </c>
    </row>
    <row r="210" spans="1:6">
      <c r="A210" s="69">
        <v>203</v>
      </c>
      <c r="B210" s="69">
        <v>3</v>
      </c>
      <c r="C210" s="69">
        <v>1003</v>
      </c>
      <c r="D210" s="86" t="s">
        <v>889</v>
      </c>
      <c r="E210" s="187" t="s">
        <v>2351</v>
      </c>
      <c r="F210" s="32">
        <v>1</v>
      </c>
    </row>
    <row r="211" spans="1:6">
      <c r="A211" s="69">
        <v>204</v>
      </c>
      <c r="B211" s="69">
        <v>4</v>
      </c>
      <c r="C211" s="69">
        <v>1003</v>
      </c>
      <c r="D211" s="86" t="s">
        <v>890</v>
      </c>
      <c r="E211" s="187" t="s">
        <v>2352</v>
      </c>
      <c r="F211" s="32">
        <v>1</v>
      </c>
    </row>
    <row r="212" spans="1:6">
      <c r="A212" s="69">
        <v>205</v>
      </c>
      <c r="B212" s="69">
        <v>5</v>
      </c>
      <c r="C212" s="69">
        <v>1003</v>
      </c>
      <c r="D212" s="86" t="s">
        <v>891</v>
      </c>
      <c r="E212" s="187" t="s">
        <v>2353</v>
      </c>
      <c r="F212" s="32">
        <v>1</v>
      </c>
    </row>
    <row r="213" spans="1:6">
      <c r="A213" s="69">
        <v>206</v>
      </c>
      <c r="B213" s="69">
        <v>6</v>
      </c>
      <c r="C213" s="69">
        <v>1003</v>
      </c>
      <c r="D213" s="86" t="s">
        <v>892</v>
      </c>
      <c r="E213" s="187" t="s">
        <v>2354</v>
      </c>
      <c r="F213" s="32">
        <v>1</v>
      </c>
    </row>
    <row r="214" spans="1:6">
      <c r="A214" s="69">
        <v>207</v>
      </c>
      <c r="B214" s="69">
        <v>7</v>
      </c>
      <c r="C214" s="69">
        <v>1003</v>
      </c>
      <c r="D214" s="86" t="s">
        <v>893</v>
      </c>
      <c r="E214" s="187" t="s">
        <v>2355</v>
      </c>
      <c r="F214" s="32">
        <v>1</v>
      </c>
    </row>
    <row r="215" spans="1:6">
      <c r="A215" s="69">
        <v>208</v>
      </c>
      <c r="B215" s="69">
        <v>8</v>
      </c>
      <c r="C215" s="69">
        <v>1003</v>
      </c>
      <c r="D215" s="86" t="s">
        <v>894</v>
      </c>
      <c r="E215" s="187" t="s">
        <v>2356</v>
      </c>
      <c r="F215" s="32">
        <v>1</v>
      </c>
    </row>
    <row r="216" spans="1:6">
      <c r="A216" s="69">
        <v>209</v>
      </c>
      <c r="B216" s="69">
        <v>9</v>
      </c>
      <c r="C216" s="69">
        <v>1003</v>
      </c>
      <c r="D216" s="86" t="s">
        <v>894</v>
      </c>
      <c r="E216" s="187" t="s">
        <v>2357</v>
      </c>
      <c r="F216" s="32">
        <v>1</v>
      </c>
    </row>
    <row r="217" spans="1:6">
      <c r="A217" s="69">
        <v>210</v>
      </c>
      <c r="B217" s="69">
        <v>10</v>
      </c>
      <c r="C217" s="69">
        <v>1003</v>
      </c>
      <c r="D217" s="86" t="s">
        <v>894</v>
      </c>
      <c r="E217" s="187" t="s">
        <v>2358</v>
      </c>
      <c r="F217" s="32">
        <v>1</v>
      </c>
    </row>
    <row r="218" spans="1:6">
      <c r="A218" s="69">
        <v>211</v>
      </c>
      <c r="B218" s="69">
        <v>11</v>
      </c>
      <c r="C218" s="69">
        <v>1003</v>
      </c>
      <c r="D218" s="86" t="s">
        <v>894</v>
      </c>
      <c r="E218" s="187" t="s">
        <v>2359</v>
      </c>
      <c r="F218" s="32">
        <v>1</v>
      </c>
    </row>
    <row r="219" spans="1:6">
      <c r="A219" s="69">
        <v>212</v>
      </c>
      <c r="B219" s="69">
        <v>12</v>
      </c>
      <c r="C219" s="69">
        <v>1003</v>
      </c>
      <c r="D219" s="86" t="s">
        <v>894</v>
      </c>
      <c r="E219" s="187" t="s">
        <v>2360</v>
      </c>
      <c r="F219" s="32">
        <v>1</v>
      </c>
    </row>
    <row r="220" spans="1:6">
      <c r="A220" s="69">
        <v>213</v>
      </c>
      <c r="B220" s="69">
        <v>13</v>
      </c>
      <c r="C220" s="69">
        <v>1003</v>
      </c>
      <c r="D220" s="86" t="s">
        <v>894</v>
      </c>
      <c r="E220" s="187" t="s">
        <v>2361</v>
      </c>
      <c r="F220" s="32">
        <v>1</v>
      </c>
    </row>
    <row r="221" spans="1:6">
      <c r="A221" s="69">
        <v>214</v>
      </c>
      <c r="B221" s="69">
        <v>14</v>
      </c>
      <c r="C221" s="69">
        <v>1003</v>
      </c>
      <c r="D221" s="86" t="s">
        <v>894</v>
      </c>
      <c r="E221" s="187" t="s">
        <v>2362</v>
      </c>
      <c r="F221" s="32">
        <v>1</v>
      </c>
    </row>
    <row r="222" spans="1:6">
      <c r="A222" s="69">
        <v>215</v>
      </c>
      <c r="B222" s="69">
        <v>15</v>
      </c>
      <c r="C222" s="69">
        <v>1003</v>
      </c>
      <c r="D222" s="86" t="s">
        <v>894</v>
      </c>
      <c r="E222" s="187" t="s">
        <v>2363</v>
      </c>
      <c r="F222" s="32">
        <v>1</v>
      </c>
    </row>
    <row r="223" spans="1:6">
      <c r="A223" s="69">
        <v>216</v>
      </c>
      <c r="B223" s="69">
        <v>16</v>
      </c>
      <c r="C223" s="69">
        <v>1003</v>
      </c>
      <c r="D223" s="86" t="s">
        <v>894</v>
      </c>
      <c r="E223" s="187" t="s">
        <v>2364</v>
      </c>
      <c r="F223" s="32">
        <v>1</v>
      </c>
    </row>
    <row r="224" spans="1:6">
      <c r="A224" s="69">
        <v>217</v>
      </c>
      <c r="B224" s="69">
        <v>17</v>
      </c>
      <c r="C224" s="69">
        <v>1003</v>
      </c>
      <c r="D224" s="86" t="s">
        <v>894</v>
      </c>
      <c r="E224" s="187" t="s">
        <v>2365</v>
      </c>
      <c r="F224" s="32">
        <v>1</v>
      </c>
    </row>
    <row r="225" spans="1:6">
      <c r="A225" s="69">
        <v>218</v>
      </c>
      <c r="B225" s="69">
        <v>18</v>
      </c>
      <c r="C225" s="69">
        <v>1003</v>
      </c>
      <c r="D225" s="86" t="s">
        <v>894</v>
      </c>
      <c r="E225" s="187" t="s">
        <v>2366</v>
      </c>
      <c r="F225" s="32">
        <v>1</v>
      </c>
    </row>
    <row r="226" spans="1:6">
      <c r="A226" s="69">
        <v>219</v>
      </c>
      <c r="B226" s="69">
        <v>19</v>
      </c>
      <c r="C226" s="69">
        <v>1003</v>
      </c>
      <c r="D226" s="86" t="s">
        <v>894</v>
      </c>
      <c r="E226" s="187" t="s">
        <v>2367</v>
      </c>
      <c r="F226" s="32">
        <v>1</v>
      </c>
    </row>
    <row r="227" spans="1:6">
      <c r="A227" s="69">
        <v>220</v>
      </c>
      <c r="B227" s="69">
        <v>20</v>
      </c>
      <c r="C227" s="69">
        <v>1003</v>
      </c>
      <c r="D227" s="87" t="s">
        <v>895</v>
      </c>
      <c r="E227" s="188" t="s">
        <v>2470</v>
      </c>
      <c r="F227" s="92">
        <v>2</v>
      </c>
    </row>
    <row r="228" spans="1:6">
      <c r="A228" s="69">
        <v>221</v>
      </c>
      <c r="B228" s="69">
        <v>21</v>
      </c>
      <c r="C228" s="69">
        <v>1003</v>
      </c>
      <c r="D228" s="86" t="s">
        <v>896</v>
      </c>
      <c r="E228" s="187" t="s">
        <v>2471</v>
      </c>
      <c r="F228" s="32">
        <v>1</v>
      </c>
    </row>
    <row r="229" spans="1:6">
      <c r="A229" s="69">
        <v>222</v>
      </c>
      <c r="B229" s="69">
        <v>22</v>
      </c>
      <c r="C229" s="69">
        <v>1003</v>
      </c>
      <c r="D229" s="86" t="s">
        <v>896</v>
      </c>
      <c r="E229" s="187" t="s">
        <v>2472</v>
      </c>
      <c r="F229" s="32">
        <v>1</v>
      </c>
    </row>
    <row r="230" spans="1:6">
      <c r="A230" s="69">
        <v>223</v>
      </c>
      <c r="B230" s="69">
        <v>23</v>
      </c>
      <c r="C230" s="69">
        <v>1003</v>
      </c>
      <c r="D230" s="86" t="s">
        <v>896</v>
      </c>
      <c r="E230" s="187" t="s">
        <v>2473</v>
      </c>
      <c r="F230" s="32">
        <v>1</v>
      </c>
    </row>
    <row r="231" spans="1:6">
      <c r="A231" s="69">
        <v>224</v>
      </c>
      <c r="B231" s="69">
        <v>24</v>
      </c>
      <c r="C231" s="69">
        <v>1003</v>
      </c>
      <c r="D231" s="86" t="s">
        <v>896</v>
      </c>
      <c r="E231" s="187" t="s">
        <v>2474</v>
      </c>
      <c r="F231" s="32">
        <v>1</v>
      </c>
    </row>
    <row r="232" spans="1:6">
      <c r="A232" s="69">
        <v>225</v>
      </c>
      <c r="B232" s="69">
        <v>25</v>
      </c>
      <c r="C232" s="69">
        <v>1003</v>
      </c>
      <c r="D232" s="86" t="s">
        <v>896</v>
      </c>
      <c r="E232" s="187" t="s">
        <v>2475</v>
      </c>
      <c r="F232" s="32">
        <v>1</v>
      </c>
    </row>
    <row r="233" spans="1:6">
      <c r="A233" s="69">
        <v>226</v>
      </c>
      <c r="B233" s="69">
        <v>26</v>
      </c>
      <c r="C233" s="69">
        <v>1003</v>
      </c>
      <c r="D233" s="86" t="s">
        <v>896</v>
      </c>
      <c r="E233" s="187" t="s">
        <v>2476</v>
      </c>
      <c r="F233" s="32">
        <v>1</v>
      </c>
    </row>
    <row r="234" spans="1:6">
      <c r="A234" s="69">
        <v>227</v>
      </c>
      <c r="B234" s="69">
        <v>27</v>
      </c>
      <c r="C234" s="69">
        <v>1003</v>
      </c>
      <c r="D234" s="86" t="s">
        <v>896</v>
      </c>
      <c r="E234" s="187" t="s">
        <v>2477</v>
      </c>
      <c r="F234" s="32">
        <v>1</v>
      </c>
    </row>
    <row r="235" spans="1:6">
      <c r="A235" s="69">
        <v>228</v>
      </c>
      <c r="B235" s="69">
        <v>28</v>
      </c>
      <c r="C235" s="69">
        <v>1003</v>
      </c>
      <c r="D235" s="86" t="s">
        <v>896</v>
      </c>
      <c r="E235" s="187" t="s">
        <v>2478</v>
      </c>
      <c r="F235" s="32">
        <v>1</v>
      </c>
    </row>
    <row r="236" spans="1:6">
      <c r="A236" s="69">
        <v>229</v>
      </c>
      <c r="B236" s="69">
        <v>29</v>
      </c>
      <c r="C236" s="69">
        <v>1003</v>
      </c>
      <c r="D236" s="86" t="s">
        <v>896</v>
      </c>
      <c r="E236" s="187" t="s">
        <v>2479</v>
      </c>
      <c r="F236" s="32">
        <v>1</v>
      </c>
    </row>
    <row r="237" spans="1:6">
      <c r="A237" s="69">
        <v>230</v>
      </c>
      <c r="B237" s="69">
        <v>30</v>
      </c>
      <c r="C237" s="69">
        <v>1003</v>
      </c>
      <c r="D237" s="86" t="s">
        <v>896</v>
      </c>
      <c r="E237" s="187" t="s">
        <v>2480</v>
      </c>
      <c r="F237" s="32">
        <v>1</v>
      </c>
    </row>
    <row r="238" spans="1:6">
      <c r="A238" s="69">
        <v>231</v>
      </c>
      <c r="B238" s="69">
        <v>31</v>
      </c>
      <c r="C238" s="69">
        <v>1003</v>
      </c>
      <c r="D238" s="86" t="s">
        <v>896</v>
      </c>
      <c r="E238" s="187" t="s">
        <v>2481</v>
      </c>
      <c r="F238" s="32">
        <v>1</v>
      </c>
    </row>
    <row r="239" spans="1:6">
      <c r="A239" s="69">
        <v>232</v>
      </c>
      <c r="B239" s="69">
        <v>32</v>
      </c>
      <c r="C239" s="69">
        <v>1003</v>
      </c>
      <c r="D239" s="86" t="s">
        <v>896</v>
      </c>
      <c r="E239" s="187" t="s">
        <v>2482</v>
      </c>
      <c r="F239" s="32">
        <v>1</v>
      </c>
    </row>
    <row r="240" spans="1:6">
      <c r="A240" s="69">
        <v>233</v>
      </c>
      <c r="B240" s="69">
        <v>33</v>
      </c>
      <c r="C240" s="69">
        <v>1003</v>
      </c>
      <c r="D240" s="86" t="s">
        <v>896</v>
      </c>
      <c r="E240" s="187" t="s">
        <v>2483</v>
      </c>
      <c r="F240" s="32">
        <v>1</v>
      </c>
    </row>
    <row r="241" spans="1:6">
      <c r="A241" s="69">
        <v>234</v>
      </c>
      <c r="B241" s="69">
        <v>34</v>
      </c>
      <c r="C241" s="69">
        <v>1003</v>
      </c>
      <c r="D241" s="86" t="s">
        <v>896</v>
      </c>
      <c r="E241" s="187" t="s">
        <v>2484</v>
      </c>
      <c r="F241" s="32">
        <v>1</v>
      </c>
    </row>
    <row r="242" spans="1:6">
      <c r="A242" s="69">
        <v>235</v>
      </c>
      <c r="B242" s="69">
        <v>35</v>
      </c>
      <c r="C242" s="69">
        <v>1003</v>
      </c>
      <c r="D242" s="86" t="s">
        <v>896</v>
      </c>
      <c r="E242" s="187" t="s">
        <v>2485</v>
      </c>
      <c r="F242" s="32">
        <v>1</v>
      </c>
    </row>
    <row r="243" spans="1:6">
      <c r="A243" s="69">
        <v>236</v>
      </c>
      <c r="B243" s="69">
        <v>36</v>
      </c>
      <c r="C243" s="69">
        <v>1003</v>
      </c>
      <c r="D243" s="86" t="s">
        <v>896</v>
      </c>
      <c r="E243" s="187" t="s">
        <v>2486</v>
      </c>
      <c r="F243" s="32">
        <v>1</v>
      </c>
    </row>
    <row r="244" spans="1:6">
      <c r="A244" s="69">
        <v>237</v>
      </c>
      <c r="B244" s="69">
        <v>37</v>
      </c>
      <c r="C244" s="69">
        <v>1003</v>
      </c>
      <c r="D244" s="86" t="s">
        <v>896</v>
      </c>
      <c r="E244" s="187" t="s">
        <v>2487</v>
      </c>
      <c r="F244" s="32">
        <v>1</v>
      </c>
    </row>
    <row r="245" spans="1:6">
      <c r="A245" s="69">
        <v>238</v>
      </c>
      <c r="B245" s="69">
        <v>38</v>
      </c>
      <c r="C245" s="69">
        <v>1003</v>
      </c>
      <c r="D245" s="86" t="s">
        <v>896</v>
      </c>
      <c r="E245" s="187" t="s">
        <v>2488</v>
      </c>
      <c r="F245" s="32">
        <v>1</v>
      </c>
    </row>
    <row r="246" spans="1:6">
      <c r="A246" s="69">
        <v>239</v>
      </c>
      <c r="B246" s="69">
        <v>39</v>
      </c>
      <c r="C246" s="69">
        <v>1003</v>
      </c>
      <c r="D246" s="86" t="s">
        <v>896</v>
      </c>
      <c r="E246" s="187" t="s">
        <v>2489</v>
      </c>
      <c r="F246" s="32">
        <v>1</v>
      </c>
    </row>
    <row r="247" spans="1:6">
      <c r="A247" s="69">
        <v>240</v>
      </c>
      <c r="B247" s="69">
        <v>40</v>
      </c>
      <c r="C247" s="69">
        <v>1003</v>
      </c>
      <c r="D247" s="87" t="s">
        <v>897</v>
      </c>
      <c r="E247" s="188" t="s">
        <v>2490</v>
      </c>
      <c r="F247" s="92">
        <v>2</v>
      </c>
    </row>
    <row r="248" spans="1:6">
      <c r="A248" s="69">
        <v>241</v>
      </c>
      <c r="B248" s="69">
        <v>41</v>
      </c>
      <c r="C248" s="69">
        <v>1003</v>
      </c>
      <c r="D248" s="86" t="s">
        <v>898</v>
      </c>
      <c r="E248" s="187" t="s">
        <v>2491</v>
      </c>
      <c r="F248" s="32">
        <v>1</v>
      </c>
    </row>
    <row r="249" spans="1:6">
      <c r="A249" s="69">
        <v>242</v>
      </c>
      <c r="B249" s="69">
        <v>42</v>
      </c>
      <c r="C249" s="69">
        <v>1003</v>
      </c>
      <c r="D249" s="86" t="s">
        <v>898</v>
      </c>
      <c r="E249" s="187" t="s">
        <v>2492</v>
      </c>
      <c r="F249" s="32">
        <v>1</v>
      </c>
    </row>
    <row r="250" spans="1:6">
      <c r="A250" s="69">
        <v>243</v>
      </c>
      <c r="B250" s="69">
        <v>43</v>
      </c>
      <c r="C250" s="69">
        <v>1003</v>
      </c>
      <c r="D250" s="86" t="s">
        <v>898</v>
      </c>
      <c r="E250" s="187" t="s">
        <v>2493</v>
      </c>
      <c r="F250" s="32">
        <v>1</v>
      </c>
    </row>
    <row r="251" spans="1:6">
      <c r="A251" s="69">
        <v>244</v>
      </c>
      <c r="B251" s="69">
        <v>44</v>
      </c>
      <c r="C251" s="69">
        <v>1003</v>
      </c>
      <c r="D251" s="86" t="s">
        <v>898</v>
      </c>
      <c r="E251" s="187" t="s">
        <v>2494</v>
      </c>
      <c r="F251" s="32">
        <v>1</v>
      </c>
    </row>
    <row r="252" spans="1:6">
      <c r="A252" s="69">
        <v>245</v>
      </c>
      <c r="B252" s="69">
        <v>45</v>
      </c>
      <c r="C252" s="69">
        <v>1003</v>
      </c>
      <c r="D252" s="86" t="s">
        <v>898</v>
      </c>
      <c r="E252" s="187" t="s">
        <v>2495</v>
      </c>
      <c r="F252" s="32">
        <v>1</v>
      </c>
    </row>
    <row r="253" spans="1:6">
      <c r="A253" s="69">
        <v>246</v>
      </c>
      <c r="B253" s="69">
        <v>46</v>
      </c>
      <c r="C253" s="69">
        <v>1003</v>
      </c>
      <c r="D253" s="86" t="s">
        <v>898</v>
      </c>
      <c r="E253" s="187" t="s">
        <v>2496</v>
      </c>
      <c r="F253" s="32">
        <v>1</v>
      </c>
    </row>
    <row r="254" spans="1:6">
      <c r="A254" s="69">
        <v>247</v>
      </c>
      <c r="B254" s="69">
        <v>47</v>
      </c>
      <c r="C254" s="69">
        <v>1003</v>
      </c>
      <c r="D254" s="86" t="s">
        <v>898</v>
      </c>
      <c r="E254" s="187" t="s">
        <v>2497</v>
      </c>
      <c r="F254" s="32">
        <v>1</v>
      </c>
    </row>
    <row r="255" spans="1:6">
      <c r="A255" s="69">
        <v>248</v>
      </c>
      <c r="B255" s="69">
        <v>48</v>
      </c>
      <c r="C255" s="69">
        <v>1003</v>
      </c>
      <c r="D255" s="86" t="s">
        <v>898</v>
      </c>
      <c r="E255" s="187" t="s">
        <v>2498</v>
      </c>
      <c r="F255" s="32">
        <v>1</v>
      </c>
    </row>
    <row r="256" spans="1:6">
      <c r="A256" s="69">
        <v>249</v>
      </c>
      <c r="B256" s="69">
        <v>49</v>
      </c>
      <c r="C256" s="69">
        <v>1003</v>
      </c>
      <c r="D256" s="86" t="s">
        <v>898</v>
      </c>
      <c r="E256" s="187" t="s">
        <v>2499</v>
      </c>
      <c r="F256" s="32">
        <v>1</v>
      </c>
    </row>
    <row r="257" spans="1:6">
      <c r="A257" s="69">
        <v>250</v>
      </c>
      <c r="B257" s="69">
        <v>50</v>
      </c>
      <c r="C257" s="69">
        <v>1003</v>
      </c>
      <c r="D257" s="86" t="s">
        <v>898</v>
      </c>
      <c r="E257" s="187" t="s">
        <v>2500</v>
      </c>
      <c r="F257" s="32">
        <v>1</v>
      </c>
    </row>
    <row r="258" spans="1:6">
      <c r="A258" s="69">
        <v>251</v>
      </c>
      <c r="B258" s="69">
        <v>51</v>
      </c>
      <c r="C258" s="69">
        <v>1003</v>
      </c>
      <c r="D258" s="86" t="s">
        <v>898</v>
      </c>
      <c r="E258" s="187" t="s">
        <v>2501</v>
      </c>
      <c r="F258" s="32">
        <v>1</v>
      </c>
    </row>
    <row r="259" spans="1:6">
      <c r="A259" s="69">
        <v>252</v>
      </c>
      <c r="B259" s="69">
        <v>52</v>
      </c>
      <c r="C259" s="69">
        <v>1003</v>
      </c>
      <c r="D259" s="86" t="s">
        <v>898</v>
      </c>
      <c r="E259" s="187" t="s">
        <v>2502</v>
      </c>
      <c r="F259" s="32">
        <v>1</v>
      </c>
    </row>
    <row r="260" spans="1:6">
      <c r="A260" s="69">
        <v>253</v>
      </c>
      <c r="B260" s="69">
        <v>53</v>
      </c>
      <c r="C260" s="69">
        <v>1003</v>
      </c>
      <c r="D260" s="86" t="s">
        <v>898</v>
      </c>
      <c r="E260" s="187" t="s">
        <v>2503</v>
      </c>
      <c r="F260" s="32">
        <v>1</v>
      </c>
    </row>
    <row r="261" spans="1:6">
      <c r="A261" s="69">
        <v>254</v>
      </c>
      <c r="B261" s="69">
        <v>54</v>
      </c>
      <c r="C261" s="69">
        <v>1003</v>
      </c>
      <c r="D261" s="86" t="s">
        <v>898</v>
      </c>
      <c r="E261" s="187" t="s">
        <v>2504</v>
      </c>
      <c r="F261" s="32">
        <v>1</v>
      </c>
    </row>
    <row r="262" spans="1:6">
      <c r="A262" s="69">
        <v>255</v>
      </c>
      <c r="B262" s="69">
        <v>55</v>
      </c>
      <c r="C262" s="69">
        <v>1003</v>
      </c>
      <c r="D262" s="86" t="s">
        <v>898</v>
      </c>
      <c r="E262" s="187" t="s">
        <v>2505</v>
      </c>
      <c r="F262" s="32">
        <v>1</v>
      </c>
    </row>
    <row r="263" spans="1:6">
      <c r="A263" s="69">
        <v>256</v>
      </c>
      <c r="B263" s="69">
        <v>56</v>
      </c>
      <c r="C263" s="69">
        <v>1003</v>
      </c>
      <c r="D263" s="86" t="s">
        <v>898</v>
      </c>
      <c r="E263" s="187" t="s">
        <v>2506</v>
      </c>
      <c r="F263" s="32">
        <v>1</v>
      </c>
    </row>
    <row r="264" spans="1:6">
      <c r="A264" s="69">
        <v>257</v>
      </c>
      <c r="B264" s="69">
        <v>57</v>
      </c>
      <c r="C264" s="69">
        <v>1003</v>
      </c>
      <c r="D264" s="86" t="s">
        <v>898</v>
      </c>
      <c r="E264" s="187" t="s">
        <v>2507</v>
      </c>
      <c r="F264" s="32">
        <v>1</v>
      </c>
    </row>
    <row r="265" spans="1:6">
      <c r="A265" s="69">
        <v>258</v>
      </c>
      <c r="B265" s="69">
        <v>58</v>
      </c>
      <c r="C265" s="69">
        <v>1003</v>
      </c>
      <c r="D265" s="86" t="s">
        <v>898</v>
      </c>
      <c r="E265" s="187" t="s">
        <v>2508</v>
      </c>
      <c r="F265" s="32">
        <v>1</v>
      </c>
    </row>
    <row r="266" spans="1:6">
      <c r="A266" s="69">
        <v>259</v>
      </c>
      <c r="B266" s="69">
        <v>59</v>
      </c>
      <c r="C266" s="69">
        <v>1003</v>
      </c>
      <c r="D266" s="86" t="s">
        <v>898</v>
      </c>
      <c r="E266" s="187" t="s">
        <v>2509</v>
      </c>
      <c r="F266" s="32">
        <v>1</v>
      </c>
    </row>
    <row r="267" spans="1:6">
      <c r="A267" s="69">
        <v>260</v>
      </c>
      <c r="B267" s="69">
        <v>60</v>
      </c>
      <c r="C267" s="69">
        <v>1003</v>
      </c>
      <c r="D267" s="87" t="s">
        <v>899</v>
      </c>
      <c r="E267" s="188" t="s">
        <v>2510</v>
      </c>
      <c r="F267" s="92">
        <v>2</v>
      </c>
    </row>
    <row r="268" spans="1:6">
      <c r="A268" s="69">
        <v>261</v>
      </c>
      <c r="B268" s="69">
        <v>61</v>
      </c>
      <c r="C268" s="69">
        <v>1003</v>
      </c>
      <c r="D268" s="86" t="s">
        <v>900</v>
      </c>
      <c r="E268" s="187" t="s">
        <v>2511</v>
      </c>
      <c r="F268" s="32">
        <v>1</v>
      </c>
    </row>
    <row r="269" spans="1:6">
      <c r="A269" s="69">
        <v>262</v>
      </c>
      <c r="B269" s="69">
        <v>62</v>
      </c>
      <c r="C269" s="69">
        <v>1003</v>
      </c>
      <c r="D269" s="86" t="s">
        <v>900</v>
      </c>
      <c r="E269" s="187" t="s">
        <v>2512</v>
      </c>
      <c r="F269" s="32">
        <v>1</v>
      </c>
    </row>
    <row r="270" spans="1:6">
      <c r="A270" s="69">
        <v>263</v>
      </c>
      <c r="B270" s="69">
        <v>63</v>
      </c>
      <c r="C270" s="69">
        <v>1003</v>
      </c>
      <c r="D270" s="86" t="s">
        <v>900</v>
      </c>
      <c r="E270" s="187" t="s">
        <v>2513</v>
      </c>
      <c r="F270" s="32">
        <v>1</v>
      </c>
    </row>
    <row r="271" spans="1:6">
      <c r="A271" s="69">
        <v>264</v>
      </c>
      <c r="B271" s="69">
        <v>64</v>
      </c>
      <c r="C271" s="69">
        <v>1003</v>
      </c>
      <c r="D271" s="86" t="s">
        <v>900</v>
      </c>
      <c r="E271" s="187" t="s">
        <v>2514</v>
      </c>
      <c r="F271" s="32">
        <v>1</v>
      </c>
    </row>
    <row r="272" spans="1:6">
      <c r="A272" s="69">
        <v>265</v>
      </c>
      <c r="B272" s="69">
        <v>65</v>
      </c>
      <c r="C272" s="69">
        <v>1003</v>
      </c>
      <c r="D272" s="86" t="s">
        <v>900</v>
      </c>
      <c r="E272" s="187" t="s">
        <v>2515</v>
      </c>
      <c r="F272" s="32">
        <v>1</v>
      </c>
    </row>
    <row r="273" spans="1:6">
      <c r="A273" s="69">
        <v>266</v>
      </c>
      <c r="B273" s="69">
        <v>66</v>
      </c>
      <c r="C273" s="69">
        <v>1003</v>
      </c>
      <c r="D273" s="86" t="s">
        <v>900</v>
      </c>
      <c r="E273" s="187" t="s">
        <v>2516</v>
      </c>
      <c r="F273" s="32">
        <v>1</v>
      </c>
    </row>
    <row r="274" spans="1:6">
      <c r="A274" s="69">
        <v>267</v>
      </c>
      <c r="B274" s="69">
        <v>67</v>
      </c>
      <c r="C274" s="69">
        <v>1003</v>
      </c>
      <c r="D274" s="86" t="s">
        <v>900</v>
      </c>
      <c r="E274" s="187" t="s">
        <v>2517</v>
      </c>
      <c r="F274" s="32">
        <v>1</v>
      </c>
    </row>
    <row r="275" spans="1:6">
      <c r="A275" s="69">
        <v>268</v>
      </c>
      <c r="B275" s="69">
        <v>68</v>
      </c>
      <c r="C275" s="69">
        <v>1003</v>
      </c>
      <c r="D275" s="86" t="s">
        <v>900</v>
      </c>
      <c r="E275" s="187" t="s">
        <v>2518</v>
      </c>
      <c r="F275" s="32">
        <v>1</v>
      </c>
    </row>
    <row r="276" spans="1:6">
      <c r="A276" s="69">
        <v>269</v>
      </c>
      <c r="B276" s="69">
        <v>69</v>
      </c>
      <c r="C276" s="69">
        <v>1003</v>
      </c>
      <c r="D276" s="86" t="s">
        <v>900</v>
      </c>
      <c r="E276" s="187" t="s">
        <v>2519</v>
      </c>
      <c r="F276" s="32">
        <v>1</v>
      </c>
    </row>
    <row r="277" spans="1:6">
      <c r="A277" s="69">
        <v>270</v>
      </c>
      <c r="B277" s="69">
        <v>70</v>
      </c>
      <c r="C277" s="69">
        <v>1003</v>
      </c>
      <c r="D277" s="86" t="s">
        <v>900</v>
      </c>
      <c r="E277" s="187" t="s">
        <v>2520</v>
      </c>
      <c r="F277" s="32">
        <v>1</v>
      </c>
    </row>
    <row r="278" spans="1:6">
      <c r="A278" s="69">
        <v>271</v>
      </c>
      <c r="B278" s="69">
        <v>71</v>
      </c>
      <c r="C278" s="69">
        <v>1003</v>
      </c>
      <c r="D278" s="86" t="s">
        <v>900</v>
      </c>
      <c r="E278" s="187" t="s">
        <v>2521</v>
      </c>
      <c r="F278" s="32">
        <v>1</v>
      </c>
    </row>
    <row r="279" spans="1:6">
      <c r="A279" s="69">
        <v>272</v>
      </c>
      <c r="B279" s="69">
        <v>72</v>
      </c>
      <c r="C279" s="69">
        <v>1003</v>
      </c>
      <c r="D279" s="86" t="s">
        <v>900</v>
      </c>
      <c r="E279" s="187" t="s">
        <v>2522</v>
      </c>
      <c r="F279" s="32">
        <v>1</v>
      </c>
    </row>
    <row r="280" spans="1:6">
      <c r="A280" s="69">
        <v>273</v>
      </c>
      <c r="B280" s="69">
        <v>73</v>
      </c>
      <c r="C280" s="69">
        <v>1003</v>
      </c>
      <c r="D280" s="86" t="s">
        <v>900</v>
      </c>
      <c r="E280" s="187" t="s">
        <v>2523</v>
      </c>
      <c r="F280" s="32">
        <v>1</v>
      </c>
    </row>
    <row r="281" spans="1:6">
      <c r="A281" s="69">
        <v>274</v>
      </c>
      <c r="B281" s="69">
        <v>74</v>
      </c>
      <c r="C281" s="69">
        <v>1003</v>
      </c>
      <c r="D281" s="86" t="s">
        <v>900</v>
      </c>
      <c r="E281" s="187" t="s">
        <v>2524</v>
      </c>
      <c r="F281" s="32">
        <v>1</v>
      </c>
    </row>
    <row r="282" spans="1:6">
      <c r="A282" s="69">
        <v>275</v>
      </c>
      <c r="B282" s="69">
        <v>75</v>
      </c>
      <c r="C282" s="69">
        <v>1003</v>
      </c>
      <c r="D282" s="86" t="s">
        <v>900</v>
      </c>
      <c r="E282" s="187" t="s">
        <v>2525</v>
      </c>
      <c r="F282" s="32">
        <v>1</v>
      </c>
    </row>
    <row r="283" spans="1:6">
      <c r="A283" s="69">
        <v>276</v>
      </c>
      <c r="B283" s="69">
        <v>76</v>
      </c>
      <c r="C283" s="69">
        <v>1003</v>
      </c>
      <c r="D283" s="86" t="s">
        <v>900</v>
      </c>
      <c r="E283" s="187" t="s">
        <v>2526</v>
      </c>
      <c r="F283" s="32">
        <v>1</v>
      </c>
    </row>
    <row r="284" spans="1:6">
      <c r="A284" s="69">
        <v>277</v>
      </c>
      <c r="B284" s="69">
        <v>77</v>
      </c>
      <c r="C284" s="69">
        <v>1003</v>
      </c>
      <c r="D284" s="86" t="s">
        <v>900</v>
      </c>
      <c r="E284" s="187" t="s">
        <v>2527</v>
      </c>
      <c r="F284" s="32">
        <v>1</v>
      </c>
    </row>
    <row r="285" spans="1:6">
      <c r="A285" s="69">
        <v>278</v>
      </c>
      <c r="B285" s="69">
        <v>78</v>
      </c>
      <c r="C285" s="69">
        <v>1003</v>
      </c>
      <c r="D285" s="86" t="s">
        <v>900</v>
      </c>
      <c r="E285" s="187" t="s">
        <v>2528</v>
      </c>
      <c r="F285" s="32">
        <v>1</v>
      </c>
    </row>
    <row r="286" spans="1:6">
      <c r="A286" s="69">
        <v>279</v>
      </c>
      <c r="B286" s="69">
        <v>79</v>
      </c>
      <c r="C286" s="69">
        <v>1003</v>
      </c>
      <c r="D286" s="86" t="s">
        <v>900</v>
      </c>
      <c r="E286" s="187" t="s">
        <v>2529</v>
      </c>
      <c r="F286" s="32">
        <v>1</v>
      </c>
    </row>
    <row r="287" spans="1:6">
      <c r="A287" s="69">
        <v>280</v>
      </c>
      <c r="B287" s="69">
        <v>80</v>
      </c>
      <c r="C287" s="69">
        <v>1003</v>
      </c>
      <c r="D287" s="87" t="s">
        <v>901</v>
      </c>
      <c r="E287" s="188" t="s">
        <v>2530</v>
      </c>
      <c r="F287" s="92">
        <v>2</v>
      </c>
    </row>
    <row r="288" spans="1:6">
      <c r="A288" s="69">
        <v>281</v>
      </c>
      <c r="B288" s="69">
        <v>81</v>
      </c>
      <c r="C288" s="69">
        <v>1003</v>
      </c>
      <c r="D288" s="86" t="s">
        <v>902</v>
      </c>
      <c r="E288" s="187" t="s">
        <v>2531</v>
      </c>
      <c r="F288" s="32">
        <v>1</v>
      </c>
    </row>
    <row r="289" spans="1:6">
      <c r="A289" s="69">
        <v>282</v>
      </c>
      <c r="B289" s="69">
        <v>82</v>
      </c>
      <c r="C289" s="69">
        <v>1003</v>
      </c>
      <c r="D289" s="86" t="s">
        <v>902</v>
      </c>
      <c r="E289" s="187" t="s">
        <v>2532</v>
      </c>
      <c r="F289" s="32">
        <v>1</v>
      </c>
    </row>
    <row r="290" spans="1:6">
      <c r="A290" s="69">
        <v>283</v>
      </c>
      <c r="B290" s="69">
        <v>83</v>
      </c>
      <c r="C290" s="69">
        <v>1003</v>
      </c>
      <c r="D290" s="86" t="s">
        <v>902</v>
      </c>
      <c r="E290" s="187" t="s">
        <v>2533</v>
      </c>
      <c r="F290" s="32">
        <v>1</v>
      </c>
    </row>
    <row r="291" spans="1:6">
      <c r="A291" s="69">
        <v>284</v>
      </c>
      <c r="B291" s="69">
        <v>84</v>
      </c>
      <c r="C291" s="69">
        <v>1003</v>
      </c>
      <c r="D291" s="86" t="s">
        <v>902</v>
      </c>
      <c r="E291" s="187" t="s">
        <v>2534</v>
      </c>
      <c r="F291" s="32">
        <v>1</v>
      </c>
    </row>
    <row r="292" spans="1:6">
      <c r="A292" s="69">
        <v>285</v>
      </c>
      <c r="B292" s="69">
        <v>85</v>
      </c>
      <c r="C292" s="69">
        <v>1003</v>
      </c>
      <c r="D292" s="86" t="s">
        <v>902</v>
      </c>
      <c r="E292" s="187" t="s">
        <v>2535</v>
      </c>
      <c r="F292" s="32">
        <v>1</v>
      </c>
    </row>
    <row r="293" spans="1:6">
      <c r="A293" s="69">
        <v>286</v>
      </c>
      <c r="B293" s="69">
        <v>86</v>
      </c>
      <c r="C293" s="69">
        <v>1003</v>
      </c>
      <c r="D293" s="86" t="s">
        <v>902</v>
      </c>
      <c r="E293" s="187" t="s">
        <v>2536</v>
      </c>
      <c r="F293" s="32">
        <v>1</v>
      </c>
    </row>
    <row r="294" spans="1:6">
      <c r="A294" s="69">
        <v>287</v>
      </c>
      <c r="B294" s="69">
        <v>87</v>
      </c>
      <c r="C294" s="69">
        <v>1003</v>
      </c>
      <c r="D294" s="86" t="s">
        <v>902</v>
      </c>
      <c r="E294" s="187" t="s">
        <v>2537</v>
      </c>
      <c r="F294" s="32">
        <v>1</v>
      </c>
    </row>
    <row r="295" spans="1:6">
      <c r="A295" s="69">
        <v>288</v>
      </c>
      <c r="B295" s="69">
        <v>88</v>
      </c>
      <c r="C295" s="69">
        <v>1003</v>
      </c>
      <c r="D295" s="86" t="s">
        <v>902</v>
      </c>
      <c r="E295" s="187" t="s">
        <v>2538</v>
      </c>
      <c r="F295" s="32">
        <v>1</v>
      </c>
    </row>
    <row r="296" spans="1:6">
      <c r="A296" s="69">
        <v>289</v>
      </c>
      <c r="B296" s="69">
        <v>89</v>
      </c>
      <c r="C296" s="69">
        <v>1003</v>
      </c>
      <c r="D296" s="86" t="s">
        <v>902</v>
      </c>
      <c r="E296" s="187" t="s">
        <v>2539</v>
      </c>
      <c r="F296" s="32">
        <v>1</v>
      </c>
    </row>
    <row r="297" spans="1:6">
      <c r="A297" s="69">
        <v>290</v>
      </c>
      <c r="B297" s="69">
        <v>90</v>
      </c>
      <c r="C297" s="69">
        <v>1003</v>
      </c>
      <c r="D297" s="86" t="s">
        <v>902</v>
      </c>
      <c r="E297" s="187" t="s">
        <v>2540</v>
      </c>
      <c r="F297" s="32">
        <v>1</v>
      </c>
    </row>
    <row r="298" spans="1:6">
      <c r="A298" s="69">
        <v>291</v>
      </c>
      <c r="B298" s="69">
        <v>91</v>
      </c>
      <c r="C298" s="69">
        <v>1003</v>
      </c>
      <c r="D298" s="86" t="s">
        <v>902</v>
      </c>
      <c r="E298" s="187" t="s">
        <v>2541</v>
      </c>
      <c r="F298" s="32">
        <v>1</v>
      </c>
    </row>
    <row r="299" spans="1:6">
      <c r="A299" s="69">
        <v>292</v>
      </c>
      <c r="B299" s="69">
        <v>92</v>
      </c>
      <c r="C299" s="69">
        <v>1003</v>
      </c>
      <c r="D299" s="86" t="s">
        <v>902</v>
      </c>
      <c r="E299" s="187" t="s">
        <v>2542</v>
      </c>
      <c r="F299" s="32">
        <v>1</v>
      </c>
    </row>
    <row r="300" spans="1:6">
      <c r="A300" s="69">
        <v>293</v>
      </c>
      <c r="B300" s="69">
        <v>93</v>
      </c>
      <c r="C300" s="69">
        <v>1003</v>
      </c>
      <c r="D300" s="86" t="s">
        <v>902</v>
      </c>
      <c r="E300" s="187" t="s">
        <v>2543</v>
      </c>
      <c r="F300" s="32">
        <v>1</v>
      </c>
    </row>
    <row r="301" spans="1:6">
      <c r="A301" s="69">
        <v>294</v>
      </c>
      <c r="B301" s="69">
        <v>94</v>
      </c>
      <c r="C301" s="69">
        <v>1003</v>
      </c>
      <c r="D301" s="86" t="s">
        <v>902</v>
      </c>
      <c r="E301" s="187" t="s">
        <v>2544</v>
      </c>
      <c r="F301" s="32">
        <v>1</v>
      </c>
    </row>
    <row r="302" spans="1:6">
      <c r="A302" s="69">
        <v>295</v>
      </c>
      <c r="B302" s="69">
        <v>95</v>
      </c>
      <c r="C302" s="69">
        <v>1003</v>
      </c>
      <c r="D302" s="86" t="s">
        <v>902</v>
      </c>
      <c r="E302" s="187" t="s">
        <v>2545</v>
      </c>
      <c r="F302" s="32">
        <v>1</v>
      </c>
    </row>
    <row r="303" spans="1:6">
      <c r="A303" s="69">
        <v>296</v>
      </c>
      <c r="B303" s="69">
        <v>96</v>
      </c>
      <c r="C303" s="69">
        <v>1003</v>
      </c>
      <c r="D303" s="86" t="s">
        <v>902</v>
      </c>
      <c r="E303" s="187" t="s">
        <v>2546</v>
      </c>
      <c r="F303" s="32">
        <v>1</v>
      </c>
    </row>
    <row r="304" spans="1:6">
      <c r="A304" s="69">
        <v>297</v>
      </c>
      <c r="B304" s="69">
        <v>97</v>
      </c>
      <c r="C304" s="69">
        <v>1003</v>
      </c>
      <c r="D304" s="86" t="s">
        <v>902</v>
      </c>
      <c r="E304" s="187" t="s">
        <v>2547</v>
      </c>
      <c r="F304" s="32">
        <v>1</v>
      </c>
    </row>
    <row r="305" spans="1:6">
      <c r="A305" s="69">
        <v>298</v>
      </c>
      <c r="B305" s="69">
        <v>98</v>
      </c>
      <c r="C305" s="69">
        <v>1003</v>
      </c>
      <c r="D305" s="86" t="s">
        <v>902</v>
      </c>
      <c r="E305" s="187" t="s">
        <v>2548</v>
      </c>
      <c r="F305" s="32">
        <v>1</v>
      </c>
    </row>
    <row r="306" spans="1:6">
      <c r="A306" s="69">
        <v>299</v>
      </c>
      <c r="B306" s="69">
        <v>99</v>
      </c>
      <c r="C306" s="69">
        <v>1003</v>
      </c>
      <c r="D306" s="86" t="s">
        <v>902</v>
      </c>
      <c r="E306" s="187" t="s">
        <v>2549</v>
      </c>
      <c r="F306" s="32">
        <v>1</v>
      </c>
    </row>
    <row r="307" spans="1:6">
      <c r="A307" s="69">
        <v>300</v>
      </c>
      <c r="B307" s="69">
        <v>100</v>
      </c>
      <c r="C307" s="69">
        <v>1003</v>
      </c>
      <c r="D307" s="193" t="s">
        <v>902</v>
      </c>
      <c r="E307" s="187" t="s">
        <v>2550</v>
      </c>
      <c r="F307" s="192">
        <v>0</v>
      </c>
    </row>
    <row r="308" spans="1:6">
      <c r="A308" s="69">
        <v>301</v>
      </c>
      <c r="B308" s="69">
        <v>1</v>
      </c>
      <c r="C308" s="69">
        <f>C208+1</f>
        <v>1004</v>
      </c>
      <c r="D308" s="86" t="s">
        <v>887</v>
      </c>
      <c r="E308" s="189" t="s">
        <v>2368</v>
      </c>
      <c r="F308" s="32">
        <v>1</v>
      </c>
    </row>
    <row r="309" spans="1:6">
      <c r="A309" s="69">
        <v>302</v>
      </c>
      <c r="B309" s="69">
        <v>2</v>
      </c>
      <c r="C309" s="69">
        <f t="shared" ref="C309:C340" si="0">C209+1</f>
        <v>1004</v>
      </c>
      <c r="D309" s="86" t="s">
        <v>888</v>
      </c>
      <c r="E309" s="189" t="s">
        <v>2369</v>
      </c>
      <c r="F309" s="32">
        <v>1</v>
      </c>
    </row>
    <row r="310" spans="1:6">
      <c r="A310" s="69">
        <v>303</v>
      </c>
      <c r="B310" s="69">
        <v>3</v>
      </c>
      <c r="C310" s="69">
        <f t="shared" si="0"/>
        <v>1004</v>
      </c>
      <c r="D310" s="86" t="s">
        <v>889</v>
      </c>
      <c r="E310" s="189" t="s">
        <v>2370</v>
      </c>
      <c r="F310" s="32">
        <v>1</v>
      </c>
    </row>
    <row r="311" spans="1:6">
      <c r="A311" s="69">
        <v>304</v>
      </c>
      <c r="B311" s="69">
        <v>4</v>
      </c>
      <c r="C311" s="69">
        <f t="shared" si="0"/>
        <v>1004</v>
      </c>
      <c r="D311" s="86" t="s">
        <v>890</v>
      </c>
      <c r="E311" s="189" t="s">
        <v>2371</v>
      </c>
      <c r="F311" s="32">
        <v>1</v>
      </c>
    </row>
    <row r="312" spans="1:6">
      <c r="A312" s="69">
        <v>305</v>
      </c>
      <c r="B312" s="69">
        <v>5</v>
      </c>
      <c r="C312" s="69">
        <f t="shared" si="0"/>
        <v>1004</v>
      </c>
      <c r="D312" s="86" t="s">
        <v>891</v>
      </c>
      <c r="E312" s="189" t="s">
        <v>2372</v>
      </c>
      <c r="F312" s="32">
        <v>1</v>
      </c>
    </row>
    <row r="313" spans="1:6">
      <c r="A313" s="69">
        <v>306</v>
      </c>
      <c r="B313" s="69">
        <v>6</v>
      </c>
      <c r="C313" s="69">
        <f t="shared" si="0"/>
        <v>1004</v>
      </c>
      <c r="D313" s="86" t="s">
        <v>892</v>
      </c>
      <c r="E313" s="189" t="s">
        <v>2373</v>
      </c>
      <c r="F313" s="32">
        <v>1</v>
      </c>
    </row>
    <row r="314" spans="1:6">
      <c r="A314" s="69">
        <v>307</v>
      </c>
      <c r="B314" s="69">
        <v>7</v>
      </c>
      <c r="C314" s="69">
        <f t="shared" si="0"/>
        <v>1004</v>
      </c>
      <c r="D314" s="86" t="s">
        <v>893</v>
      </c>
      <c r="E314" s="189" t="s">
        <v>2374</v>
      </c>
      <c r="F314" s="32">
        <v>1</v>
      </c>
    </row>
    <row r="315" spans="1:6">
      <c r="A315" s="69">
        <v>308</v>
      </c>
      <c r="B315" s="69">
        <v>8</v>
      </c>
      <c r="C315" s="69">
        <f t="shared" si="0"/>
        <v>1004</v>
      </c>
      <c r="D315" s="86" t="s">
        <v>894</v>
      </c>
      <c r="E315" s="189" t="s">
        <v>2375</v>
      </c>
      <c r="F315" s="32">
        <v>1</v>
      </c>
    </row>
    <row r="316" spans="1:6">
      <c r="A316" s="69">
        <v>309</v>
      </c>
      <c r="B316" s="69">
        <v>9</v>
      </c>
      <c r="C316" s="69">
        <f t="shared" si="0"/>
        <v>1004</v>
      </c>
      <c r="D316" s="86" t="s">
        <v>894</v>
      </c>
      <c r="E316" s="189" t="s">
        <v>2376</v>
      </c>
      <c r="F316" s="32">
        <v>1</v>
      </c>
    </row>
    <row r="317" spans="1:6">
      <c r="A317" s="69">
        <v>310</v>
      </c>
      <c r="B317" s="69">
        <v>10</v>
      </c>
      <c r="C317" s="69">
        <f t="shared" si="0"/>
        <v>1004</v>
      </c>
      <c r="D317" s="86" t="s">
        <v>894</v>
      </c>
      <c r="E317" s="189" t="s">
        <v>2377</v>
      </c>
      <c r="F317" s="32">
        <v>1</v>
      </c>
    </row>
    <row r="318" spans="1:6">
      <c r="A318" s="69">
        <v>311</v>
      </c>
      <c r="B318" s="69">
        <v>11</v>
      </c>
      <c r="C318" s="69">
        <f t="shared" si="0"/>
        <v>1004</v>
      </c>
      <c r="D318" s="86" t="s">
        <v>894</v>
      </c>
      <c r="E318" s="189" t="s">
        <v>2378</v>
      </c>
      <c r="F318" s="32">
        <v>1</v>
      </c>
    </row>
    <row r="319" spans="1:6">
      <c r="A319" s="69">
        <v>312</v>
      </c>
      <c r="B319" s="69">
        <v>12</v>
      </c>
      <c r="C319" s="69">
        <f t="shared" si="0"/>
        <v>1004</v>
      </c>
      <c r="D319" s="86" t="s">
        <v>894</v>
      </c>
      <c r="E319" s="189" t="s">
        <v>2379</v>
      </c>
      <c r="F319" s="32">
        <v>1</v>
      </c>
    </row>
    <row r="320" spans="1:6">
      <c r="A320" s="69">
        <v>313</v>
      </c>
      <c r="B320" s="69">
        <v>13</v>
      </c>
      <c r="C320" s="69">
        <f t="shared" si="0"/>
        <v>1004</v>
      </c>
      <c r="D320" s="86" t="s">
        <v>894</v>
      </c>
      <c r="E320" s="189" t="s">
        <v>2380</v>
      </c>
      <c r="F320" s="32">
        <v>1</v>
      </c>
    </row>
    <row r="321" spans="1:6">
      <c r="A321" s="69">
        <v>314</v>
      </c>
      <c r="B321" s="69">
        <v>14</v>
      </c>
      <c r="C321" s="69">
        <f t="shared" si="0"/>
        <v>1004</v>
      </c>
      <c r="D321" s="86" t="s">
        <v>894</v>
      </c>
      <c r="E321" s="189" t="s">
        <v>2381</v>
      </c>
      <c r="F321" s="32">
        <v>1</v>
      </c>
    </row>
    <row r="322" spans="1:6">
      <c r="A322" s="69">
        <v>315</v>
      </c>
      <c r="B322" s="69">
        <v>15</v>
      </c>
      <c r="C322" s="69">
        <f t="shared" si="0"/>
        <v>1004</v>
      </c>
      <c r="D322" s="86" t="s">
        <v>894</v>
      </c>
      <c r="E322" s="189" t="s">
        <v>2382</v>
      </c>
      <c r="F322" s="32">
        <v>1</v>
      </c>
    </row>
    <row r="323" spans="1:6">
      <c r="A323" s="69">
        <v>316</v>
      </c>
      <c r="B323" s="69">
        <v>16</v>
      </c>
      <c r="C323" s="69">
        <f t="shared" si="0"/>
        <v>1004</v>
      </c>
      <c r="D323" s="86" t="s">
        <v>894</v>
      </c>
      <c r="E323" s="189" t="s">
        <v>2383</v>
      </c>
      <c r="F323" s="32">
        <v>1</v>
      </c>
    </row>
    <row r="324" spans="1:6">
      <c r="A324" s="69">
        <v>317</v>
      </c>
      <c r="B324" s="69">
        <v>17</v>
      </c>
      <c r="C324" s="69">
        <f t="shared" si="0"/>
        <v>1004</v>
      </c>
      <c r="D324" s="86" t="s">
        <v>894</v>
      </c>
      <c r="E324" s="189" t="s">
        <v>2384</v>
      </c>
      <c r="F324" s="32">
        <v>1</v>
      </c>
    </row>
    <row r="325" spans="1:6">
      <c r="A325" s="69">
        <v>318</v>
      </c>
      <c r="B325" s="69">
        <v>18</v>
      </c>
      <c r="C325" s="69">
        <f t="shared" si="0"/>
        <v>1004</v>
      </c>
      <c r="D325" s="86" t="s">
        <v>894</v>
      </c>
      <c r="E325" s="189" t="s">
        <v>2385</v>
      </c>
      <c r="F325" s="32">
        <v>1</v>
      </c>
    </row>
    <row r="326" spans="1:6">
      <c r="A326" s="69">
        <v>319</v>
      </c>
      <c r="B326" s="69">
        <v>19</v>
      </c>
      <c r="C326" s="69">
        <f t="shared" si="0"/>
        <v>1004</v>
      </c>
      <c r="D326" s="86" t="s">
        <v>894</v>
      </c>
      <c r="E326" s="189" t="s">
        <v>2386</v>
      </c>
      <c r="F326" s="32">
        <v>1</v>
      </c>
    </row>
    <row r="327" spans="1:6">
      <c r="A327" s="69">
        <v>320</v>
      </c>
      <c r="B327" s="69">
        <v>20</v>
      </c>
      <c r="C327" s="69">
        <f t="shared" si="0"/>
        <v>1004</v>
      </c>
      <c r="D327" s="87" t="s">
        <v>895</v>
      </c>
      <c r="E327" s="190" t="s">
        <v>2387</v>
      </c>
      <c r="F327" s="92">
        <v>2</v>
      </c>
    </row>
    <row r="328" spans="1:6">
      <c r="A328" s="69">
        <v>321</v>
      </c>
      <c r="B328" s="69">
        <v>21</v>
      </c>
      <c r="C328" s="69">
        <f t="shared" si="0"/>
        <v>1004</v>
      </c>
      <c r="D328" s="86" t="s">
        <v>896</v>
      </c>
      <c r="E328" s="189" t="s">
        <v>2388</v>
      </c>
      <c r="F328" s="32">
        <v>1</v>
      </c>
    </row>
    <row r="329" spans="1:6">
      <c r="A329" s="69">
        <v>322</v>
      </c>
      <c r="B329" s="69">
        <v>22</v>
      </c>
      <c r="C329" s="69">
        <f t="shared" si="0"/>
        <v>1004</v>
      </c>
      <c r="D329" s="86" t="s">
        <v>896</v>
      </c>
      <c r="E329" s="189" t="s">
        <v>2389</v>
      </c>
      <c r="F329" s="32">
        <v>1</v>
      </c>
    </row>
    <row r="330" spans="1:6">
      <c r="A330" s="69">
        <v>323</v>
      </c>
      <c r="B330" s="69">
        <v>23</v>
      </c>
      <c r="C330" s="69">
        <f t="shared" si="0"/>
        <v>1004</v>
      </c>
      <c r="D330" s="86" t="s">
        <v>896</v>
      </c>
      <c r="E330" s="189" t="s">
        <v>2390</v>
      </c>
      <c r="F330" s="32">
        <v>1</v>
      </c>
    </row>
    <row r="331" spans="1:6">
      <c r="A331" s="69">
        <v>324</v>
      </c>
      <c r="B331" s="69">
        <v>24</v>
      </c>
      <c r="C331" s="69">
        <f t="shared" si="0"/>
        <v>1004</v>
      </c>
      <c r="D331" s="86" t="s">
        <v>896</v>
      </c>
      <c r="E331" s="189" t="s">
        <v>2391</v>
      </c>
      <c r="F331" s="32">
        <v>1</v>
      </c>
    </row>
    <row r="332" spans="1:6">
      <c r="A332" s="69">
        <v>325</v>
      </c>
      <c r="B332" s="69">
        <v>25</v>
      </c>
      <c r="C332" s="69">
        <f t="shared" si="0"/>
        <v>1004</v>
      </c>
      <c r="D332" s="86" t="s">
        <v>896</v>
      </c>
      <c r="E332" s="189" t="s">
        <v>2392</v>
      </c>
      <c r="F332" s="32">
        <v>1</v>
      </c>
    </row>
    <row r="333" spans="1:6">
      <c r="A333" s="69">
        <v>326</v>
      </c>
      <c r="B333" s="69">
        <v>26</v>
      </c>
      <c r="C333" s="69">
        <f t="shared" si="0"/>
        <v>1004</v>
      </c>
      <c r="D333" s="86" t="s">
        <v>896</v>
      </c>
      <c r="E333" s="189" t="s">
        <v>2393</v>
      </c>
      <c r="F333" s="32">
        <v>1</v>
      </c>
    </row>
    <row r="334" spans="1:6">
      <c r="A334" s="69">
        <v>327</v>
      </c>
      <c r="B334" s="69">
        <v>27</v>
      </c>
      <c r="C334" s="69">
        <f t="shared" si="0"/>
        <v>1004</v>
      </c>
      <c r="D334" s="86" t="s">
        <v>896</v>
      </c>
      <c r="E334" s="189" t="s">
        <v>2394</v>
      </c>
      <c r="F334" s="32">
        <v>1</v>
      </c>
    </row>
    <row r="335" spans="1:6">
      <c r="A335" s="69">
        <v>328</v>
      </c>
      <c r="B335" s="69">
        <v>28</v>
      </c>
      <c r="C335" s="69">
        <f t="shared" si="0"/>
        <v>1004</v>
      </c>
      <c r="D335" s="86" t="s">
        <v>896</v>
      </c>
      <c r="E335" s="189" t="s">
        <v>2395</v>
      </c>
      <c r="F335" s="32">
        <v>1</v>
      </c>
    </row>
    <row r="336" spans="1:6">
      <c r="A336" s="69">
        <v>329</v>
      </c>
      <c r="B336" s="69">
        <v>29</v>
      </c>
      <c r="C336" s="69">
        <f t="shared" si="0"/>
        <v>1004</v>
      </c>
      <c r="D336" s="86" t="s">
        <v>896</v>
      </c>
      <c r="E336" s="189" t="s">
        <v>2396</v>
      </c>
      <c r="F336" s="32">
        <v>1</v>
      </c>
    </row>
    <row r="337" spans="1:6">
      <c r="A337" s="69">
        <v>330</v>
      </c>
      <c r="B337" s="69">
        <v>30</v>
      </c>
      <c r="C337" s="69">
        <f t="shared" si="0"/>
        <v>1004</v>
      </c>
      <c r="D337" s="86" t="s">
        <v>896</v>
      </c>
      <c r="E337" s="189" t="s">
        <v>2397</v>
      </c>
      <c r="F337" s="32">
        <v>1</v>
      </c>
    </row>
    <row r="338" spans="1:6">
      <c r="A338" s="69">
        <v>331</v>
      </c>
      <c r="B338" s="69">
        <v>31</v>
      </c>
      <c r="C338" s="69">
        <f t="shared" si="0"/>
        <v>1004</v>
      </c>
      <c r="D338" s="86" t="s">
        <v>896</v>
      </c>
      <c r="E338" s="189" t="s">
        <v>2398</v>
      </c>
      <c r="F338" s="32">
        <v>1</v>
      </c>
    </row>
    <row r="339" spans="1:6">
      <c r="A339" s="69">
        <v>332</v>
      </c>
      <c r="B339" s="69">
        <v>32</v>
      </c>
      <c r="C339" s="69">
        <f t="shared" si="0"/>
        <v>1004</v>
      </c>
      <c r="D339" s="86" t="s">
        <v>896</v>
      </c>
      <c r="E339" s="189" t="s">
        <v>2399</v>
      </c>
      <c r="F339" s="32">
        <v>1</v>
      </c>
    </row>
    <row r="340" spans="1:6">
      <c r="A340" s="69">
        <v>333</v>
      </c>
      <c r="B340" s="69">
        <v>33</v>
      </c>
      <c r="C340" s="69">
        <f t="shared" si="0"/>
        <v>1004</v>
      </c>
      <c r="D340" s="86" t="s">
        <v>896</v>
      </c>
      <c r="E340" s="189" t="s">
        <v>2400</v>
      </c>
      <c r="F340" s="32">
        <v>1</v>
      </c>
    </row>
    <row r="341" spans="1:6">
      <c r="A341" s="69">
        <v>334</v>
      </c>
      <c r="B341" s="69">
        <v>34</v>
      </c>
      <c r="C341" s="69">
        <f t="shared" ref="C341:C372" si="1">C241+1</f>
        <v>1004</v>
      </c>
      <c r="D341" s="86" t="s">
        <v>896</v>
      </c>
      <c r="E341" s="189" t="s">
        <v>2401</v>
      </c>
      <c r="F341" s="32">
        <v>1</v>
      </c>
    </row>
    <row r="342" spans="1:6">
      <c r="A342" s="69">
        <v>335</v>
      </c>
      <c r="B342" s="69">
        <v>35</v>
      </c>
      <c r="C342" s="69">
        <f t="shared" si="1"/>
        <v>1004</v>
      </c>
      <c r="D342" s="86" t="s">
        <v>896</v>
      </c>
      <c r="E342" s="189" t="s">
        <v>2402</v>
      </c>
      <c r="F342" s="32">
        <v>1</v>
      </c>
    </row>
    <row r="343" spans="1:6">
      <c r="A343" s="69">
        <v>336</v>
      </c>
      <c r="B343" s="69">
        <v>36</v>
      </c>
      <c r="C343" s="69">
        <f t="shared" si="1"/>
        <v>1004</v>
      </c>
      <c r="D343" s="86" t="s">
        <v>896</v>
      </c>
      <c r="E343" s="189" t="s">
        <v>2403</v>
      </c>
      <c r="F343" s="32">
        <v>1</v>
      </c>
    </row>
    <row r="344" spans="1:6">
      <c r="A344" s="69">
        <v>337</v>
      </c>
      <c r="B344" s="69">
        <v>37</v>
      </c>
      <c r="C344" s="69">
        <f t="shared" si="1"/>
        <v>1004</v>
      </c>
      <c r="D344" s="86" t="s">
        <v>896</v>
      </c>
      <c r="E344" s="189" t="s">
        <v>2404</v>
      </c>
      <c r="F344" s="32">
        <v>1</v>
      </c>
    </row>
    <row r="345" spans="1:6">
      <c r="A345" s="69">
        <v>338</v>
      </c>
      <c r="B345" s="69">
        <v>38</v>
      </c>
      <c r="C345" s="69">
        <f t="shared" si="1"/>
        <v>1004</v>
      </c>
      <c r="D345" s="86" t="s">
        <v>896</v>
      </c>
      <c r="E345" s="189" t="s">
        <v>2405</v>
      </c>
      <c r="F345" s="32">
        <v>1</v>
      </c>
    </row>
    <row r="346" spans="1:6">
      <c r="A346" s="69">
        <v>339</v>
      </c>
      <c r="B346" s="69">
        <v>39</v>
      </c>
      <c r="C346" s="69">
        <f t="shared" si="1"/>
        <v>1004</v>
      </c>
      <c r="D346" s="86" t="s">
        <v>896</v>
      </c>
      <c r="E346" s="189" t="s">
        <v>2406</v>
      </c>
      <c r="F346" s="32">
        <v>1</v>
      </c>
    </row>
    <row r="347" spans="1:6">
      <c r="A347" s="69">
        <v>340</v>
      </c>
      <c r="B347" s="69">
        <v>40</v>
      </c>
      <c r="C347" s="69">
        <f t="shared" si="1"/>
        <v>1004</v>
      </c>
      <c r="D347" s="87" t="s">
        <v>897</v>
      </c>
      <c r="E347" s="190" t="s">
        <v>2407</v>
      </c>
      <c r="F347" s="92">
        <v>2</v>
      </c>
    </row>
    <row r="348" spans="1:6">
      <c r="A348" s="69">
        <v>341</v>
      </c>
      <c r="B348" s="69">
        <v>41</v>
      </c>
      <c r="C348" s="69">
        <f t="shared" si="1"/>
        <v>1004</v>
      </c>
      <c r="D348" s="86" t="s">
        <v>898</v>
      </c>
      <c r="E348" s="189" t="s">
        <v>2408</v>
      </c>
      <c r="F348" s="32">
        <v>1</v>
      </c>
    </row>
    <row r="349" spans="1:6">
      <c r="A349" s="69">
        <v>342</v>
      </c>
      <c r="B349" s="69">
        <v>42</v>
      </c>
      <c r="C349" s="69">
        <f t="shared" si="1"/>
        <v>1004</v>
      </c>
      <c r="D349" s="86" t="s">
        <v>898</v>
      </c>
      <c r="E349" s="189" t="s">
        <v>2409</v>
      </c>
      <c r="F349" s="32">
        <v>1</v>
      </c>
    </row>
    <row r="350" spans="1:6">
      <c r="A350" s="69">
        <v>343</v>
      </c>
      <c r="B350" s="69">
        <v>43</v>
      </c>
      <c r="C350" s="69">
        <f t="shared" si="1"/>
        <v>1004</v>
      </c>
      <c r="D350" s="86" t="s">
        <v>898</v>
      </c>
      <c r="E350" s="189" t="s">
        <v>2410</v>
      </c>
      <c r="F350" s="32">
        <v>1</v>
      </c>
    </row>
    <row r="351" spans="1:6">
      <c r="A351" s="69">
        <v>344</v>
      </c>
      <c r="B351" s="69">
        <v>44</v>
      </c>
      <c r="C351" s="69">
        <f t="shared" si="1"/>
        <v>1004</v>
      </c>
      <c r="D351" s="86" t="s">
        <v>898</v>
      </c>
      <c r="E351" s="189" t="s">
        <v>2411</v>
      </c>
      <c r="F351" s="32">
        <v>1</v>
      </c>
    </row>
    <row r="352" spans="1:6">
      <c r="A352" s="69">
        <v>345</v>
      </c>
      <c r="B352" s="69">
        <v>45</v>
      </c>
      <c r="C352" s="69">
        <f t="shared" si="1"/>
        <v>1004</v>
      </c>
      <c r="D352" s="86" t="s">
        <v>898</v>
      </c>
      <c r="E352" s="189" t="s">
        <v>2412</v>
      </c>
      <c r="F352" s="32">
        <v>1</v>
      </c>
    </row>
    <row r="353" spans="1:6">
      <c r="A353" s="69">
        <v>346</v>
      </c>
      <c r="B353" s="69">
        <v>46</v>
      </c>
      <c r="C353" s="69">
        <f t="shared" si="1"/>
        <v>1004</v>
      </c>
      <c r="D353" s="86" t="s">
        <v>898</v>
      </c>
      <c r="E353" s="189" t="s">
        <v>2413</v>
      </c>
      <c r="F353" s="32">
        <v>1</v>
      </c>
    </row>
    <row r="354" spans="1:6">
      <c r="A354" s="69">
        <v>347</v>
      </c>
      <c r="B354" s="69">
        <v>47</v>
      </c>
      <c r="C354" s="69">
        <f t="shared" si="1"/>
        <v>1004</v>
      </c>
      <c r="D354" s="86" t="s">
        <v>898</v>
      </c>
      <c r="E354" s="189" t="s">
        <v>2414</v>
      </c>
      <c r="F354" s="32">
        <v>1</v>
      </c>
    </row>
    <row r="355" spans="1:6">
      <c r="A355" s="69">
        <v>348</v>
      </c>
      <c r="B355" s="69">
        <v>48</v>
      </c>
      <c r="C355" s="69">
        <f t="shared" si="1"/>
        <v>1004</v>
      </c>
      <c r="D355" s="86" t="s">
        <v>898</v>
      </c>
      <c r="E355" s="189" t="s">
        <v>2415</v>
      </c>
      <c r="F355" s="32">
        <v>1</v>
      </c>
    </row>
    <row r="356" spans="1:6">
      <c r="A356" s="69">
        <v>349</v>
      </c>
      <c r="B356" s="69">
        <v>49</v>
      </c>
      <c r="C356" s="69">
        <f t="shared" si="1"/>
        <v>1004</v>
      </c>
      <c r="D356" s="86" t="s">
        <v>898</v>
      </c>
      <c r="E356" s="189" t="s">
        <v>2416</v>
      </c>
      <c r="F356" s="32">
        <v>1</v>
      </c>
    </row>
    <row r="357" spans="1:6">
      <c r="A357" s="69">
        <v>350</v>
      </c>
      <c r="B357" s="69">
        <v>50</v>
      </c>
      <c r="C357" s="69">
        <f t="shared" si="1"/>
        <v>1004</v>
      </c>
      <c r="D357" s="86" t="s">
        <v>898</v>
      </c>
      <c r="E357" s="189" t="s">
        <v>2417</v>
      </c>
      <c r="F357" s="32">
        <v>1</v>
      </c>
    </row>
    <row r="358" spans="1:6">
      <c r="A358" s="69">
        <v>351</v>
      </c>
      <c r="B358" s="69">
        <v>51</v>
      </c>
      <c r="C358" s="69">
        <f t="shared" si="1"/>
        <v>1004</v>
      </c>
      <c r="D358" s="86" t="s">
        <v>898</v>
      </c>
      <c r="E358" s="189" t="s">
        <v>2418</v>
      </c>
      <c r="F358" s="32">
        <v>1</v>
      </c>
    </row>
    <row r="359" spans="1:6">
      <c r="A359" s="69">
        <v>352</v>
      </c>
      <c r="B359" s="69">
        <v>52</v>
      </c>
      <c r="C359" s="69">
        <f t="shared" si="1"/>
        <v>1004</v>
      </c>
      <c r="D359" s="86" t="s">
        <v>898</v>
      </c>
      <c r="E359" s="189" t="s">
        <v>2419</v>
      </c>
      <c r="F359" s="32">
        <v>1</v>
      </c>
    </row>
    <row r="360" spans="1:6">
      <c r="A360" s="69">
        <v>353</v>
      </c>
      <c r="B360" s="69">
        <v>53</v>
      </c>
      <c r="C360" s="69">
        <f t="shared" si="1"/>
        <v>1004</v>
      </c>
      <c r="D360" s="86" t="s">
        <v>898</v>
      </c>
      <c r="E360" s="189" t="s">
        <v>2420</v>
      </c>
      <c r="F360" s="32">
        <v>1</v>
      </c>
    </row>
    <row r="361" spans="1:6">
      <c r="A361" s="69">
        <v>354</v>
      </c>
      <c r="B361" s="69">
        <v>54</v>
      </c>
      <c r="C361" s="69">
        <f t="shared" si="1"/>
        <v>1004</v>
      </c>
      <c r="D361" s="86" t="s">
        <v>898</v>
      </c>
      <c r="E361" s="189" t="s">
        <v>2421</v>
      </c>
      <c r="F361" s="32">
        <v>1</v>
      </c>
    </row>
    <row r="362" spans="1:6">
      <c r="A362" s="69">
        <v>355</v>
      </c>
      <c r="B362" s="69">
        <v>55</v>
      </c>
      <c r="C362" s="69">
        <f t="shared" si="1"/>
        <v>1004</v>
      </c>
      <c r="D362" s="86" t="s">
        <v>898</v>
      </c>
      <c r="E362" s="189" t="s">
        <v>2422</v>
      </c>
      <c r="F362" s="32">
        <v>1</v>
      </c>
    </row>
    <row r="363" spans="1:6">
      <c r="A363" s="69">
        <v>356</v>
      </c>
      <c r="B363" s="69">
        <v>56</v>
      </c>
      <c r="C363" s="69">
        <f t="shared" si="1"/>
        <v>1004</v>
      </c>
      <c r="D363" s="86" t="s">
        <v>898</v>
      </c>
      <c r="E363" s="189" t="s">
        <v>2423</v>
      </c>
      <c r="F363" s="32">
        <v>1</v>
      </c>
    </row>
    <row r="364" spans="1:6">
      <c r="A364" s="69">
        <v>357</v>
      </c>
      <c r="B364" s="69">
        <v>57</v>
      </c>
      <c r="C364" s="69">
        <f t="shared" si="1"/>
        <v>1004</v>
      </c>
      <c r="D364" s="86" t="s">
        <v>898</v>
      </c>
      <c r="E364" s="189" t="s">
        <v>2424</v>
      </c>
      <c r="F364" s="32">
        <v>1</v>
      </c>
    </row>
    <row r="365" spans="1:6">
      <c r="A365" s="69">
        <v>358</v>
      </c>
      <c r="B365" s="69">
        <v>58</v>
      </c>
      <c r="C365" s="69">
        <f t="shared" si="1"/>
        <v>1004</v>
      </c>
      <c r="D365" s="86" t="s">
        <v>898</v>
      </c>
      <c r="E365" s="189" t="s">
        <v>2425</v>
      </c>
      <c r="F365" s="32">
        <v>1</v>
      </c>
    </row>
    <row r="366" spans="1:6">
      <c r="A366" s="69">
        <v>359</v>
      </c>
      <c r="B366" s="69">
        <v>59</v>
      </c>
      <c r="C366" s="69">
        <f t="shared" si="1"/>
        <v>1004</v>
      </c>
      <c r="D366" s="86" t="s">
        <v>898</v>
      </c>
      <c r="E366" s="189" t="s">
        <v>2426</v>
      </c>
      <c r="F366" s="32">
        <v>1</v>
      </c>
    </row>
    <row r="367" spans="1:6">
      <c r="A367" s="69">
        <v>360</v>
      </c>
      <c r="B367" s="69">
        <v>60</v>
      </c>
      <c r="C367" s="69">
        <f t="shared" si="1"/>
        <v>1004</v>
      </c>
      <c r="D367" s="87" t="s">
        <v>899</v>
      </c>
      <c r="E367" s="190" t="s">
        <v>2427</v>
      </c>
      <c r="F367" s="92">
        <v>2</v>
      </c>
    </row>
    <row r="368" spans="1:6">
      <c r="A368" s="69">
        <v>361</v>
      </c>
      <c r="B368" s="69">
        <v>61</v>
      </c>
      <c r="C368" s="69">
        <f t="shared" si="1"/>
        <v>1004</v>
      </c>
      <c r="D368" s="86" t="s">
        <v>900</v>
      </c>
      <c r="E368" s="189" t="s">
        <v>2428</v>
      </c>
      <c r="F368" s="32">
        <v>1</v>
      </c>
    </row>
    <row r="369" spans="1:6">
      <c r="A369" s="69">
        <v>362</v>
      </c>
      <c r="B369" s="69">
        <v>62</v>
      </c>
      <c r="C369" s="69">
        <f t="shared" si="1"/>
        <v>1004</v>
      </c>
      <c r="D369" s="86" t="s">
        <v>900</v>
      </c>
      <c r="E369" s="189" t="s">
        <v>2429</v>
      </c>
      <c r="F369" s="32">
        <v>1</v>
      </c>
    </row>
    <row r="370" spans="1:6">
      <c r="A370" s="69">
        <v>363</v>
      </c>
      <c r="B370" s="69">
        <v>63</v>
      </c>
      <c r="C370" s="69">
        <f t="shared" si="1"/>
        <v>1004</v>
      </c>
      <c r="D370" s="86" t="s">
        <v>900</v>
      </c>
      <c r="E370" s="189" t="s">
        <v>2430</v>
      </c>
      <c r="F370" s="32">
        <v>1</v>
      </c>
    </row>
    <row r="371" spans="1:6">
      <c r="A371" s="69">
        <v>364</v>
      </c>
      <c r="B371" s="69">
        <v>64</v>
      </c>
      <c r="C371" s="69">
        <f t="shared" si="1"/>
        <v>1004</v>
      </c>
      <c r="D371" s="86" t="s">
        <v>900</v>
      </c>
      <c r="E371" s="189" t="s">
        <v>2431</v>
      </c>
      <c r="F371" s="32">
        <v>1</v>
      </c>
    </row>
    <row r="372" spans="1:6">
      <c r="A372" s="69">
        <v>365</v>
      </c>
      <c r="B372" s="69">
        <v>65</v>
      </c>
      <c r="C372" s="69">
        <f t="shared" si="1"/>
        <v>1004</v>
      </c>
      <c r="D372" s="86" t="s">
        <v>900</v>
      </c>
      <c r="E372" s="189" t="s">
        <v>2432</v>
      </c>
      <c r="F372" s="32">
        <v>1</v>
      </c>
    </row>
    <row r="373" spans="1:6">
      <c r="A373" s="69">
        <v>366</v>
      </c>
      <c r="B373" s="69">
        <v>66</v>
      </c>
      <c r="C373" s="69">
        <f t="shared" ref="C373:C404" si="2">C273+1</f>
        <v>1004</v>
      </c>
      <c r="D373" s="86" t="s">
        <v>900</v>
      </c>
      <c r="E373" s="189" t="s">
        <v>2433</v>
      </c>
      <c r="F373" s="32">
        <v>1</v>
      </c>
    </row>
    <row r="374" spans="1:6">
      <c r="A374" s="69">
        <v>367</v>
      </c>
      <c r="B374" s="69">
        <v>67</v>
      </c>
      <c r="C374" s="69">
        <f t="shared" si="2"/>
        <v>1004</v>
      </c>
      <c r="D374" s="86" t="s">
        <v>900</v>
      </c>
      <c r="E374" s="189" t="s">
        <v>2434</v>
      </c>
      <c r="F374" s="32">
        <v>1</v>
      </c>
    </row>
    <row r="375" spans="1:6">
      <c r="A375" s="69">
        <v>368</v>
      </c>
      <c r="B375" s="69">
        <v>68</v>
      </c>
      <c r="C375" s="69">
        <f t="shared" si="2"/>
        <v>1004</v>
      </c>
      <c r="D375" s="86" t="s">
        <v>900</v>
      </c>
      <c r="E375" s="189" t="s">
        <v>2435</v>
      </c>
      <c r="F375" s="32">
        <v>1</v>
      </c>
    </row>
    <row r="376" spans="1:6">
      <c r="A376" s="69">
        <v>369</v>
      </c>
      <c r="B376" s="69">
        <v>69</v>
      </c>
      <c r="C376" s="69">
        <f t="shared" si="2"/>
        <v>1004</v>
      </c>
      <c r="D376" s="86" t="s">
        <v>900</v>
      </c>
      <c r="E376" s="189" t="s">
        <v>2436</v>
      </c>
      <c r="F376" s="32">
        <v>1</v>
      </c>
    </row>
    <row r="377" spans="1:6">
      <c r="A377" s="69">
        <v>370</v>
      </c>
      <c r="B377" s="69">
        <v>70</v>
      </c>
      <c r="C377" s="69">
        <f t="shared" si="2"/>
        <v>1004</v>
      </c>
      <c r="D377" s="86" t="s">
        <v>900</v>
      </c>
      <c r="E377" s="189" t="s">
        <v>2437</v>
      </c>
      <c r="F377" s="32">
        <v>1</v>
      </c>
    </row>
    <row r="378" spans="1:6">
      <c r="A378" s="69">
        <v>371</v>
      </c>
      <c r="B378" s="69">
        <v>71</v>
      </c>
      <c r="C378" s="69">
        <f t="shared" si="2"/>
        <v>1004</v>
      </c>
      <c r="D378" s="86" t="s">
        <v>900</v>
      </c>
      <c r="E378" s="189" t="s">
        <v>2438</v>
      </c>
      <c r="F378" s="32">
        <v>1</v>
      </c>
    </row>
    <row r="379" spans="1:6">
      <c r="A379" s="69">
        <v>372</v>
      </c>
      <c r="B379" s="69">
        <v>72</v>
      </c>
      <c r="C379" s="69">
        <f t="shared" si="2"/>
        <v>1004</v>
      </c>
      <c r="D379" s="86" t="s">
        <v>900</v>
      </c>
      <c r="E379" s="189" t="s">
        <v>2439</v>
      </c>
      <c r="F379" s="32">
        <v>1</v>
      </c>
    </row>
    <row r="380" spans="1:6">
      <c r="A380" s="69">
        <v>373</v>
      </c>
      <c r="B380" s="69">
        <v>73</v>
      </c>
      <c r="C380" s="69">
        <f t="shared" si="2"/>
        <v>1004</v>
      </c>
      <c r="D380" s="86" t="s">
        <v>900</v>
      </c>
      <c r="E380" s="189" t="s">
        <v>2440</v>
      </c>
      <c r="F380" s="32">
        <v>1</v>
      </c>
    </row>
    <row r="381" spans="1:6">
      <c r="A381" s="69">
        <v>374</v>
      </c>
      <c r="B381" s="69">
        <v>74</v>
      </c>
      <c r="C381" s="69">
        <f t="shared" si="2"/>
        <v>1004</v>
      </c>
      <c r="D381" s="86" t="s">
        <v>900</v>
      </c>
      <c r="E381" s="189" t="s">
        <v>2441</v>
      </c>
      <c r="F381" s="32">
        <v>1</v>
      </c>
    </row>
    <row r="382" spans="1:6">
      <c r="A382" s="69">
        <v>375</v>
      </c>
      <c r="B382" s="69">
        <v>75</v>
      </c>
      <c r="C382" s="69">
        <f t="shared" si="2"/>
        <v>1004</v>
      </c>
      <c r="D382" s="86" t="s">
        <v>900</v>
      </c>
      <c r="E382" s="189" t="s">
        <v>2442</v>
      </c>
      <c r="F382" s="32">
        <v>1</v>
      </c>
    </row>
    <row r="383" spans="1:6">
      <c r="A383" s="69">
        <v>376</v>
      </c>
      <c r="B383" s="69">
        <v>76</v>
      </c>
      <c r="C383" s="69">
        <f t="shared" si="2"/>
        <v>1004</v>
      </c>
      <c r="D383" s="86" t="s">
        <v>900</v>
      </c>
      <c r="E383" s="189" t="s">
        <v>2443</v>
      </c>
      <c r="F383" s="32">
        <v>1</v>
      </c>
    </row>
    <row r="384" spans="1:6">
      <c r="A384" s="69">
        <v>377</v>
      </c>
      <c r="B384" s="69">
        <v>77</v>
      </c>
      <c r="C384" s="69">
        <f t="shared" si="2"/>
        <v>1004</v>
      </c>
      <c r="D384" s="86" t="s">
        <v>900</v>
      </c>
      <c r="E384" s="189" t="s">
        <v>2444</v>
      </c>
      <c r="F384" s="32">
        <v>1</v>
      </c>
    </row>
    <row r="385" spans="1:6">
      <c r="A385" s="69">
        <v>378</v>
      </c>
      <c r="B385" s="69">
        <v>78</v>
      </c>
      <c r="C385" s="69">
        <f t="shared" si="2"/>
        <v>1004</v>
      </c>
      <c r="D385" s="86" t="s">
        <v>900</v>
      </c>
      <c r="E385" s="189" t="s">
        <v>2445</v>
      </c>
      <c r="F385" s="32">
        <v>1</v>
      </c>
    </row>
    <row r="386" spans="1:6">
      <c r="A386" s="69">
        <v>379</v>
      </c>
      <c r="B386" s="69">
        <v>79</v>
      </c>
      <c r="C386" s="69">
        <f t="shared" si="2"/>
        <v>1004</v>
      </c>
      <c r="D386" s="86" t="s">
        <v>900</v>
      </c>
      <c r="E386" s="189" t="s">
        <v>2446</v>
      </c>
      <c r="F386" s="32">
        <v>1</v>
      </c>
    </row>
    <row r="387" spans="1:6">
      <c r="A387" s="69">
        <v>380</v>
      </c>
      <c r="B387" s="69">
        <v>80</v>
      </c>
      <c r="C387" s="69">
        <f t="shared" si="2"/>
        <v>1004</v>
      </c>
      <c r="D387" s="87" t="s">
        <v>901</v>
      </c>
      <c r="E387" s="190" t="s">
        <v>2447</v>
      </c>
      <c r="F387" s="92">
        <v>2</v>
      </c>
    </row>
    <row r="388" spans="1:6">
      <c r="A388" s="69">
        <v>381</v>
      </c>
      <c r="B388" s="69">
        <v>81</v>
      </c>
      <c r="C388" s="69">
        <f t="shared" si="2"/>
        <v>1004</v>
      </c>
      <c r="D388" s="86" t="s">
        <v>902</v>
      </c>
      <c r="E388" s="189" t="s">
        <v>2448</v>
      </c>
      <c r="F388" s="32">
        <v>1</v>
      </c>
    </row>
    <row r="389" spans="1:6">
      <c r="A389" s="69">
        <v>382</v>
      </c>
      <c r="B389" s="69">
        <v>82</v>
      </c>
      <c r="C389" s="69">
        <f t="shared" si="2"/>
        <v>1004</v>
      </c>
      <c r="D389" s="86" t="s">
        <v>902</v>
      </c>
      <c r="E389" s="189" t="s">
        <v>2449</v>
      </c>
      <c r="F389" s="32">
        <v>1</v>
      </c>
    </row>
    <row r="390" spans="1:6">
      <c r="A390" s="69">
        <v>383</v>
      </c>
      <c r="B390" s="69">
        <v>83</v>
      </c>
      <c r="C390" s="69">
        <f t="shared" si="2"/>
        <v>1004</v>
      </c>
      <c r="D390" s="86" t="s">
        <v>902</v>
      </c>
      <c r="E390" s="189" t="s">
        <v>2450</v>
      </c>
      <c r="F390" s="32">
        <v>1</v>
      </c>
    </row>
    <row r="391" spans="1:6">
      <c r="A391" s="69">
        <v>384</v>
      </c>
      <c r="B391" s="69">
        <v>84</v>
      </c>
      <c r="C391" s="69">
        <f t="shared" si="2"/>
        <v>1004</v>
      </c>
      <c r="D391" s="86" t="s">
        <v>902</v>
      </c>
      <c r="E391" s="189" t="s">
        <v>2451</v>
      </c>
      <c r="F391" s="32">
        <v>1</v>
      </c>
    </row>
    <row r="392" spans="1:6">
      <c r="A392" s="69">
        <v>385</v>
      </c>
      <c r="B392" s="69">
        <v>85</v>
      </c>
      <c r="C392" s="69">
        <f t="shared" si="2"/>
        <v>1004</v>
      </c>
      <c r="D392" s="86" t="s">
        <v>902</v>
      </c>
      <c r="E392" s="189" t="s">
        <v>2452</v>
      </c>
      <c r="F392" s="32">
        <v>1</v>
      </c>
    </row>
    <row r="393" spans="1:6">
      <c r="A393" s="69">
        <v>386</v>
      </c>
      <c r="B393" s="69">
        <v>86</v>
      </c>
      <c r="C393" s="69">
        <f t="shared" si="2"/>
        <v>1004</v>
      </c>
      <c r="D393" s="86" t="s">
        <v>902</v>
      </c>
      <c r="E393" s="189" t="s">
        <v>2453</v>
      </c>
      <c r="F393" s="32">
        <v>1</v>
      </c>
    </row>
    <row r="394" spans="1:6">
      <c r="A394" s="69">
        <v>387</v>
      </c>
      <c r="B394" s="69">
        <v>87</v>
      </c>
      <c r="C394" s="69">
        <f t="shared" si="2"/>
        <v>1004</v>
      </c>
      <c r="D394" s="86" t="s">
        <v>902</v>
      </c>
      <c r="E394" s="189" t="s">
        <v>2454</v>
      </c>
      <c r="F394" s="32">
        <v>1</v>
      </c>
    </row>
    <row r="395" spans="1:6">
      <c r="A395" s="69">
        <v>388</v>
      </c>
      <c r="B395" s="69">
        <v>88</v>
      </c>
      <c r="C395" s="69">
        <f t="shared" si="2"/>
        <v>1004</v>
      </c>
      <c r="D395" s="86" t="s">
        <v>902</v>
      </c>
      <c r="E395" s="189" t="s">
        <v>2455</v>
      </c>
      <c r="F395" s="32">
        <v>1</v>
      </c>
    </row>
    <row r="396" spans="1:6">
      <c r="A396" s="69">
        <v>389</v>
      </c>
      <c r="B396" s="69">
        <v>89</v>
      </c>
      <c r="C396" s="69">
        <f t="shared" si="2"/>
        <v>1004</v>
      </c>
      <c r="D396" s="86" t="s">
        <v>902</v>
      </c>
      <c r="E396" s="189" t="s">
        <v>2456</v>
      </c>
      <c r="F396" s="32">
        <v>1</v>
      </c>
    </row>
    <row r="397" spans="1:6">
      <c r="A397" s="69">
        <v>390</v>
      </c>
      <c r="B397" s="69">
        <v>90</v>
      </c>
      <c r="C397" s="69">
        <f t="shared" si="2"/>
        <v>1004</v>
      </c>
      <c r="D397" s="86" t="s">
        <v>902</v>
      </c>
      <c r="E397" s="189" t="s">
        <v>2457</v>
      </c>
      <c r="F397" s="32">
        <v>1</v>
      </c>
    </row>
    <row r="398" spans="1:6">
      <c r="A398" s="69">
        <v>391</v>
      </c>
      <c r="B398" s="69">
        <v>91</v>
      </c>
      <c r="C398" s="69">
        <f t="shared" si="2"/>
        <v>1004</v>
      </c>
      <c r="D398" s="86" t="s">
        <v>902</v>
      </c>
      <c r="E398" s="189" t="s">
        <v>2458</v>
      </c>
      <c r="F398" s="32">
        <v>1</v>
      </c>
    </row>
    <row r="399" spans="1:6">
      <c r="A399" s="69">
        <v>392</v>
      </c>
      <c r="B399" s="69">
        <v>92</v>
      </c>
      <c r="C399" s="69">
        <f t="shared" si="2"/>
        <v>1004</v>
      </c>
      <c r="D399" s="86" t="s">
        <v>902</v>
      </c>
      <c r="E399" s="189" t="s">
        <v>2459</v>
      </c>
      <c r="F399" s="32">
        <v>1</v>
      </c>
    </row>
    <row r="400" spans="1:6">
      <c r="A400" s="69">
        <v>393</v>
      </c>
      <c r="B400" s="69">
        <v>93</v>
      </c>
      <c r="C400" s="69">
        <f t="shared" si="2"/>
        <v>1004</v>
      </c>
      <c r="D400" s="86" t="s">
        <v>902</v>
      </c>
      <c r="E400" s="189" t="s">
        <v>2460</v>
      </c>
      <c r="F400" s="32">
        <v>1</v>
      </c>
    </row>
    <row r="401" spans="1:6">
      <c r="A401" s="69">
        <v>394</v>
      </c>
      <c r="B401" s="69">
        <v>94</v>
      </c>
      <c r="C401" s="69">
        <f t="shared" si="2"/>
        <v>1004</v>
      </c>
      <c r="D401" s="86" t="s">
        <v>902</v>
      </c>
      <c r="E401" s="189" t="s">
        <v>2461</v>
      </c>
      <c r="F401" s="32">
        <v>1</v>
      </c>
    </row>
    <row r="402" spans="1:6">
      <c r="A402" s="69">
        <v>395</v>
      </c>
      <c r="B402" s="69">
        <v>95</v>
      </c>
      <c r="C402" s="69">
        <f t="shared" si="2"/>
        <v>1004</v>
      </c>
      <c r="D402" s="86" t="s">
        <v>902</v>
      </c>
      <c r="E402" s="189" t="s">
        <v>2462</v>
      </c>
      <c r="F402" s="32">
        <v>1</v>
      </c>
    </row>
    <row r="403" spans="1:6">
      <c r="A403" s="69">
        <v>396</v>
      </c>
      <c r="B403" s="69">
        <v>96</v>
      </c>
      <c r="C403" s="69">
        <f t="shared" si="2"/>
        <v>1004</v>
      </c>
      <c r="D403" s="86" t="s">
        <v>902</v>
      </c>
      <c r="E403" s="189" t="s">
        <v>2463</v>
      </c>
      <c r="F403" s="32">
        <v>1</v>
      </c>
    </row>
    <row r="404" spans="1:6">
      <c r="A404" s="69">
        <v>397</v>
      </c>
      <c r="B404" s="69">
        <v>97</v>
      </c>
      <c r="C404" s="69">
        <f t="shared" si="2"/>
        <v>1004</v>
      </c>
      <c r="D404" s="86" t="s">
        <v>902</v>
      </c>
      <c r="E404" s="189" t="s">
        <v>2464</v>
      </c>
      <c r="F404" s="32">
        <v>1</v>
      </c>
    </row>
    <row r="405" spans="1:6">
      <c r="A405" s="69">
        <v>398</v>
      </c>
      <c r="B405" s="69">
        <v>98</v>
      </c>
      <c r="C405" s="69">
        <f t="shared" ref="C405:C468" si="3">C305+1</f>
        <v>1004</v>
      </c>
      <c r="D405" s="86" t="s">
        <v>902</v>
      </c>
      <c r="E405" s="189" t="s">
        <v>2465</v>
      </c>
      <c r="F405" s="32">
        <v>1</v>
      </c>
    </row>
    <row r="406" spans="1:6">
      <c r="A406" s="69">
        <v>399</v>
      </c>
      <c r="B406" s="69">
        <v>99</v>
      </c>
      <c r="C406" s="69">
        <f t="shared" si="3"/>
        <v>1004</v>
      </c>
      <c r="D406" s="86" t="s">
        <v>902</v>
      </c>
      <c r="E406" s="189" t="s">
        <v>2466</v>
      </c>
      <c r="F406" s="32">
        <v>1</v>
      </c>
    </row>
    <row r="407" spans="1:6">
      <c r="A407" s="69">
        <v>400</v>
      </c>
      <c r="B407" s="69">
        <v>100</v>
      </c>
      <c r="C407" s="69">
        <f t="shared" si="3"/>
        <v>1004</v>
      </c>
      <c r="D407" s="193" t="s">
        <v>902</v>
      </c>
      <c r="E407" s="189" t="s">
        <v>2467</v>
      </c>
      <c r="F407" s="192">
        <v>0</v>
      </c>
    </row>
    <row r="408" spans="1:6">
      <c r="A408" s="69">
        <v>401</v>
      </c>
      <c r="B408" s="69">
        <v>1</v>
      </c>
      <c r="C408" s="69">
        <f t="shared" si="3"/>
        <v>1005</v>
      </c>
      <c r="D408" s="86" t="s">
        <v>887</v>
      </c>
      <c r="E408" s="189" t="s">
        <v>2368</v>
      </c>
      <c r="F408" s="32">
        <v>1</v>
      </c>
    </row>
    <row r="409" spans="1:6">
      <c r="A409" s="69">
        <v>402</v>
      </c>
      <c r="B409" s="69">
        <v>2</v>
      </c>
      <c r="C409" s="69">
        <f t="shared" si="3"/>
        <v>1005</v>
      </c>
      <c r="D409" s="86" t="s">
        <v>888</v>
      </c>
      <c r="E409" s="189" t="s">
        <v>2369</v>
      </c>
      <c r="F409" s="32">
        <v>1</v>
      </c>
    </row>
    <row r="410" spans="1:6">
      <c r="A410" s="69">
        <v>403</v>
      </c>
      <c r="B410" s="69">
        <v>3</v>
      </c>
      <c r="C410" s="69">
        <f t="shared" si="3"/>
        <v>1005</v>
      </c>
      <c r="D410" s="86" t="s">
        <v>889</v>
      </c>
      <c r="E410" s="189" t="s">
        <v>2370</v>
      </c>
      <c r="F410" s="32">
        <v>1</v>
      </c>
    </row>
    <row r="411" spans="1:6">
      <c r="A411" s="69">
        <v>404</v>
      </c>
      <c r="B411" s="69">
        <v>4</v>
      </c>
      <c r="C411" s="69">
        <f t="shared" si="3"/>
        <v>1005</v>
      </c>
      <c r="D411" s="86" t="s">
        <v>890</v>
      </c>
      <c r="E411" s="189" t="s">
        <v>2371</v>
      </c>
      <c r="F411" s="32">
        <v>1</v>
      </c>
    </row>
    <row r="412" spans="1:6">
      <c r="A412" s="69">
        <v>405</v>
      </c>
      <c r="B412" s="69">
        <v>5</v>
      </c>
      <c r="C412" s="69">
        <f t="shared" si="3"/>
        <v>1005</v>
      </c>
      <c r="D412" s="86" t="s">
        <v>891</v>
      </c>
      <c r="E412" s="189" t="s">
        <v>2372</v>
      </c>
      <c r="F412" s="32">
        <v>1</v>
      </c>
    </row>
    <row r="413" spans="1:6">
      <c r="A413" s="69">
        <v>406</v>
      </c>
      <c r="B413" s="69">
        <v>6</v>
      </c>
      <c r="C413" s="69">
        <f t="shared" si="3"/>
        <v>1005</v>
      </c>
      <c r="D413" s="86" t="s">
        <v>892</v>
      </c>
      <c r="E413" s="189" t="s">
        <v>2373</v>
      </c>
      <c r="F413" s="32">
        <v>1</v>
      </c>
    </row>
    <row r="414" spans="1:6">
      <c r="A414" s="69">
        <v>407</v>
      </c>
      <c r="B414" s="69">
        <v>7</v>
      </c>
      <c r="C414" s="69">
        <f t="shared" si="3"/>
        <v>1005</v>
      </c>
      <c r="D414" s="86" t="s">
        <v>893</v>
      </c>
      <c r="E414" s="189" t="s">
        <v>2374</v>
      </c>
      <c r="F414" s="32">
        <v>1</v>
      </c>
    </row>
    <row r="415" spans="1:6">
      <c r="A415" s="69">
        <v>408</v>
      </c>
      <c r="B415" s="69">
        <v>8</v>
      </c>
      <c r="C415" s="69">
        <f t="shared" si="3"/>
        <v>1005</v>
      </c>
      <c r="D415" s="86" t="s">
        <v>894</v>
      </c>
      <c r="E415" s="189" t="s">
        <v>2375</v>
      </c>
      <c r="F415" s="32">
        <v>1</v>
      </c>
    </row>
    <row r="416" spans="1:6">
      <c r="A416" s="69">
        <v>409</v>
      </c>
      <c r="B416" s="69">
        <v>9</v>
      </c>
      <c r="C416" s="69">
        <f t="shared" si="3"/>
        <v>1005</v>
      </c>
      <c r="D416" s="86" t="s">
        <v>894</v>
      </c>
      <c r="E416" s="189" t="s">
        <v>2376</v>
      </c>
      <c r="F416" s="32">
        <v>1</v>
      </c>
    </row>
    <row r="417" spans="1:6">
      <c r="A417" s="69">
        <v>410</v>
      </c>
      <c r="B417" s="69">
        <v>10</v>
      </c>
      <c r="C417" s="69">
        <f t="shared" si="3"/>
        <v>1005</v>
      </c>
      <c r="D417" s="86" t="s">
        <v>894</v>
      </c>
      <c r="E417" s="189" t="s">
        <v>2377</v>
      </c>
      <c r="F417" s="32">
        <v>1</v>
      </c>
    </row>
    <row r="418" spans="1:6">
      <c r="A418" s="69">
        <v>411</v>
      </c>
      <c r="B418" s="69">
        <v>11</v>
      </c>
      <c r="C418" s="69">
        <f t="shared" si="3"/>
        <v>1005</v>
      </c>
      <c r="D418" s="86" t="s">
        <v>894</v>
      </c>
      <c r="E418" s="189" t="s">
        <v>2378</v>
      </c>
      <c r="F418" s="32">
        <v>1</v>
      </c>
    </row>
    <row r="419" spans="1:6">
      <c r="A419" s="69">
        <v>412</v>
      </c>
      <c r="B419" s="69">
        <v>12</v>
      </c>
      <c r="C419" s="69">
        <f t="shared" si="3"/>
        <v>1005</v>
      </c>
      <c r="D419" s="86" t="s">
        <v>894</v>
      </c>
      <c r="E419" s="189" t="s">
        <v>2379</v>
      </c>
      <c r="F419" s="32">
        <v>1</v>
      </c>
    </row>
    <row r="420" spans="1:6">
      <c r="A420" s="69">
        <v>413</v>
      </c>
      <c r="B420" s="69">
        <v>13</v>
      </c>
      <c r="C420" s="69">
        <f t="shared" si="3"/>
        <v>1005</v>
      </c>
      <c r="D420" s="86" t="s">
        <v>894</v>
      </c>
      <c r="E420" s="189" t="s">
        <v>2380</v>
      </c>
      <c r="F420" s="32">
        <v>1</v>
      </c>
    </row>
    <row r="421" spans="1:6">
      <c r="A421" s="69">
        <v>414</v>
      </c>
      <c r="B421" s="69">
        <v>14</v>
      </c>
      <c r="C421" s="69">
        <f t="shared" si="3"/>
        <v>1005</v>
      </c>
      <c r="D421" s="86" t="s">
        <v>894</v>
      </c>
      <c r="E421" s="189" t="s">
        <v>2381</v>
      </c>
      <c r="F421" s="32">
        <v>1</v>
      </c>
    </row>
    <row r="422" spans="1:6">
      <c r="A422" s="69">
        <v>415</v>
      </c>
      <c r="B422" s="69">
        <v>15</v>
      </c>
      <c r="C422" s="69">
        <f t="shared" si="3"/>
        <v>1005</v>
      </c>
      <c r="D422" s="86" t="s">
        <v>894</v>
      </c>
      <c r="E422" s="189" t="s">
        <v>2382</v>
      </c>
      <c r="F422" s="32">
        <v>1</v>
      </c>
    </row>
    <row r="423" spans="1:6">
      <c r="A423" s="69">
        <v>416</v>
      </c>
      <c r="B423" s="69">
        <v>16</v>
      </c>
      <c r="C423" s="69">
        <f t="shared" si="3"/>
        <v>1005</v>
      </c>
      <c r="D423" s="86" t="s">
        <v>894</v>
      </c>
      <c r="E423" s="189" t="s">
        <v>2383</v>
      </c>
      <c r="F423" s="32">
        <v>1</v>
      </c>
    </row>
    <row r="424" spans="1:6">
      <c r="A424" s="69">
        <v>417</v>
      </c>
      <c r="B424" s="69">
        <v>17</v>
      </c>
      <c r="C424" s="69">
        <f t="shared" si="3"/>
        <v>1005</v>
      </c>
      <c r="D424" s="86" t="s">
        <v>894</v>
      </c>
      <c r="E424" s="189" t="s">
        <v>2384</v>
      </c>
      <c r="F424" s="32">
        <v>1</v>
      </c>
    </row>
    <row r="425" spans="1:6">
      <c r="A425" s="69">
        <v>418</v>
      </c>
      <c r="B425" s="69">
        <v>18</v>
      </c>
      <c r="C425" s="69">
        <f t="shared" si="3"/>
        <v>1005</v>
      </c>
      <c r="D425" s="86" t="s">
        <v>894</v>
      </c>
      <c r="E425" s="189" t="s">
        <v>2385</v>
      </c>
      <c r="F425" s="32">
        <v>1</v>
      </c>
    </row>
    <row r="426" spans="1:6">
      <c r="A426" s="69">
        <v>419</v>
      </c>
      <c r="B426" s="69">
        <v>19</v>
      </c>
      <c r="C426" s="69">
        <f t="shared" si="3"/>
        <v>1005</v>
      </c>
      <c r="D426" s="86" t="s">
        <v>894</v>
      </c>
      <c r="E426" s="189" t="s">
        <v>2386</v>
      </c>
      <c r="F426" s="32">
        <v>1</v>
      </c>
    </row>
    <row r="427" spans="1:6">
      <c r="A427" s="69">
        <v>420</v>
      </c>
      <c r="B427" s="69">
        <v>20</v>
      </c>
      <c r="C427" s="69">
        <f t="shared" si="3"/>
        <v>1005</v>
      </c>
      <c r="D427" s="87" t="s">
        <v>895</v>
      </c>
      <c r="E427" s="190" t="s">
        <v>2387</v>
      </c>
      <c r="F427" s="92">
        <v>2</v>
      </c>
    </row>
    <row r="428" spans="1:6">
      <c r="A428" s="69">
        <v>421</v>
      </c>
      <c r="B428" s="69">
        <v>21</v>
      </c>
      <c r="C428" s="69">
        <f t="shared" si="3"/>
        <v>1005</v>
      </c>
      <c r="D428" s="86" t="s">
        <v>896</v>
      </c>
      <c r="E428" s="189" t="s">
        <v>2388</v>
      </c>
      <c r="F428" s="32">
        <v>1</v>
      </c>
    </row>
    <row r="429" spans="1:6">
      <c r="A429" s="69">
        <v>422</v>
      </c>
      <c r="B429" s="69">
        <v>22</v>
      </c>
      <c r="C429" s="69">
        <f t="shared" si="3"/>
        <v>1005</v>
      </c>
      <c r="D429" s="86" t="s">
        <v>896</v>
      </c>
      <c r="E429" s="189" t="s">
        <v>2389</v>
      </c>
      <c r="F429" s="32">
        <v>1</v>
      </c>
    </row>
    <row r="430" spans="1:6">
      <c r="A430" s="69">
        <v>423</v>
      </c>
      <c r="B430" s="69">
        <v>23</v>
      </c>
      <c r="C430" s="69">
        <f t="shared" si="3"/>
        <v>1005</v>
      </c>
      <c r="D430" s="86" t="s">
        <v>896</v>
      </c>
      <c r="E430" s="189" t="s">
        <v>2390</v>
      </c>
      <c r="F430" s="32">
        <v>1</v>
      </c>
    </row>
    <row r="431" spans="1:6">
      <c r="A431" s="69">
        <v>424</v>
      </c>
      <c r="B431" s="69">
        <v>24</v>
      </c>
      <c r="C431" s="69">
        <f t="shared" si="3"/>
        <v>1005</v>
      </c>
      <c r="D431" s="86" t="s">
        <v>896</v>
      </c>
      <c r="E431" s="189" t="s">
        <v>2391</v>
      </c>
      <c r="F431" s="32">
        <v>1</v>
      </c>
    </row>
    <row r="432" spans="1:6">
      <c r="A432" s="69">
        <v>425</v>
      </c>
      <c r="B432" s="69">
        <v>25</v>
      </c>
      <c r="C432" s="69">
        <f t="shared" si="3"/>
        <v>1005</v>
      </c>
      <c r="D432" s="86" t="s">
        <v>896</v>
      </c>
      <c r="E432" s="189" t="s">
        <v>2392</v>
      </c>
      <c r="F432" s="32">
        <v>1</v>
      </c>
    </row>
    <row r="433" spans="1:6">
      <c r="A433" s="69">
        <v>426</v>
      </c>
      <c r="B433" s="69">
        <v>26</v>
      </c>
      <c r="C433" s="69">
        <f t="shared" si="3"/>
        <v>1005</v>
      </c>
      <c r="D433" s="86" t="s">
        <v>896</v>
      </c>
      <c r="E433" s="189" t="s">
        <v>2393</v>
      </c>
      <c r="F433" s="32">
        <v>1</v>
      </c>
    </row>
    <row r="434" spans="1:6">
      <c r="A434" s="69">
        <v>427</v>
      </c>
      <c r="B434" s="69">
        <v>27</v>
      </c>
      <c r="C434" s="69">
        <f t="shared" si="3"/>
        <v>1005</v>
      </c>
      <c r="D434" s="86" t="s">
        <v>896</v>
      </c>
      <c r="E434" s="189" t="s">
        <v>2394</v>
      </c>
      <c r="F434" s="32">
        <v>1</v>
      </c>
    </row>
    <row r="435" spans="1:6">
      <c r="A435" s="69">
        <v>428</v>
      </c>
      <c r="B435" s="69">
        <v>28</v>
      </c>
      <c r="C435" s="69">
        <f t="shared" si="3"/>
        <v>1005</v>
      </c>
      <c r="D435" s="86" t="s">
        <v>896</v>
      </c>
      <c r="E435" s="189" t="s">
        <v>2395</v>
      </c>
      <c r="F435" s="32">
        <v>1</v>
      </c>
    </row>
    <row r="436" spans="1:6">
      <c r="A436" s="69">
        <v>429</v>
      </c>
      <c r="B436" s="69">
        <v>29</v>
      </c>
      <c r="C436" s="69">
        <f t="shared" si="3"/>
        <v>1005</v>
      </c>
      <c r="D436" s="86" t="s">
        <v>896</v>
      </c>
      <c r="E436" s="189" t="s">
        <v>2396</v>
      </c>
      <c r="F436" s="32">
        <v>1</v>
      </c>
    </row>
    <row r="437" spans="1:6">
      <c r="A437" s="69">
        <v>430</v>
      </c>
      <c r="B437" s="69">
        <v>30</v>
      </c>
      <c r="C437" s="69">
        <f t="shared" si="3"/>
        <v>1005</v>
      </c>
      <c r="D437" s="86" t="s">
        <v>896</v>
      </c>
      <c r="E437" s="189" t="s">
        <v>2397</v>
      </c>
      <c r="F437" s="32">
        <v>1</v>
      </c>
    </row>
    <row r="438" spans="1:6">
      <c r="A438" s="69">
        <v>431</v>
      </c>
      <c r="B438" s="69">
        <v>31</v>
      </c>
      <c r="C438" s="69">
        <f t="shared" si="3"/>
        <v>1005</v>
      </c>
      <c r="D438" s="86" t="s">
        <v>896</v>
      </c>
      <c r="E438" s="189" t="s">
        <v>2398</v>
      </c>
      <c r="F438" s="32">
        <v>1</v>
      </c>
    </row>
    <row r="439" spans="1:6">
      <c r="A439" s="69">
        <v>432</v>
      </c>
      <c r="B439" s="69">
        <v>32</v>
      </c>
      <c r="C439" s="69">
        <f t="shared" si="3"/>
        <v>1005</v>
      </c>
      <c r="D439" s="86" t="s">
        <v>896</v>
      </c>
      <c r="E439" s="189" t="s">
        <v>2399</v>
      </c>
      <c r="F439" s="32">
        <v>1</v>
      </c>
    </row>
    <row r="440" spans="1:6">
      <c r="A440" s="69">
        <v>433</v>
      </c>
      <c r="B440" s="69">
        <v>33</v>
      </c>
      <c r="C440" s="69">
        <f t="shared" si="3"/>
        <v>1005</v>
      </c>
      <c r="D440" s="86" t="s">
        <v>896</v>
      </c>
      <c r="E440" s="189" t="s">
        <v>2400</v>
      </c>
      <c r="F440" s="32">
        <v>1</v>
      </c>
    </row>
    <row r="441" spans="1:6">
      <c r="A441" s="69">
        <v>434</v>
      </c>
      <c r="B441" s="69">
        <v>34</v>
      </c>
      <c r="C441" s="69">
        <f t="shared" si="3"/>
        <v>1005</v>
      </c>
      <c r="D441" s="86" t="s">
        <v>896</v>
      </c>
      <c r="E441" s="189" t="s">
        <v>2401</v>
      </c>
      <c r="F441" s="32">
        <v>1</v>
      </c>
    </row>
    <row r="442" spans="1:6">
      <c r="A442" s="69">
        <v>435</v>
      </c>
      <c r="B442" s="69">
        <v>35</v>
      </c>
      <c r="C442" s="69">
        <f t="shared" si="3"/>
        <v>1005</v>
      </c>
      <c r="D442" s="86" t="s">
        <v>896</v>
      </c>
      <c r="E442" s="189" t="s">
        <v>2402</v>
      </c>
      <c r="F442" s="32">
        <v>1</v>
      </c>
    </row>
    <row r="443" spans="1:6">
      <c r="A443" s="69">
        <v>436</v>
      </c>
      <c r="B443" s="69">
        <v>36</v>
      </c>
      <c r="C443" s="69">
        <f t="shared" si="3"/>
        <v>1005</v>
      </c>
      <c r="D443" s="86" t="s">
        <v>896</v>
      </c>
      <c r="E443" s="189" t="s">
        <v>2403</v>
      </c>
      <c r="F443" s="32">
        <v>1</v>
      </c>
    </row>
    <row r="444" spans="1:6">
      <c r="A444" s="69">
        <v>437</v>
      </c>
      <c r="B444" s="69">
        <v>37</v>
      </c>
      <c r="C444" s="69">
        <f t="shared" si="3"/>
        <v>1005</v>
      </c>
      <c r="D444" s="86" t="s">
        <v>896</v>
      </c>
      <c r="E444" s="189" t="s">
        <v>2404</v>
      </c>
      <c r="F444" s="32">
        <v>1</v>
      </c>
    </row>
    <row r="445" spans="1:6">
      <c r="A445" s="69">
        <v>438</v>
      </c>
      <c r="B445" s="69">
        <v>38</v>
      </c>
      <c r="C445" s="69">
        <f t="shared" si="3"/>
        <v>1005</v>
      </c>
      <c r="D445" s="86" t="s">
        <v>896</v>
      </c>
      <c r="E445" s="189" t="s">
        <v>2405</v>
      </c>
      <c r="F445" s="32">
        <v>1</v>
      </c>
    </row>
    <row r="446" spans="1:6">
      <c r="A446" s="69">
        <v>439</v>
      </c>
      <c r="B446" s="69">
        <v>39</v>
      </c>
      <c r="C446" s="69">
        <f t="shared" si="3"/>
        <v>1005</v>
      </c>
      <c r="D446" s="86" t="s">
        <v>896</v>
      </c>
      <c r="E446" s="189" t="s">
        <v>2406</v>
      </c>
      <c r="F446" s="32">
        <v>1</v>
      </c>
    </row>
    <row r="447" spans="1:6">
      <c r="A447" s="69">
        <v>440</v>
      </c>
      <c r="B447" s="69">
        <v>40</v>
      </c>
      <c r="C447" s="69">
        <f t="shared" si="3"/>
        <v>1005</v>
      </c>
      <c r="D447" s="87" t="s">
        <v>897</v>
      </c>
      <c r="E447" s="190" t="s">
        <v>2407</v>
      </c>
      <c r="F447" s="92">
        <v>2</v>
      </c>
    </row>
    <row r="448" spans="1:6">
      <c r="A448" s="69">
        <v>441</v>
      </c>
      <c r="B448" s="69">
        <v>41</v>
      </c>
      <c r="C448" s="69">
        <f t="shared" si="3"/>
        <v>1005</v>
      </c>
      <c r="D448" s="86" t="s">
        <v>898</v>
      </c>
      <c r="E448" s="189" t="s">
        <v>2408</v>
      </c>
      <c r="F448" s="32">
        <v>1</v>
      </c>
    </row>
    <row r="449" spans="1:6">
      <c r="A449" s="69">
        <v>442</v>
      </c>
      <c r="B449" s="69">
        <v>42</v>
      </c>
      <c r="C449" s="69">
        <f t="shared" si="3"/>
        <v>1005</v>
      </c>
      <c r="D449" s="86" t="s">
        <v>898</v>
      </c>
      <c r="E449" s="189" t="s">
        <v>2409</v>
      </c>
      <c r="F449" s="32">
        <v>1</v>
      </c>
    </row>
    <row r="450" spans="1:6">
      <c r="A450" s="69">
        <v>443</v>
      </c>
      <c r="B450" s="69">
        <v>43</v>
      </c>
      <c r="C450" s="69">
        <f t="shared" si="3"/>
        <v>1005</v>
      </c>
      <c r="D450" s="86" t="s">
        <v>898</v>
      </c>
      <c r="E450" s="189" t="s">
        <v>2410</v>
      </c>
      <c r="F450" s="32">
        <v>1</v>
      </c>
    </row>
    <row r="451" spans="1:6">
      <c r="A451" s="69">
        <v>444</v>
      </c>
      <c r="B451" s="69">
        <v>44</v>
      </c>
      <c r="C451" s="69">
        <f t="shared" si="3"/>
        <v>1005</v>
      </c>
      <c r="D451" s="86" t="s">
        <v>898</v>
      </c>
      <c r="E451" s="189" t="s">
        <v>2411</v>
      </c>
      <c r="F451" s="32">
        <v>1</v>
      </c>
    </row>
    <row r="452" spans="1:6">
      <c r="A452" s="69">
        <v>445</v>
      </c>
      <c r="B452" s="69">
        <v>45</v>
      </c>
      <c r="C452" s="69">
        <f t="shared" si="3"/>
        <v>1005</v>
      </c>
      <c r="D452" s="86" t="s">
        <v>898</v>
      </c>
      <c r="E452" s="189" t="s">
        <v>2412</v>
      </c>
      <c r="F452" s="32">
        <v>1</v>
      </c>
    </row>
    <row r="453" spans="1:6">
      <c r="A453" s="69">
        <v>446</v>
      </c>
      <c r="B453" s="69">
        <v>46</v>
      </c>
      <c r="C453" s="69">
        <f t="shared" si="3"/>
        <v>1005</v>
      </c>
      <c r="D453" s="86" t="s">
        <v>898</v>
      </c>
      <c r="E453" s="189" t="s">
        <v>2413</v>
      </c>
      <c r="F453" s="32">
        <v>1</v>
      </c>
    </row>
    <row r="454" spans="1:6">
      <c r="A454" s="69">
        <v>447</v>
      </c>
      <c r="B454" s="69">
        <v>47</v>
      </c>
      <c r="C454" s="69">
        <f t="shared" si="3"/>
        <v>1005</v>
      </c>
      <c r="D454" s="86" t="s">
        <v>898</v>
      </c>
      <c r="E454" s="189" t="s">
        <v>2414</v>
      </c>
      <c r="F454" s="32">
        <v>1</v>
      </c>
    </row>
    <row r="455" spans="1:6">
      <c r="A455" s="69">
        <v>448</v>
      </c>
      <c r="B455" s="69">
        <v>48</v>
      </c>
      <c r="C455" s="69">
        <f t="shared" si="3"/>
        <v>1005</v>
      </c>
      <c r="D455" s="86" t="s">
        <v>898</v>
      </c>
      <c r="E455" s="189" t="s">
        <v>2415</v>
      </c>
      <c r="F455" s="32">
        <v>1</v>
      </c>
    </row>
    <row r="456" spans="1:6">
      <c r="A456" s="69">
        <v>449</v>
      </c>
      <c r="B456" s="69">
        <v>49</v>
      </c>
      <c r="C456" s="69">
        <f t="shared" si="3"/>
        <v>1005</v>
      </c>
      <c r="D456" s="86" t="s">
        <v>898</v>
      </c>
      <c r="E456" s="189" t="s">
        <v>2416</v>
      </c>
      <c r="F456" s="32">
        <v>1</v>
      </c>
    </row>
    <row r="457" spans="1:6">
      <c r="A457" s="69">
        <v>450</v>
      </c>
      <c r="B457" s="69">
        <v>50</v>
      </c>
      <c r="C457" s="69">
        <f t="shared" si="3"/>
        <v>1005</v>
      </c>
      <c r="D457" s="86" t="s">
        <v>898</v>
      </c>
      <c r="E457" s="189" t="s">
        <v>2417</v>
      </c>
      <c r="F457" s="32">
        <v>1</v>
      </c>
    </row>
    <row r="458" spans="1:6">
      <c r="A458" s="69">
        <v>451</v>
      </c>
      <c r="B458" s="69">
        <v>51</v>
      </c>
      <c r="C458" s="69">
        <f t="shared" si="3"/>
        <v>1005</v>
      </c>
      <c r="D458" s="86" t="s">
        <v>898</v>
      </c>
      <c r="E458" s="189" t="s">
        <v>2418</v>
      </c>
      <c r="F458" s="32">
        <v>1</v>
      </c>
    </row>
    <row r="459" spans="1:6">
      <c r="A459" s="69">
        <v>452</v>
      </c>
      <c r="B459" s="69">
        <v>52</v>
      </c>
      <c r="C459" s="69">
        <f t="shared" si="3"/>
        <v>1005</v>
      </c>
      <c r="D459" s="86" t="s">
        <v>898</v>
      </c>
      <c r="E459" s="189" t="s">
        <v>2419</v>
      </c>
      <c r="F459" s="32">
        <v>1</v>
      </c>
    </row>
    <row r="460" spans="1:6">
      <c r="A460" s="69">
        <v>453</v>
      </c>
      <c r="B460" s="69">
        <v>53</v>
      </c>
      <c r="C460" s="69">
        <f t="shared" si="3"/>
        <v>1005</v>
      </c>
      <c r="D460" s="86" t="s">
        <v>898</v>
      </c>
      <c r="E460" s="189" t="s">
        <v>2420</v>
      </c>
      <c r="F460" s="32">
        <v>1</v>
      </c>
    </row>
    <row r="461" spans="1:6">
      <c r="A461" s="69">
        <v>454</v>
      </c>
      <c r="B461" s="69">
        <v>54</v>
      </c>
      <c r="C461" s="69">
        <f t="shared" si="3"/>
        <v>1005</v>
      </c>
      <c r="D461" s="86" t="s">
        <v>898</v>
      </c>
      <c r="E461" s="189" t="s">
        <v>2421</v>
      </c>
      <c r="F461" s="32">
        <v>1</v>
      </c>
    </row>
    <row r="462" spans="1:6">
      <c r="A462" s="69">
        <v>455</v>
      </c>
      <c r="B462" s="69">
        <v>55</v>
      </c>
      <c r="C462" s="69">
        <f t="shared" si="3"/>
        <v>1005</v>
      </c>
      <c r="D462" s="86" t="s">
        <v>898</v>
      </c>
      <c r="E462" s="189" t="s">
        <v>2422</v>
      </c>
      <c r="F462" s="32">
        <v>1</v>
      </c>
    </row>
    <row r="463" spans="1:6">
      <c r="A463" s="69">
        <v>456</v>
      </c>
      <c r="B463" s="69">
        <v>56</v>
      </c>
      <c r="C463" s="69">
        <f t="shared" si="3"/>
        <v>1005</v>
      </c>
      <c r="D463" s="86" t="s">
        <v>898</v>
      </c>
      <c r="E463" s="189" t="s">
        <v>2423</v>
      </c>
      <c r="F463" s="32">
        <v>1</v>
      </c>
    </row>
    <row r="464" spans="1:6">
      <c r="A464" s="69">
        <v>457</v>
      </c>
      <c r="B464" s="69">
        <v>57</v>
      </c>
      <c r="C464" s="69">
        <f t="shared" si="3"/>
        <v>1005</v>
      </c>
      <c r="D464" s="86" t="s">
        <v>898</v>
      </c>
      <c r="E464" s="189" t="s">
        <v>2424</v>
      </c>
      <c r="F464" s="32">
        <v>1</v>
      </c>
    </row>
    <row r="465" spans="1:6">
      <c r="A465" s="69">
        <v>458</v>
      </c>
      <c r="B465" s="69">
        <v>58</v>
      </c>
      <c r="C465" s="69">
        <f t="shared" si="3"/>
        <v>1005</v>
      </c>
      <c r="D465" s="86" t="s">
        <v>898</v>
      </c>
      <c r="E465" s="189" t="s">
        <v>2425</v>
      </c>
      <c r="F465" s="32">
        <v>1</v>
      </c>
    </row>
    <row r="466" spans="1:6">
      <c r="A466" s="69">
        <v>459</v>
      </c>
      <c r="B466" s="69">
        <v>59</v>
      </c>
      <c r="C466" s="69">
        <f t="shared" si="3"/>
        <v>1005</v>
      </c>
      <c r="D466" s="86" t="s">
        <v>898</v>
      </c>
      <c r="E466" s="189" t="s">
        <v>2426</v>
      </c>
      <c r="F466" s="32">
        <v>1</v>
      </c>
    </row>
    <row r="467" spans="1:6">
      <c r="A467" s="69">
        <v>460</v>
      </c>
      <c r="B467" s="69">
        <v>60</v>
      </c>
      <c r="C467" s="69">
        <f t="shared" si="3"/>
        <v>1005</v>
      </c>
      <c r="D467" s="87" t="s">
        <v>899</v>
      </c>
      <c r="E467" s="190" t="s">
        <v>2427</v>
      </c>
      <c r="F467" s="92">
        <v>2</v>
      </c>
    </row>
    <row r="468" spans="1:6">
      <c r="A468" s="69">
        <v>461</v>
      </c>
      <c r="B468" s="69">
        <v>61</v>
      </c>
      <c r="C468" s="69">
        <f t="shared" si="3"/>
        <v>1005</v>
      </c>
      <c r="D468" s="86" t="s">
        <v>900</v>
      </c>
      <c r="E468" s="189" t="s">
        <v>2428</v>
      </c>
      <c r="F468" s="32">
        <v>1</v>
      </c>
    </row>
    <row r="469" spans="1:6">
      <c r="A469" s="69">
        <v>462</v>
      </c>
      <c r="B469" s="69">
        <v>62</v>
      </c>
      <c r="C469" s="69">
        <f t="shared" ref="C469:C532" si="4">C369+1</f>
        <v>1005</v>
      </c>
      <c r="D469" s="86" t="s">
        <v>900</v>
      </c>
      <c r="E469" s="189" t="s">
        <v>2429</v>
      </c>
      <c r="F469" s="32">
        <v>1</v>
      </c>
    </row>
    <row r="470" spans="1:6">
      <c r="A470" s="69">
        <v>463</v>
      </c>
      <c r="B470" s="69">
        <v>63</v>
      </c>
      <c r="C470" s="69">
        <f t="shared" si="4"/>
        <v>1005</v>
      </c>
      <c r="D470" s="86" t="s">
        <v>900</v>
      </c>
      <c r="E470" s="189" t="s">
        <v>2430</v>
      </c>
      <c r="F470" s="32">
        <v>1</v>
      </c>
    </row>
    <row r="471" spans="1:6">
      <c r="A471" s="69">
        <v>464</v>
      </c>
      <c r="B471" s="69">
        <v>64</v>
      </c>
      <c r="C471" s="69">
        <f t="shared" si="4"/>
        <v>1005</v>
      </c>
      <c r="D471" s="86" t="s">
        <v>900</v>
      </c>
      <c r="E471" s="189" t="s">
        <v>2431</v>
      </c>
      <c r="F471" s="32">
        <v>1</v>
      </c>
    </row>
    <row r="472" spans="1:6">
      <c r="A472" s="69">
        <v>465</v>
      </c>
      <c r="B472" s="69">
        <v>65</v>
      </c>
      <c r="C472" s="69">
        <f t="shared" si="4"/>
        <v>1005</v>
      </c>
      <c r="D472" s="86" t="s">
        <v>900</v>
      </c>
      <c r="E472" s="189" t="s">
        <v>2432</v>
      </c>
      <c r="F472" s="32">
        <v>1</v>
      </c>
    </row>
    <row r="473" spans="1:6">
      <c r="A473" s="69">
        <v>466</v>
      </c>
      <c r="B473" s="69">
        <v>66</v>
      </c>
      <c r="C473" s="69">
        <f t="shared" si="4"/>
        <v>1005</v>
      </c>
      <c r="D473" s="86" t="s">
        <v>900</v>
      </c>
      <c r="E473" s="189" t="s">
        <v>2433</v>
      </c>
      <c r="F473" s="32">
        <v>1</v>
      </c>
    </row>
    <row r="474" spans="1:6">
      <c r="A474" s="69">
        <v>467</v>
      </c>
      <c r="B474" s="69">
        <v>67</v>
      </c>
      <c r="C474" s="69">
        <f t="shared" si="4"/>
        <v>1005</v>
      </c>
      <c r="D474" s="86" t="s">
        <v>900</v>
      </c>
      <c r="E474" s="189" t="s">
        <v>2434</v>
      </c>
      <c r="F474" s="32">
        <v>1</v>
      </c>
    </row>
    <row r="475" spans="1:6">
      <c r="A475" s="69">
        <v>468</v>
      </c>
      <c r="B475" s="69">
        <v>68</v>
      </c>
      <c r="C475" s="69">
        <f t="shared" si="4"/>
        <v>1005</v>
      </c>
      <c r="D475" s="86" t="s">
        <v>900</v>
      </c>
      <c r="E475" s="189" t="s">
        <v>2435</v>
      </c>
      <c r="F475" s="32">
        <v>1</v>
      </c>
    </row>
    <row r="476" spans="1:6">
      <c r="A476" s="69">
        <v>469</v>
      </c>
      <c r="B476" s="69">
        <v>69</v>
      </c>
      <c r="C476" s="69">
        <f t="shared" si="4"/>
        <v>1005</v>
      </c>
      <c r="D476" s="86" t="s">
        <v>900</v>
      </c>
      <c r="E476" s="189" t="s">
        <v>2436</v>
      </c>
      <c r="F476" s="32">
        <v>1</v>
      </c>
    </row>
    <row r="477" spans="1:6">
      <c r="A477" s="69">
        <v>470</v>
      </c>
      <c r="B477" s="69">
        <v>70</v>
      </c>
      <c r="C477" s="69">
        <f t="shared" si="4"/>
        <v>1005</v>
      </c>
      <c r="D477" s="86" t="s">
        <v>900</v>
      </c>
      <c r="E477" s="189" t="s">
        <v>2437</v>
      </c>
      <c r="F477" s="32">
        <v>1</v>
      </c>
    </row>
    <row r="478" spans="1:6">
      <c r="A478" s="69">
        <v>471</v>
      </c>
      <c r="B478" s="69">
        <v>71</v>
      </c>
      <c r="C478" s="69">
        <f t="shared" si="4"/>
        <v>1005</v>
      </c>
      <c r="D478" s="86" t="s">
        <v>900</v>
      </c>
      <c r="E478" s="189" t="s">
        <v>2438</v>
      </c>
      <c r="F478" s="32">
        <v>1</v>
      </c>
    </row>
    <row r="479" spans="1:6">
      <c r="A479" s="69">
        <v>472</v>
      </c>
      <c r="B479" s="69">
        <v>72</v>
      </c>
      <c r="C479" s="69">
        <f t="shared" si="4"/>
        <v>1005</v>
      </c>
      <c r="D479" s="86" t="s">
        <v>900</v>
      </c>
      <c r="E479" s="189" t="s">
        <v>2439</v>
      </c>
      <c r="F479" s="32">
        <v>1</v>
      </c>
    </row>
    <row r="480" spans="1:6">
      <c r="A480" s="69">
        <v>473</v>
      </c>
      <c r="B480" s="69">
        <v>73</v>
      </c>
      <c r="C480" s="69">
        <f t="shared" si="4"/>
        <v>1005</v>
      </c>
      <c r="D480" s="86" t="s">
        <v>900</v>
      </c>
      <c r="E480" s="189" t="s">
        <v>2440</v>
      </c>
      <c r="F480" s="32">
        <v>1</v>
      </c>
    </row>
    <row r="481" spans="1:6">
      <c r="A481" s="69">
        <v>474</v>
      </c>
      <c r="B481" s="69">
        <v>74</v>
      </c>
      <c r="C481" s="69">
        <f t="shared" si="4"/>
        <v>1005</v>
      </c>
      <c r="D481" s="86" t="s">
        <v>900</v>
      </c>
      <c r="E481" s="189" t="s">
        <v>2441</v>
      </c>
      <c r="F481" s="32">
        <v>1</v>
      </c>
    </row>
    <row r="482" spans="1:6">
      <c r="A482" s="69">
        <v>475</v>
      </c>
      <c r="B482" s="69">
        <v>75</v>
      </c>
      <c r="C482" s="69">
        <f t="shared" si="4"/>
        <v>1005</v>
      </c>
      <c r="D482" s="86" t="s">
        <v>900</v>
      </c>
      <c r="E482" s="189" t="s">
        <v>2442</v>
      </c>
      <c r="F482" s="32">
        <v>1</v>
      </c>
    </row>
    <row r="483" spans="1:6">
      <c r="A483" s="69">
        <v>476</v>
      </c>
      <c r="B483" s="69">
        <v>76</v>
      </c>
      <c r="C483" s="69">
        <f t="shared" si="4"/>
        <v>1005</v>
      </c>
      <c r="D483" s="86" t="s">
        <v>900</v>
      </c>
      <c r="E483" s="189" t="s">
        <v>2443</v>
      </c>
      <c r="F483" s="32">
        <v>1</v>
      </c>
    </row>
    <row r="484" spans="1:6">
      <c r="A484" s="69">
        <v>477</v>
      </c>
      <c r="B484" s="69">
        <v>77</v>
      </c>
      <c r="C484" s="69">
        <f t="shared" si="4"/>
        <v>1005</v>
      </c>
      <c r="D484" s="86" t="s">
        <v>900</v>
      </c>
      <c r="E484" s="189" t="s">
        <v>2444</v>
      </c>
      <c r="F484" s="32">
        <v>1</v>
      </c>
    </row>
    <row r="485" spans="1:6">
      <c r="A485" s="69">
        <v>478</v>
      </c>
      <c r="B485" s="69">
        <v>78</v>
      </c>
      <c r="C485" s="69">
        <f t="shared" si="4"/>
        <v>1005</v>
      </c>
      <c r="D485" s="86" t="s">
        <v>900</v>
      </c>
      <c r="E485" s="189" t="s">
        <v>2445</v>
      </c>
      <c r="F485" s="32">
        <v>1</v>
      </c>
    </row>
    <row r="486" spans="1:6">
      <c r="A486" s="69">
        <v>479</v>
      </c>
      <c r="B486" s="69">
        <v>79</v>
      </c>
      <c r="C486" s="69">
        <f t="shared" si="4"/>
        <v>1005</v>
      </c>
      <c r="D486" s="86" t="s">
        <v>900</v>
      </c>
      <c r="E486" s="189" t="s">
        <v>2446</v>
      </c>
      <c r="F486" s="32">
        <v>1</v>
      </c>
    </row>
    <row r="487" spans="1:6">
      <c r="A487" s="69">
        <v>480</v>
      </c>
      <c r="B487" s="69">
        <v>80</v>
      </c>
      <c r="C487" s="69">
        <f t="shared" si="4"/>
        <v>1005</v>
      </c>
      <c r="D487" s="87" t="s">
        <v>901</v>
      </c>
      <c r="E487" s="190" t="s">
        <v>2447</v>
      </c>
      <c r="F487" s="92">
        <v>2</v>
      </c>
    </row>
    <row r="488" spans="1:6">
      <c r="A488" s="69">
        <v>481</v>
      </c>
      <c r="B488" s="69">
        <v>81</v>
      </c>
      <c r="C488" s="69">
        <f t="shared" si="4"/>
        <v>1005</v>
      </c>
      <c r="D488" s="86" t="s">
        <v>902</v>
      </c>
      <c r="E488" s="189" t="s">
        <v>2448</v>
      </c>
      <c r="F488" s="32">
        <v>1</v>
      </c>
    </row>
    <row r="489" spans="1:6">
      <c r="A489" s="69">
        <v>482</v>
      </c>
      <c r="B489" s="69">
        <v>82</v>
      </c>
      <c r="C489" s="69">
        <f t="shared" si="4"/>
        <v>1005</v>
      </c>
      <c r="D489" s="86" t="s">
        <v>902</v>
      </c>
      <c r="E489" s="189" t="s">
        <v>2449</v>
      </c>
      <c r="F489" s="32">
        <v>1</v>
      </c>
    </row>
    <row r="490" spans="1:6">
      <c r="A490" s="69">
        <v>483</v>
      </c>
      <c r="B490" s="69">
        <v>83</v>
      </c>
      <c r="C490" s="69">
        <f t="shared" si="4"/>
        <v>1005</v>
      </c>
      <c r="D490" s="86" t="s">
        <v>902</v>
      </c>
      <c r="E490" s="189" t="s">
        <v>2450</v>
      </c>
      <c r="F490" s="32">
        <v>1</v>
      </c>
    </row>
    <row r="491" spans="1:6">
      <c r="A491" s="69">
        <v>484</v>
      </c>
      <c r="B491" s="69">
        <v>84</v>
      </c>
      <c r="C491" s="69">
        <f t="shared" si="4"/>
        <v>1005</v>
      </c>
      <c r="D491" s="86" t="s">
        <v>902</v>
      </c>
      <c r="E491" s="189" t="s">
        <v>2451</v>
      </c>
      <c r="F491" s="32">
        <v>1</v>
      </c>
    </row>
    <row r="492" spans="1:6">
      <c r="A492" s="69">
        <v>485</v>
      </c>
      <c r="B492" s="69">
        <v>85</v>
      </c>
      <c r="C492" s="69">
        <f t="shared" si="4"/>
        <v>1005</v>
      </c>
      <c r="D492" s="86" t="s">
        <v>902</v>
      </c>
      <c r="E492" s="189" t="s">
        <v>2452</v>
      </c>
      <c r="F492" s="32">
        <v>1</v>
      </c>
    </row>
    <row r="493" spans="1:6">
      <c r="A493" s="69">
        <v>486</v>
      </c>
      <c r="B493" s="69">
        <v>86</v>
      </c>
      <c r="C493" s="69">
        <f t="shared" si="4"/>
        <v>1005</v>
      </c>
      <c r="D493" s="86" t="s">
        <v>902</v>
      </c>
      <c r="E493" s="189" t="s">
        <v>2453</v>
      </c>
      <c r="F493" s="32">
        <v>1</v>
      </c>
    </row>
    <row r="494" spans="1:6">
      <c r="A494" s="69">
        <v>487</v>
      </c>
      <c r="B494" s="69">
        <v>87</v>
      </c>
      <c r="C494" s="69">
        <f t="shared" si="4"/>
        <v>1005</v>
      </c>
      <c r="D494" s="86" t="s">
        <v>902</v>
      </c>
      <c r="E494" s="189" t="s">
        <v>2454</v>
      </c>
      <c r="F494" s="32">
        <v>1</v>
      </c>
    </row>
    <row r="495" spans="1:6">
      <c r="A495" s="69">
        <v>488</v>
      </c>
      <c r="B495" s="69">
        <v>88</v>
      </c>
      <c r="C495" s="69">
        <f t="shared" si="4"/>
        <v>1005</v>
      </c>
      <c r="D495" s="86" t="s">
        <v>902</v>
      </c>
      <c r="E495" s="189" t="s">
        <v>2455</v>
      </c>
      <c r="F495" s="32">
        <v>1</v>
      </c>
    </row>
    <row r="496" spans="1:6">
      <c r="A496" s="69">
        <v>489</v>
      </c>
      <c r="B496" s="69">
        <v>89</v>
      </c>
      <c r="C496" s="69">
        <f t="shared" si="4"/>
        <v>1005</v>
      </c>
      <c r="D496" s="86" t="s">
        <v>902</v>
      </c>
      <c r="E496" s="189" t="s">
        <v>2456</v>
      </c>
      <c r="F496" s="32">
        <v>1</v>
      </c>
    </row>
    <row r="497" spans="1:6">
      <c r="A497" s="69">
        <v>490</v>
      </c>
      <c r="B497" s="69">
        <v>90</v>
      </c>
      <c r="C497" s="69">
        <f t="shared" si="4"/>
        <v>1005</v>
      </c>
      <c r="D497" s="86" t="s">
        <v>902</v>
      </c>
      <c r="E497" s="189" t="s">
        <v>2457</v>
      </c>
      <c r="F497" s="32">
        <v>1</v>
      </c>
    </row>
    <row r="498" spans="1:6">
      <c r="A498" s="69">
        <v>491</v>
      </c>
      <c r="B498" s="69">
        <v>91</v>
      </c>
      <c r="C498" s="69">
        <f t="shared" si="4"/>
        <v>1005</v>
      </c>
      <c r="D498" s="86" t="s">
        <v>902</v>
      </c>
      <c r="E498" s="189" t="s">
        <v>2458</v>
      </c>
      <c r="F498" s="32">
        <v>1</v>
      </c>
    </row>
    <row r="499" spans="1:6">
      <c r="A499" s="69">
        <v>492</v>
      </c>
      <c r="B499" s="69">
        <v>92</v>
      </c>
      <c r="C499" s="69">
        <f t="shared" si="4"/>
        <v>1005</v>
      </c>
      <c r="D499" s="86" t="s">
        <v>902</v>
      </c>
      <c r="E499" s="189" t="s">
        <v>2459</v>
      </c>
      <c r="F499" s="32">
        <v>1</v>
      </c>
    </row>
    <row r="500" spans="1:6">
      <c r="A500" s="69">
        <v>493</v>
      </c>
      <c r="B500" s="69">
        <v>93</v>
      </c>
      <c r="C500" s="69">
        <f t="shared" si="4"/>
        <v>1005</v>
      </c>
      <c r="D500" s="86" t="s">
        <v>902</v>
      </c>
      <c r="E500" s="189" t="s">
        <v>2460</v>
      </c>
      <c r="F500" s="32">
        <v>1</v>
      </c>
    </row>
    <row r="501" spans="1:6">
      <c r="A501" s="69">
        <v>494</v>
      </c>
      <c r="B501" s="69">
        <v>94</v>
      </c>
      <c r="C501" s="69">
        <f t="shared" si="4"/>
        <v>1005</v>
      </c>
      <c r="D501" s="86" t="s">
        <v>902</v>
      </c>
      <c r="E501" s="189" t="s">
        <v>2461</v>
      </c>
      <c r="F501" s="32">
        <v>1</v>
      </c>
    </row>
    <row r="502" spans="1:6">
      <c r="A502" s="69">
        <v>495</v>
      </c>
      <c r="B502" s="69">
        <v>95</v>
      </c>
      <c r="C502" s="69">
        <f t="shared" si="4"/>
        <v>1005</v>
      </c>
      <c r="D502" s="86" t="s">
        <v>902</v>
      </c>
      <c r="E502" s="189" t="s">
        <v>2462</v>
      </c>
      <c r="F502" s="32">
        <v>1</v>
      </c>
    </row>
    <row r="503" spans="1:6">
      <c r="A503" s="69">
        <v>496</v>
      </c>
      <c r="B503" s="69">
        <v>96</v>
      </c>
      <c r="C503" s="69">
        <f t="shared" si="4"/>
        <v>1005</v>
      </c>
      <c r="D503" s="86" t="s">
        <v>902</v>
      </c>
      <c r="E503" s="189" t="s">
        <v>2463</v>
      </c>
      <c r="F503" s="32">
        <v>1</v>
      </c>
    </row>
    <row r="504" spans="1:6">
      <c r="A504" s="69">
        <v>497</v>
      </c>
      <c r="B504" s="69">
        <v>97</v>
      </c>
      <c r="C504" s="69">
        <f t="shared" si="4"/>
        <v>1005</v>
      </c>
      <c r="D504" s="86" t="s">
        <v>902</v>
      </c>
      <c r="E504" s="189" t="s">
        <v>2464</v>
      </c>
      <c r="F504" s="32">
        <v>1</v>
      </c>
    </row>
    <row r="505" spans="1:6">
      <c r="A505" s="69">
        <v>498</v>
      </c>
      <c r="B505" s="69">
        <v>98</v>
      </c>
      <c r="C505" s="69">
        <f t="shared" si="4"/>
        <v>1005</v>
      </c>
      <c r="D505" s="86" t="s">
        <v>902</v>
      </c>
      <c r="E505" s="189" t="s">
        <v>2465</v>
      </c>
      <c r="F505" s="32">
        <v>1</v>
      </c>
    </row>
    <row r="506" spans="1:6">
      <c r="A506" s="69">
        <v>499</v>
      </c>
      <c r="B506" s="69">
        <v>99</v>
      </c>
      <c r="C506" s="69">
        <f t="shared" si="4"/>
        <v>1005</v>
      </c>
      <c r="D506" s="86" t="s">
        <v>2469</v>
      </c>
      <c r="E506" s="189" t="s">
        <v>2466</v>
      </c>
      <c r="F506" s="32">
        <v>1</v>
      </c>
    </row>
    <row r="507" spans="1:6">
      <c r="A507" s="69">
        <v>500</v>
      </c>
      <c r="B507" s="69">
        <v>100</v>
      </c>
      <c r="C507" s="69">
        <f t="shared" si="4"/>
        <v>1005</v>
      </c>
      <c r="D507" s="193" t="s">
        <v>2469</v>
      </c>
      <c r="E507" s="189" t="s">
        <v>2467</v>
      </c>
      <c r="F507" s="192">
        <v>0</v>
      </c>
    </row>
    <row r="508" spans="1:6">
      <c r="A508" s="69">
        <v>501</v>
      </c>
      <c r="B508" s="69">
        <v>1</v>
      </c>
      <c r="C508" s="69">
        <f t="shared" si="4"/>
        <v>1006</v>
      </c>
      <c r="D508" s="86" t="s">
        <v>887</v>
      </c>
      <c r="E508" s="189" t="s">
        <v>2368</v>
      </c>
      <c r="F508" s="32">
        <v>1</v>
      </c>
    </row>
    <row r="509" spans="1:6">
      <c r="A509" s="69">
        <v>502</v>
      </c>
      <c r="B509" s="69">
        <v>2</v>
      </c>
      <c r="C509" s="69">
        <f t="shared" si="4"/>
        <v>1006</v>
      </c>
      <c r="D509" s="86" t="s">
        <v>888</v>
      </c>
      <c r="E509" s="189" t="s">
        <v>2369</v>
      </c>
      <c r="F509" s="32">
        <v>1</v>
      </c>
    </row>
    <row r="510" spans="1:6">
      <c r="A510" s="69">
        <v>503</v>
      </c>
      <c r="B510" s="69">
        <v>3</v>
      </c>
      <c r="C510" s="69">
        <f t="shared" si="4"/>
        <v>1006</v>
      </c>
      <c r="D510" s="86" t="s">
        <v>889</v>
      </c>
      <c r="E510" s="189" t="s">
        <v>2370</v>
      </c>
      <c r="F510" s="32">
        <v>1</v>
      </c>
    </row>
    <row r="511" spans="1:6">
      <c r="A511" s="69">
        <v>504</v>
      </c>
      <c r="B511" s="69">
        <v>4</v>
      </c>
      <c r="C511" s="69">
        <f t="shared" si="4"/>
        <v>1006</v>
      </c>
      <c r="D511" s="86" t="s">
        <v>890</v>
      </c>
      <c r="E511" s="189" t="s">
        <v>2371</v>
      </c>
      <c r="F511" s="32">
        <v>1</v>
      </c>
    </row>
    <row r="512" spans="1:6">
      <c r="A512" s="69">
        <v>505</v>
      </c>
      <c r="B512" s="69">
        <v>5</v>
      </c>
      <c r="C512" s="69">
        <f t="shared" si="4"/>
        <v>1006</v>
      </c>
      <c r="D512" s="86" t="s">
        <v>891</v>
      </c>
      <c r="E512" s="189" t="s">
        <v>2372</v>
      </c>
      <c r="F512" s="32">
        <v>1</v>
      </c>
    </row>
    <row r="513" spans="1:6">
      <c r="A513" s="69">
        <v>506</v>
      </c>
      <c r="B513" s="69">
        <v>6</v>
      </c>
      <c r="C513" s="69">
        <f t="shared" si="4"/>
        <v>1006</v>
      </c>
      <c r="D513" s="86" t="s">
        <v>892</v>
      </c>
      <c r="E513" s="189" t="s">
        <v>2373</v>
      </c>
      <c r="F513" s="32">
        <v>1</v>
      </c>
    </row>
    <row r="514" spans="1:6">
      <c r="A514" s="69">
        <v>507</v>
      </c>
      <c r="B514" s="69">
        <v>7</v>
      </c>
      <c r="C514" s="69">
        <f t="shared" si="4"/>
        <v>1006</v>
      </c>
      <c r="D514" s="86" t="s">
        <v>893</v>
      </c>
      <c r="E514" s="189" t="s">
        <v>2374</v>
      </c>
      <c r="F514" s="32">
        <v>1</v>
      </c>
    </row>
    <row r="515" spans="1:6">
      <c r="A515" s="69">
        <v>508</v>
      </c>
      <c r="B515" s="69">
        <v>8</v>
      </c>
      <c r="C515" s="69">
        <f t="shared" si="4"/>
        <v>1006</v>
      </c>
      <c r="D515" s="86" t="s">
        <v>894</v>
      </c>
      <c r="E515" s="189" t="s">
        <v>2375</v>
      </c>
      <c r="F515" s="32">
        <v>1</v>
      </c>
    </row>
    <row r="516" spans="1:6">
      <c r="A516" s="69">
        <v>509</v>
      </c>
      <c r="B516" s="69">
        <v>9</v>
      </c>
      <c r="C516" s="69">
        <f t="shared" si="4"/>
        <v>1006</v>
      </c>
      <c r="D516" s="86" t="s">
        <v>894</v>
      </c>
      <c r="E516" s="189" t="s">
        <v>2376</v>
      </c>
      <c r="F516" s="32">
        <v>1</v>
      </c>
    </row>
    <row r="517" spans="1:6">
      <c r="A517" s="69">
        <v>510</v>
      </c>
      <c r="B517" s="69">
        <v>10</v>
      </c>
      <c r="C517" s="69">
        <f t="shared" si="4"/>
        <v>1006</v>
      </c>
      <c r="D517" s="86" t="s">
        <v>894</v>
      </c>
      <c r="E517" s="189" t="s">
        <v>2377</v>
      </c>
      <c r="F517" s="32">
        <v>1</v>
      </c>
    </row>
    <row r="518" spans="1:6">
      <c r="A518" s="69">
        <v>511</v>
      </c>
      <c r="B518" s="69">
        <v>11</v>
      </c>
      <c r="C518" s="69">
        <f t="shared" si="4"/>
        <v>1006</v>
      </c>
      <c r="D518" s="86" t="s">
        <v>894</v>
      </c>
      <c r="E518" s="189" t="s">
        <v>2378</v>
      </c>
      <c r="F518" s="32">
        <v>1</v>
      </c>
    </row>
    <row r="519" spans="1:6">
      <c r="A519" s="69">
        <v>512</v>
      </c>
      <c r="B519" s="69">
        <v>12</v>
      </c>
      <c r="C519" s="69">
        <f t="shared" si="4"/>
        <v>1006</v>
      </c>
      <c r="D519" s="86" t="s">
        <v>894</v>
      </c>
      <c r="E519" s="189" t="s">
        <v>2379</v>
      </c>
      <c r="F519" s="32">
        <v>1</v>
      </c>
    </row>
    <row r="520" spans="1:6">
      <c r="A520" s="69">
        <v>513</v>
      </c>
      <c r="B520" s="69">
        <v>13</v>
      </c>
      <c r="C520" s="69">
        <f t="shared" si="4"/>
        <v>1006</v>
      </c>
      <c r="D520" s="86" t="s">
        <v>894</v>
      </c>
      <c r="E520" s="189" t="s">
        <v>2380</v>
      </c>
      <c r="F520" s="32">
        <v>1</v>
      </c>
    </row>
    <row r="521" spans="1:6">
      <c r="A521" s="69">
        <v>514</v>
      </c>
      <c r="B521" s="69">
        <v>14</v>
      </c>
      <c r="C521" s="69">
        <f t="shared" si="4"/>
        <v>1006</v>
      </c>
      <c r="D521" s="86" t="s">
        <v>894</v>
      </c>
      <c r="E521" s="189" t="s">
        <v>2381</v>
      </c>
      <c r="F521" s="32">
        <v>1</v>
      </c>
    </row>
    <row r="522" spans="1:6">
      <c r="A522" s="69">
        <v>515</v>
      </c>
      <c r="B522" s="69">
        <v>15</v>
      </c>
      <c r="C522" s="69">
        <f t="shared" si="4"/>
        <v>1006</v>
      </c>
      <c r="D522" s="86" t="s">
        <v>894</v>
      </c>
      <c r="E522" s="189" t="s">
        <v>2382</v>
      </c>
      <c r="F522" s="32">
        <v>1</v>
      </c>
    </row>
    <row r="523" spans="1:6">
      <c r="A523" s="69">
        <v>516</v>
      </c>
      <c r="B523" s="69">
        <v>16</v>
      </c>
      <c r="C523" s="69">
        <f t="shared" si="4"/>
        <v>1006</v>
      </c>
      <c r="D523" s="86" t="s">
        <v>894</v>
      </c>
      <c r="E523" s="189" t="s">
        <v>2383</v>
      </c>
      <c r="F523" s="32">
        <v>1</v>
      </c>
    </row>
    <row r="524" spans="1:6">
      <c r="A524" s="69">
        <v>517</v>
      </c>
      <c r="B524" s="69">
        <v>17</v>
      </c>
      <c r="C524" s="69">
        <f t="shared" si="4"/>
        <v>1006</v>
      </c>
      <c r="D524" s="86" t="s">
        <v>894</v>
      </c>
      <c r="E524" s="189" t="s">
        <v>2384</v>
      </c>
      <c r="F524" s="32">
        <v>1</v>
      </c>
    </row>
    <row r="525" spans="1:6">
      <c r="A525" s="69">
        <v>518</v>
      </c>
      <c r="B525" s="69">
        <v>18</v>
      </c>
      <c r="C525" s="69">
        <f t="shared" si="4"/>
        <v>1006</v>
      </c>
      <c r="D525" s="86" t="s">
        <v>894</v>
      </c>
      <c r="E525" s="189" t="s">
        <v>2385</v>
      </c>
      <c r="F525" s="32">
        <v>1</v>
      </c>
    </row>
    <row r="526" spans="1:6">
      <c r="A526" s="69">
        <v>519</v>
      </c>
      <c r="B526" s="69">
        <v>19</v>
      </c>
      <c r="C526" s="69">
        <f t="shared" si="4"/>
        <v>1006</v>
      </c>
      <c r="D526" s="86" t="s">
        <v>894</v>
      </c>
      <c r="E526" s="189" t="s">
        <v>2386</v>
      </c>
      <c r="F526" s="32">
        <v>1</v>
      </c>
    </row>
    <row r="527" spans="1:6">
      <c r="A527" s="69">
        <v>520</v>
      </c>
      <c r="B527" s="69">
        <v>20</v>
      </c>
      <c r="C527" s="69">
        <f t="shared" si="4"/>
        <v>1006</v>
      </c>
      <c r="D527" s="87" t="s">
        <v>895</v>
      </c>
      <c r="E527" s="190" t="s">
        <v>2387</v>
      </c>
      <c r="F527" s="92">
        <v>2</v>
      </c>
    </row>
    <row r="528" spans="1:6">
      <c r="A528" s="69">
        <v>521</v>
      </c>
      <c r="B528" s="69">
        <v>21</v>
      </c>
      <c r="C528" s="69">
        <f t="shared" si="4"/>
        <v>1006</v>
      </c>
      <c r="D528" s="86" t="s">
        <v>896</v>
      </c>
      <c r="E528" s="189" t="s">
        <v>2388</v>
      </c>
      <c r="F528" s="32">
        <v>1</v>
      </c>
    </row>
    <row r="529" spans="1:6">
      <c r="A529" s="69">
        <v>522</v>
      </c>
      <c r="B529" s="69">
        <v>22</v>
      </c>
      <c r="C529" s="69">
        <f t="shared" si="4"/>
        <v>1006</v>
      </c>
      <c r="D529" s="86" t="s">
        <v>896</v>
      </c>
      <c r="E529" s="189" t="s">
        <v>2389</v>
      </c>
      <c r="F529" s="32">
        <v>1</v>
      </c>
    </row>
    <row r="530" spans="1:6">
      <c r="A530" s="69">
        <v>523</v>
      </c>
      <c r="B530" s="69">
        <v>23</v>
      </c>
      <c r="C530" s="69">
        <f t="shared" si="4"/>
        <v>1006</v>
      </c>
      <c r="D530" s="86" t="s">
        <v>896</v>
      </c>
      <c r="E530" s="189" t="s">
        <v>2390</v>
      </c>
      <c r="F530" s="32">
        <v>1</v>
      </c>
    </row>
    <row r="531" spans="1:6">
      <c r="A531" s="69">
        <v>524</v>
      </c>
      <c r="B531" s="69">
        <v>24</v>
      </c>
      <c r="C531" s="69">
        <f t="shared" si="4"/>
        <v>1006</v>
      </c>
      <c r="D531" s="86" t="s">
        <v>896</v>
      </c>
      <c r="E531" s="189" t="s">
        <v>2391</v>
      </c>
      <c r="F531" s="32">
        <v>1</v>
      </c>
    </row>
    <row r="532" spans="1:6">
      <c r="A532" s="69">
        <v>525</v>
      </c>
      <c r="B532" s="69">
        <v>25</v>
      </c>
      <c r="C532" s="69">
        <f t="shared" si="4"/>
        <v>1006</v>
      </c>
      <c r="D532" s="86" t="s">
        <v>896</v>
      </c>
      <c r="E532" s="189" t="s">
        <v>2392</v>
      </c>
      <c r="F532" s="32">
        <v>1</v>
      </c>
    </row>
    <row r="533" spans="1:6">
      <c r="A533" s="69">
        <v>526</v>
      </c>
      <c r="B533" s="69">
        <v>26</v>
      </c>
      <c r="C533" s="69">
        <f t="shared" ref="C533:C596" si="5">C433+1</f>
        <v>1006</v>
      </c>
      <c r="D533" s="86" t="s">
        <v>896</v>
      </c>
      <c r="E533" s="189" t="s">
        <v>2393</v>
      </c>
      <c r="F533" s="32">
        <v>1</v>
      </c>
    </row>
    <row r="534" spans="1:6">
      <c r="A534" s="69">
        <v>527</v>
      </c>
      <c r="B534" s="69">
        <v>27</v>
      </c>
      <c r="C534" s="69">
        <f t="shared" si="5"/>
        <v>1006</v>
      </c>
      <c r="D534" s="86" t="s">
        <v>896</v>
      </c>
      <c r="E534" s="189" t="s">
        <v>2394</v>
      </c>
      <c r="F534" s="32">
        <v>1</v>
      </c>
    </row>
    <row r="535" spans="1:6">
      <c r="A535" s="69">
        <v>528</v>
      </c>
      <c r="B535" s="69">
        <v>28</v>
      </c>
      <c r="C535" s="69">
        <f t="shared" si="5"/>
        <v>1006</v>
      </c>
      <c r="D535" s="86" t="s">
        <v>896</v>
      </c>
      <c r="E535" s="189" t="s">
        <v>2395</v>
      </c>
      <c r="F535" s="32">
        <v>1</v>
      </c>
    </row>
    <row r="536" spans="1:6">
      <c r="A536" s="69">
        <v>529</v>
      </c>
      <c r="B536" s="69">
        <v>29</v>
      </c>
      <c r="C536" s="69">
        <f t="shared" si="5"/>
        <v>1006</v>
      </c>
      <c r="D536" s="86" t="s">
        <v>896</v>
      </c>
      <c r="E536" s="189" t="s">
        <v>2396</v>
      </c>
      <c r="F536" s="32">
        <v>1</v>
      </c>
    </row>
    <row r="537" spans="1:6">
      <c r="A537" s="69">
        <v>530</v>
      </c>
      <c r="B537" s="69">
        <v>30</v>
      </c>
      <c r="C537" s="69">
        <f t="shared" si="5"/>
        <v>1006</v>
      </c>
      <c r="D537" s="86" t="s">
        <v>896</v>
      </c>
      <c r="E537" s="189" t="s">
        <v>2397</v>
      </c>
      <c r="F537" s="32">
        <v>1</v>
      </c>
    </row>
    <row r="538" spans="1:6">
      <c r="A538" s="69">
        <v>531</v>
      </c>
      <c r="B538" s="69">
        <v>31</v>
      </c>
      <c r="C538" s="69">
        <f t="shared" si="5"/>
        <v>1006</v>
      </c>
      <c r="D538" s="86" t="s">
        <v>896</v>
      </c>
      <c r="E538" s="189" t="s">
        <v>2398</v>
      </c>
      <c r="F538" s="32">
        <v>1</v>
      </c>
    </row>
    <row r="539" spans="1:6">
      <c r="A539" s="69">
        <v>532</v>
      </c>
      <c r="B539" s="69">
        <v>32</v>
      </c>
      <c r="C539" s="69">
        <f t="shared" si="5"/>
        <v>1006</v>
      </c>
      <c r="D539" s="86" t="s">
        <v>896</v>
      </c>
      <c r="E539" s="189" t="s">
        <v>2399</v>
      </c>
      <c r="F539" s="32">
        <v>1</v>
      </c>
    </row>
    <row r="540" spans="1:6">
      <c r="A540" s="69">
        <v>533</v>
      </c>
      <c r="B540" s="69">
        <v>33</v>
      </c>
      <c r="C540" s="69">
        <f t="shared" si="5"/>
        <v>1006</v>
      </c>
      <c r="D540" s="86" t="s">
        <v>896</v>
      </c>
      <c r="E540" s="189" t="s">
        <v>2400</v>
      </c>
      <c r="F540" s="32">
        <v>1</v>
      </c>
    </row>
    <row r="541" spans="1:6">
      <c r="A541" s="69">
        <v>534</v>
      </c>
      <c r="B541" s="69">
        <v>34</v>
      </c>
      <c r="C541" s="69">
        <f t="shared" si="5"/>
        <v>1006</v>
      </c>
      <c r="D541" s="86" t="s">
        <v>896</v>
      </c>
      <c r="E541" s="189" t="s">
        <v>2401</v>
      </c>
      <c r="F541" s="32">
        <v>1</v>
      </c>
    </row>
    <row r="542" spans="1:6">
      <c r="A542" s="69">
        <v>535</v>
      </c>
      <c r="B542" s="69">
        <v>35</v>
      </c>
      <c r="C542" s="69">
        <f t="shared" si="5"/>
        <v>1006</v>
      </c>
      <c r="D542" s="86" t="s">
        <v>896</v>
      </c>
      <c r="E542" s="189" t="s">
        <v>2402</v>
      </c>
      <c r="F542" s="32">
        <v>1</v>
      </c>
    </row>
    <row r="543" spans="1:6">
      <c r="A543" s="69">
        <v>536</v>
      </c>
      <c r="B543" s="69">
        <v>36</v>
      </c>
      <c r="C543" s="69">
        <f t="shared" si="5"/>
        <v>1006</v>
      </c>
      <c r="D543" s="86" t="s">
        <v>896</v>
      </c>
      <c r="E543" s="189" t="s">
        <v>2403</v>
      </c>
      <c r="F543" s="32">
        <v>1</v>
      </c>
    </row>
    <row r="544" spans="1:6">
      <c r="A544" s="69">
        <v>537</v>
      </c>
      <c r="B544" s="69">
        <v>37</v>
      </c>
      <c r="C544" s="69">
        <f t="shared" si="5"/>
        <v>1006</v>
      </c>
      <c r="D544" s="86" t="s">
        <v>896</v>
      </c>
      <c r="E544" s="189" t="s">
        <v>2404</v>
      </c>
      <c r="F544" s="32">
        <v>1</v>
      </c>
    </row>
    <row r="545" spans="1:6">
      <c r="A545" s="69">
        <v>538</v>
      </c>
      <c r="B545" s="69">
        <v>38</v>
      </c>
      <c r="C545" s="69">
        <f t="shared" si="5"/>
        <v>1006</v>
      </c>
      <c r="D545" s="86" t="s">
        <v>896</v>
      </c>
      <c r="E545" s="189" t="s">
        <v>2405</v>
      </c>
      <c r="F545" s="32">
        <v>1</v>
      </c>
    </row>
    <row r="546" spans="1:6">
      <c r="A546" s="69">
        <v>539</v>
      </c>
      <c r="B546" s="69">
        <v>39</v>
      </c>
      <c r="C546" s="69">
        <f t="shared" si="5"/>
        <v>1006</v>
      </c>
      <c r="D546" s="86" t="s">
        <v>896</v>
      </c>
      <c r="E546" s="189" t="s">
        <v>2406</v>
      </c>
      <c r="F546" s="32">
        <v>1</v>
      </c>
    </row>
    <row r="547" spans="1:6">
      <c r="A547" s="69">
        <v>540</v>
      </c>
      <c r="B547" s="69">
        <v>40</v>
      </c>
      <c r="C547" s="69">
        <f t="shared" si="5"/>
        <v>1006</v>
      </c>
      <c r="D547" s="87" t="s">
        <v>897</v>
      </c>
      <c r="E547" s="190" t="s">
        <v>2407</v>
      </c>
      <c r="F547" s="92">
        <v>2</v>
      </c>
    </row>
    <row r="548" spans="1:6">
      <c r="A548" s="69">
        <v>541</v>
      </c>
      <c r="B548" s="69">
        <v>41</v>
      </c>
      <c r="C548" s="69">
        <f t="shared" si="5"/>
        <v>1006</v>
      </c>
      <c r="D548" s="86" t="s">
        <v>898</v>
      </c>
      <c r="E548" s="189" t="s">
        <v>2408</v>
      </c>
      <c r="F548" s="32">
        <v>1</v>
      </c>
    </row>
    <row r="549" spans="1:6">
      <c r="A549" s="69">
        <v>542</v>
      </c>
      <c r="B549" s="69">
        <v>42</v>
      </c>
      <c r="C549" s="69">
        <f t="shared" si="5"/>
        <v>1006</v>
      </c>
      <c r="D549" s="86" t="s">
        <v>898</v>
      </c>
      <c r="E549" s="189" t="s">
        <v>2409</v>
      </c>
      <c r="F549" s="32">
        <v>1</v>
      </c>
    </row>
    <row r="550" spans="1:6">
      <c r="A550" s="69">
        <v>543</v>
      </c>
      <c r="B550" s="69">
        <v>43</v>
      </c>
      <c r="C550" s="69">
        <f t="shared" si="5"/>
        <v>1006</v>
      </c>
      <c r="D550" s="86" t="s">
        <v>898</v>
      </c>
      <c r="E550" s="189" t="s">
        <v>2410</v>
      </c>
      <c r="F550" s="32">
        <v>1</v>
      </c>
    </row>
    <row r="551" spans="1:6">
      <c r="A551" s="69">
        <v>544</v>
      </c>
      <c r="B551" s="69">
        <v>44</v>
      </c>
      <c r="C551" s="69">
        <f t="shared" si="5"/>
        <v>1006</v>
      </c>
      <c r="D551" s="86" t="s">
        <v>898</v>
      </c>
      <c r="E551" s="189" t="s">
        <v>2411</v>
      </c>
      <c r="F551" s="32">
        <v>1</v>
      </c>
    </row>
    <row r="552" spans="1:6">
      <c r="A552" s="69">
        <v>545</v>
      </c>
      <c r="B552" s="69">
        <v>45</v>
      </c>
      <c r="C552" s="69">
        <f t="shared" si="5"/>
        <v>1006</v>
      </c>
      <c r="D552" s="86" t="s">
        <v>898</v>
      </c>
      <c r="E552" s="189" t="s">
        <v>2412</v>
      </c>
      <c r="F552" s="32">
        <v>1</v>
      </c>
    </row>
    <row r="553" spans="1:6">
      <c r="A553" s="69">
        <v>546</v>
      </c>
      <c r="B553" s="69">
        <v>46</v>
      </c>
      <c r="C553" s="69">
        <f t="shared" si="5"/>
        <v>1006</v>
      </c>
      <c r="D553" s="86" t="s">
        <v>898</v>
      </c>
      <c r="E553" s="189" t="s">
        <v>2413</v>
      </c>
      <c r="F553" s="32">
        <v>1</v>
      </c>
    </row>
    <row r="554" spans="1:6">
      <c r="A554" s="69">
        <v>547</v>
      </c>
      <c r="B554" s="69">
        <v>47</v>
      </c>
      <c r="C554" s="69">
        <f t="shared" si="5"/>
        <v>1006</v>
      </c>
      <c r="D554" s="86" t="s">
        <v>898</v>
      </c>
      <c r="E554" s="189" t="s">
        <v>2414</v>
      </c>
      <c r="F554" s="32">
        <v>1</v>
      </c>
    </row>
    <row r="555" spans="1:6">
      <c r="A555" s="69">
        <v>548</v>
      </c>
      <c r="B555" s="69">
        <v>48</v>
      </c>
      <c r="C555" s="69">
        <f t="shared" si="5"/>
        <v>1006</v>
      </c>
      <c r="D555" s="86" t="s">
        <v>898</v>
      </c>
      <c r="E555" s="189" t="s">
        <v>2415</v>
      </c>
      <c r="F555" s="32">
        <v>1</v>
      </c>
    </row>
    <row r="556" spans="1:6">
      <c r="A556" s="69">
        <v>549</v>
      </c>
      <c r="B556" s="69">
        <v>49</v>
      </c>
      <c r="C556" s="69">
        <f t="shared" si="5"/>
        <v>1006</v>
      </c>
      <c r="D556" s="86" t="s">
        <v>898</v>
      </c>
      <c r="E556" s="189" t="s">
        <v>2416</v>
      </c>
      <c r="F556" s="32">
        <v>1</v>
      </c>
    </row>
    <row r="557" spans="1:6">
      <c r="A557" s="69">
        <v>550</v>
      </c>
      <c r="B557" s="69">
        <v>50</v>
      </c>
      <c r="C557" s="69">
        <f t="shared" si="5"/>
        <v>1006</v>
      </c>
      <c r="D557" s="86" t="s">
        <v>898</v>
      </c>
      <c r="E557" s="189" t="s">
        <v>2417</v>
      </c>
      <c r="F557" s="32">
        <v>1</v>
      </c>
    </row>
    <row r="558" spans="1:6">
      <c r="A558" s="69">
        <v>551</v>
      </c>
      <c r="B558" s="69">
        <v>51</v>
      </c>
      <c r="C558" s="69">
        <f t="shared" si="5"/>
        <v>1006</v>
      </c>
      <c r="D558" s="86" t="s">
        <v>898</v>
      </c>
      <c r="E558" s="189" t="s">
        <v>2418</v>
      </c>
      <c r="F558" s="32">
        <v>1</v>
      </c>
    </row>
    <row r="559" spans="1:6">
      <c r="A559" s="69">
        <v>552</v>
      </c>
      <c r="B559" s="69">
        <v>52</v>
      </c>
      <c r="C559" s="69">
        <f t="shared" si="5"/>
        <v>1006</v>
      </c>
      <c r="D559" s="86" t="s">
        <v>898</v>
      </c>
      <c r="E559" s="189" t="s">
        <v>2419</v>
      </c>
      <c r="F559" s="32">
        <v>1</v>
      </c>
    </row>
    <row r="560" spans="1:6">
      <c r="A560" s="69">
        <v>553</v>
      </c>
      <c r="B560" s="69">
        <v>53</v>
      </c>
      <c r="C560" s="69">
        <f t="shared" si="5"/>
        <v>1006</v>
      </c>
      <c r="D560" s="86" t="s">
        <v>898</v>
      </c>
      <c r="E560" s="189" t="s">
        <v>2420</v>
      </c>
      <c r="F560" s="32">
        <v>1</v>
      </c>
    </row>
    <row r="561" spans="1:6">
      <c r="A561" s="69">
        <v>554</v>
      </c>
      <c r="B561" s="69">
        <v>54</v>
      </c>
      <c r="C561" s="69">
        <f t="shared" si="5"/>
        <v>1006</v>
      </c>
      <c r="D561" s="86" t="s">
        <v>898</v>
      </c>
      <c r="E561" s="189" t="s">
        <v>2421</v>
      </c>
      <c r="F561" s="32">
        <v>1</v>
      </c>
    </row>
    <row r="562" spans="1:6">
      <c r="A562" s="69">
        <v>555</v>
      </c>
      <c r="B562" s="69">
        <v>55</v>
      </c>
      <c r="C562" s="69">
        <f t="shared" si="5"/>
        <v>1006</v>
      </c>
      <c r="D562" s="86" t="s">
        <v>898</v>
      </c>
      <c r="E562" s="189" t="s">
        <v>2422</v>
      </c>
      <c r="F562" s="32">
        <v>1</v>
      </c>
    </row>
    <row r="563" spans="1:6">
      <c r="A563" s="69">
        <v>556</v>
      </c>
      <c r="B563" s="69">
        <v>56</v>
      </c>
      <c r="C563" s="69">
        <f t="shared" si="5"/>
        <v>1006</v>
      </c>
      <c r="D563" s="86" t="s">
        <v>898</v>
      </c>
      <c r="E563" s="189" t="s">
        <v>2423</v>
      </c>
      <c r="F563" s="32">
        <v>1</v>
      </c>
    </row>
    <row r="564" spans="1:6">
      <c r="A564" s="69">
        <v>557</v>
      </c>
      <c r="B564" s="69">
        <v>57</v>
      </c>
      <c r="C564" s="69">
        <f t="shared" si="5"/>
        <v>1006</v>
      </c>
      <c r="D564" s="86" t="s">
        <v>898</v>
      </c>
      <c r="E564" s="189" t="s">
        <v>2424</v>
      </c>
      <c r="F564" s="32">
        <v>1</v>
      </c>
    </row>
    <row r="565" spans="1:6">
      <c r="A565" s="69">
        <v>558</v>
      </c>
      <c r="B565" s="69">
        <v>58</v>
      </c>
      <c r="C565" s="69">
        <f t="shared" si="5"/>
        <v>1006</v>
      </c>
      <c r="D565" s="86" t="s">
        <v>898</v>
      </c>
      <c r="E565" s="189" t="s">
        <v>2425</v>
      </c>
      <c r="F565" s="32">
        <v>1</v>
      </c>
    </row>
    <row r="566" spans="1:6">
      <c r="A566" s="69">
        <v>559</v>
      </c>
      <c r="B566" s="69">
        <v>59</v>
      </c>
      <c r="C566" s="69">
        <f t="shared" si="5"/>
        <v>1006</v>
      </c>
      <c r="D566" s="86" t="s">
        <v>898</v>
      </c>
      <c r="E566" s="189" t="s">
        <v>2426</v>
      </c>
      <c r="F566" s="32">
        <v>1</v>
      </c>
    </row>
    <row r="567" spans="1:6">
      <c r="A567" s="69">
        <v>560</v>
      </c>
      <c r="B567" s="69">
        <v>60</v>
      </c>
      <c r="C567" s="69">
        <f t="shared" si="5"/>
        <v>1006</v>
      </c>
      <c r="D567" s="87" t="s">
        <v>899</v>
      </c>
      <c r="E567" s="190" t="s">
        <v>2427</v>
      </c>
      <c r="F567" s="92">
        <v>2</v>
      </c>
    </row>
    <row r="568" spans="1:6">
      <c r="A568" s="69">
        <v>561</v>
      </c>
      <c r="B568" s="69">
        <v>61</v>
      </c>
      <c r="C568" s="69">
        <f t="shared" si="5"/>
        <v>1006</v>
      </c>
      <c r="D568" s="86" t="s">
        <v>900</v>
      </c>
      <c r="E568" s="189" t="s">
        <v>2428</v>
      </c>
      <c r="F568" s="32">
        <v>1</v>
      </c>
    </row>
    <row r="569" spans="1:6">
      <c r="A569" s="69">
        <v>562</v>
      </c>
      <c r="B569" s="69">
        <v>62</v>
      </c>
      <c r="C569" s="69">
        <f t="shared" si="5"/>
        <v>1006</v>
      </c>
      <c r="D569" s="86" t="s">
        <v>900</v>
      </c>
      <c r="E569" s="189" t="s">
        <v>2429</v>
      </c>
      <c r="F569" s="32">
        <v>1</v>
      </c>
    </row>
    <row r="570" spans="1:6">
      <c r="A570" s="69">
        <v>563</v>
      </c>
      <c r="B570" s="69">
        <v>63</v>
      </c>
      <c r="C570" s="69">
        <f t="shared" si="5"/>
        <v>1006</v>
      </c>
      <c r="D570" s="86" t="s">
        <v>900</v>
      </c>
      <c r="E570" s="189" t="s">
        <v>2430</v>
      </c>
      <c r="F570" s="32">
        <v>1</v>
      </c>
    </row>
    <row r="571" spans="1:6">
      <c r="A571" s="69">
        <v>564</v>
      </c>
      <c r="B571" s="69">
        <v>64</v>
      </c>
      <c r="C571" s="69">
        <f t="shared" si="5"/>
        <v>1006</v>
      </c>
      <c r="D571" s="86" t="s">
        <v>900</v>
      </c>
      <c r="E571" s="189" t="s">
        <v>2431</v>
      </c>
      <c r="F571" s="32">
        <v>1</v>
      </c>
    </row>
    <row r="572" spans="1:6">
      <c r="A572" s="69">
        <v>565</v>
      </c>
      <c r="B572" s="69">
        <v>65</v>
      </c>
      <c r="C572" s="69">
        <f t="shared" si="5"/>
        <v>1006</v>
      </c>
      <c r="D572" s="86" t="s">
        <v>900</v>
      </c>
      <c r="E572" s="189" t="s">
        <v>2432</v>
      </c>
      <c r="F572" s="32">
        <v>1</v>
      </c>
    </row>
    <row r="573" spans="1:6">
      <c r="A573" s="69">
        <v>566</v>
      </c>
      <c r="B573" s="69">
        <v>66</v>
      </c>
      <c r="C573" s="69">
        <f t="shared" si="5"/>
        <v>1006</v>
      </c>
      <c r="D573" s="86" t="s">
        <v>900</v>
      </c>
      <c r="E573" s="189" t="s">
        <v>2433</v>
      </c>
      <c r="F573" s="32">
        <v>1</v>
      </c>
    </row>
    <row r="574" spans="1:6">
      <c r="A574" s="69">
        <v>567</v>
      </c>
      <c r="B574" s="69">
        <v>67</v>
      </c>
      <c r="C574" s="69">
        <f t="shared" si="5"/>
        <v>1006</v>
      </c>
      <c r="D574" s="86" t="s">
        <v>900</v>
      </c>
      <c r="E574" s="189" t="s">
        <v>2434</v>
      </c>
      <c r="F574" s="32">
        <v>1</v>
      </c>
    </row>
    <row r="575" spans="1:6">
      <c r="A575" s="69">
        <v>568</v>
      </c>
      <c r="B575" s="69">
        <v>68</v>
      </c>
      <c r="C575" s="69">
        <f t="shared" si="5"/>
        <v>1006</v>
      </c>
      <c r="D575" s="86" t="s">
        <v>900</v>
      </c>
      <c r="E575" s="189" t="s">
        <v>2435</v>
      </c>
      <c r="F575" s="32">
        <v>1</v>
      </c>
    </row>
    <row r="576" spans="1:6">
      <c r="A576" s="69">
        <v>569</v>
      </c>
      <c r="B576" s="69">
        <v>69</v>
      </c>
      <c r="C576" s="69">
        <f t="shared" si="5"/>
        <v>1006</v>
      </c>
      <c r="D576" s="86" t="s">
        <v>900</v>
      </c>
      <c r="E576" s="189" t="s">
        <v>2436</v>
      </c>
      <c r="F576" s="32">
        <v>1</v>
      </c>
    </row>
    <row r="577" spans="1:6">
      <c r="A577" s="69">
        <v>570</v>
      </c>
      <c r="B577" s="69">
        <v>70</v>
      </c>
      <c r="C577" s="69">
        <f t="shared" si="5"/>
        <v>1006</v>
      </c>
      <c r="D577" s="86" t="s">
        <v>900</v>
      </c>
      <c r="E577" s="189" t="s">
        <v>2437</v>
      </c>
      <c r="F577" s="32">
        <v>1</v>
      </c>
    </row>
    <row r="578" spans="1:6">
      <c r="A578" s="69">
        <v>571</v>
      </c>
      <c r="B578" s="69">
        <v>71</v>
      </c>
      <c r="C578" s="69">
        <f t="shared" si="5"/>
        <v>1006</v>
      </c>
      <c r="D578" s="86" t="s">
        <v>900</v>
      </c>
      <c r="E578" s="189" t="s">
        <v>2438</v>
      </c>
      <c r="F578" s="32">
        <v>1</v>
      </c>
    </row>
    <row r="579" spans="1:6">
      <c r="A579" s="69">
        <v>572</v>
      </c>
      <c r="B579" s="69">
        <v>72</v>
      </c>
      <c r="C579" s="69">
        <f t="shared" si="5"/>
        <v>1006</v>
      </c>
      <c r="D579" s="86" t="s">
        <v>900</v>
      </c>
      <c r="E579" s="189" t="s">
        <v>2439</v>
      </c>
      <c r="F579" s="32">
        <v>1</v>
      </c>
    </row>
    <row r="580" spans="1:6">
      <c r="A580" s="69">
        <v>573</v>
      </c>
      <c r="B580" s="69">
        <v>73</v>
      </c>
      <c r="C580" s="69">
        <f t="shared" si="5"/>
        <v>1006</v>
      </c>
      <c r="D580" s="86" t="s">
        <v>900</v>
      </c>
      <c r="E580" s="189" t="s">
        <v>2440</v>
      </c>
      <c r="F580" s="32">
        <v>1</v>
      </c>
    </row>
    <row r="581" spans="1:6">
      <c r="A581" s="69">
        <v>574</v>
      </c>
      <c r="B581" s="69">
        <v>74</v>
      </c>
      <c r="C581" s="69">
        <f t="shared" si="5"/>
        <v>1006</v>
      </c>
      <c r="D581" s="86" t="s">
        <v>900</v>
      </c>
      <c r="E581" s="189" t="s">
        <v>2441</v>
      </c>
      <c r="F581" s="32">
        <v>1</v>
      </c>
    </row>
    <row r="582" spans="1:6">
      <c r="A582" s="69">
        <v>575</v>
      </c>
      <c r="B582" s="69">
        <v>75</v>
      </c>
      <c r="C582" s="69">
        <f t="shared" si="5"/>
        <v>1006</v>
      </c>
      <c r="D582" s="86" t="s">
        <v>900</v>
      </c>
      <c r="E582" s="189" t="s">
        <v>2442</v>
      </c>
      <c r="F582" s="32">
        <v>1</v>
      </c>
    </row>
    <row r="583" spans="1:6">
      <c r="A583" s="69">
        <v>576</v>
      </c>
      <c r="B583" s="69">
        <v>76</v>
      </c>
      <c r="C583" s="69">
        <f t="shared" si="5"/>
        <v>1006</v>
      </c>
      <c r="D583" s="86" t="s">
        <v>900</v>
      </c>
      <c r="E583" s="189" t="s">
        <v>2443</v>
      </c>
      <c r="F583" s="32">
        <v>1</v>
      </c>
    </row>
    <row r="584" spans="1:6">
      <c r="A584" s="69">
        <v>577</v>
      </c>
      <c r="B584" s="69">
        <v>77</v>
      </c>
      <c r="C584" s="69">
        <f t="shared" si="5"/>
        <v>1006</v>
      </c>
      <c r="D584" s="86" t="s">
        <v>900</v>
      </c>
      <c r="E584" s="189" t="s">
        <v>2444</v>
      </c>
      <c r="F584" s="32">
        <v>1</v>
      </c>
    </row>
    <row r="585" spans="1:6">
      <c r="A585" s="69">
        <v>578</v>
      </c>
      <c r="B585" s="69">
        <v>78</v>
      </c>
      <c r="C585" s="69">
        <f t="shared" si="5"/>
        <v>1006</v>
      </c>
      <c r="D585" s="86" t="s">
        <v>900</v>
      </c>
      <c r="E585" s="189" t="s">
        <v>2445</v>
      </c>
      <c r="F585" s="32">
        <v>1</v>
      </c>
    </row>
    <row r="586" spans="1:6">
      <c r="A586" s="69">
        <v>579</v>
      </c>
      <c r="B586" s="69">
        <v>79</v>
      </c>
      <c r="C586" s="69">
        <f t="shared" si="5"/>
        <v>1006</v>
      </c>
      <c r="D586" s="86" t="s">
        <v>900</v>
      </c>
      <c r="E586" s="189" t="s">
        <v>2446</v>
      </c>
      <c r="F586" s="32">
        <v>1</v>
      </c>
    </row>
    <row r="587" spans="1:6">
      <c r="A587" s="69">
        <v>580</v>
      </c>
      <c r="B587" s="69">
        <v>80</v>
      </c>
      <c r="C587" s="69">
        <f t="shared" si="5"/>
        <v>1006</v>
      </c>
      <c r="D587" s="87" t="s">
        <v>901</v>
      </c>
      <c r="E587" s="190" t="s">
        <v>2447</v>
      </c>
      <c r="F587" s="92">
        <v>2</v>
      </c>
    </row>
    <row r="588" spans="1:6">
      <c r="A588" s="69">
        <v>581</v>
      </c>
      <c r="B588" s="69">
        <v>81</v>
      </c>
      <c r="C588" s="69">
        <f t="shared" si="5"/>
        <v>1006</v>
      </c>
      <c r="D588" s="86" t="s">
        <v>902</v>
      </c>
      <c r="E588" s="189" t="s">
        <v>2448</v>
      </c>
      <c r="F588" s="32">
        <v>1</v>
      </c>
    </row>
    <row r="589" spans="1:6">
      <c r="A589" s="69">
        <v>582</v>
      </c>
      <c r="B589" s="69">
        <v>82</v>
      </c>
      <c r="C589" s="69">
        <f t="shared" si="5"/>
        <v>1006</v>
      </c>
      <c r="D589" s="86" t="s">
        <v>902</v>
      </c>
      <c r="E589" s="189" t="s">
        <v>2449</v>
      </c>
      <c r="F589" s="32">
        <v>1</v>
      </c>
    </row>
    <row r="590" spans="1:6">
      <c r="A590" s="69">
        <v>583</v>
      </c>
      <c r="B590" s="69">
        <v>83</v>
      </c>
      <c r="C590" s="69">
        <f t="shared" si="5"/>
        <v>1006</v>
      </c>
      <c r="D590" s="86" t="s">
        <v>902</v>
      </c>
      <c r="E590" s="189" t="s">
        <v>2450</v>
      </c>
      <c r="F590" s="32">
        <v>1</v>
      </c>
    </row>
    <row r="591" spans="1:6">
      <c r="A591" s="69">
        <v>584</v>
      </c>
      <c r="B591" s="69">
        <v>84</v>
      </c>
      <c r="C591" s="69">
        <f t="shared" si="5"/>
        <v>1006</v>
      </c>
      <c r="D591" s="86" t="s">
        <v>902</v>
      </c>
      <c r="E591" s="189" t="s">
        <v>2451</v>
      </c>
      <c r="F591" s="32">
        <v>1</v>
      </c>
    </row>
    <row r="592" spans="1:6">
      <c r="A592" s="69">
        <v>585</v>
      </c>
      <c r="B592" s="69">
        <v>85</v>
      </c>
      <c r="C592" s="69">
        <f t="shared" si="5"/>
        <v>1006</v>
      </c>
      <c r="D592" s="86" t="s">
        <v>902</v>
      </c>
      <c r="E592" s="189" t="s">
        <v>2452</v>
      </c>
      <c r="F592" s="32">
        <v>1</v>
      </c>
    </row>
    <row r="593" spans="1:6">
      <c r="A593" s="69">
        <v>586</v>
      </c>
      <c r="B593" s="69">
        <v>86</v>
      </c>
      <c r="C593" s="69">
        <f t="shared" si="5"/>
        <v>1006</v>
      </c>
      <c r="D593" s="86" t="s">
        <v>902</v>
      </c>
      <c r="E593" s="189" t="s">
        <v>2453</v>
      </c>
      <c r="F593" s="32">
        <v>1</v>
      </c>
    </row>
    <row r="594" spans="1:6">
      <c r="A594" s="69">
        <v>587</v>
      </c>
      <c r="B594" s="69">
        <v>87</v>
      </c>
      <c r="C594" s="69">
        <f t="shared" si="5"/>
        <v>1006</v>
      </c>
      <c r="D594" s="86" t="s">
        <v>902</v>
      </c>
      <c r="E594" s="189" t="s">
        <v>2454</v>
      </c>
      <c r="F594" s="32">
        <v>1</v>
      </c>
    </row>
    <row r="595" spans="1:6">
      <c r="A595" s="69">
        <v>588</v>
      </c>
      <c r="B595" s="69">
        <v>88</v>
      </c>
      <c r="C595" s="69">
        <f t="shared" si="5"/>
        <v>1006</v>
      </c>
      <c r="D595" s="86" t="s">
        <v>902</v>
      </c>
      <c r="E595" s="189" t="s">
        <v>2455</v>
      </c>
      <c r="F595" s="32">
        <v>1</v>
      </c>
    </row>
    <row r="596" spans="1:6">
      <c r="A596" s="69">
        <v>589</v>
      </c>
      <c r="B596" s="69">
        <v>89</v>
      </c>
      <c r="C596" s="69">
        <f t="shared" si="5"/>
        <v>1006</v>
      </c>
      <c r="D596" s="86" t="s">
        <v>902</v>
      </c>
      <c r="E596" s="189" t="s">
        <v>2456</v>
      </c>
      <c r="F596" s="32">
        <v>1</v>
      </c>
    </row>
    <row r="597" spans="1:6">
      <c r="A597" s="69">
        <v>590</v>
      </c>
      <c r="B597" s="69">
        <v>90</v>
      </c>
      <c r="C597" s="69">
        <f t="shared" ref="C597:C660" si="6">C497+1</f>
        <v>1006</v>
      </c>
      <c r="D597" s="86" t="s">
        <v>902</v>
      </c>
      <c r="E597" s="189" t="s">
        <v>2457</v>
      </c>
      <c r="F597" s="32">
        <v>1</v>
      </c>
    </row>
    <row r="598" spans="1:6">
      <c r="A598" s="69">
        <v>591</v>
      </c>
      <c r="B598" s="69">
        <v>91</v>
      </c>
      <c r="C598" s="69">
        <f t="shared" si="6"/>
        <v>1006</v>
      </c>
      <c r="D598" s="86" t="s">
        <v>902</v>
      </c>
      <c r="E598" s="189" t="s">
        <v>2458</v>
      </c>
      <c r="F598" s="32">
        <v>1</v>
      </c>
    </row>
    <row r="599" spans="1:6">
      <c r="A599" s="69">
        <v>592</v>
      </c>
      <c r="B599" s="69">
        <v>92</v>
      </c>
      <c r="C599" s="69">
        <f t="shared" si="6"/>
        <v>1006</v>
      </c>
      <c r="D599" s="86" t="s">
        <v>902</v>
      </c>
      <c r="E599" s="189" t="s">
        <v>2459</v>
      </c>
      <c r="F599" s="32">
        <v>1</v>
      </c>
    </row>
    <row r="600" spans="1:6">
      <c r="A600" s="69">
        <v>593</v>
      </c>
      <c r="B600" s="69">
        <v>93</v>
      </c>
      <c r="C600" s="69">
        <f t="shared" si="6"/>
        <v>1006</v>
      </c>
      <c r="D600" s="86" t="s">
        <v>902</v>
      </c>
      <c r="E600" s="189" t="s">
        <v>2460</v>
      </c>
      <c r="F600" s="32">
        <v>1</v>
      </c>
    </row>
    <row r="601" spans="1:6">
      <c r="A601" s="69">
        <v>594</v>
      </c>
      <c r="B601" s="69">
        <v>94</v>
      </c>
      <c r="C601" s="69">
        <f t="shared" si="6"/>
        <v>1006</v>
      </c>
      <c r="D601" s="86" t="s">
        <v>902</v>
      </c>
      <c r="E601" s="189" t="s">
        <v>2461</v>
      </c>
      <c r="F601" s="32">
        <v>1</v>
      </c>
    </row>
    <row r="602" spans="1:6">
      <c r="A602" s="69">
        <v>595</v>
      </c>
      <c r="B602" s="69">
        <v>95</v>
      </c>
      <c r="C602" s="69">
        <f t="shared" si="6"/>
        <v>1006</v>
      </c>
      <c r="D602" s="86" t="s">
        <v>902</v>
      </c>
      <c r="E602" s="189" t="s">
        <v>2462</v>
      </c>
      <c r="F602" s="32">
        <v>1</v>
      </c>
    </row>
    <row r="603" spans="1:6">
      <c r="A603" s="69">
        <v>596</v>
      </c>
      <c r="B603" s="69">
        <v>96</v>
      </c>
      <c r="C603" s="69">
        <f t="shared" si="6"/>
        <v>1006</v>
      </c>
      <c r="D603" s="86" t="s">
        <v>902</v>
      </c>
      <c r="E603" s="189" t="s">
        <v>2463</v>
      </c>
      <c r="F603" s="32">
        <v>1</v>
      </c>
    </row>
    <row r="604" spans="1:6">
      <c r="A604" s="69">
        <v>597</v>
      </c>
      <c r="B604" s="69">
        <v>97</v>
      </c>
      <c r="C604" s="69">
        <f t="shared" si="6"/>
        <v>1006</v>
      </c>
      <c r="D604" s="86" t="s">
        <v>902</v>
      </c>
      <c r="E604" s="189" t="s">
        <v>2464</v>
      </c>
      <c r="F604" s="32">
        <v>1</v>
      </c>
    </row>
    <row r="605" spans="1:6">
      <c r="A605" s="69">
        <v>598</v>
      </c>
      <c r="B605" s="69">
        <v>98</v>
      </c>
      <c r="C605" s="69">
        <f t="shared" si="6"/>
        <v>1006</v>
      </c>
      <c r="D605" s="86" t="s">
        <v>902</v>
      </c>
      <c r="E605" s="189" t="s">
        <v>2465</v>
      </c>
      <c r="F605" s="32">
        <v>1</v>
      </c>
    </row>
    <row r="606" spans="1:6">
      <c r="A606" s="69">
        <v>599</v>
      </c>
      <c r="B606" s="69">
        <v>99</v>
      </c>
      <c r="C606" s="69">
        <f t="shared" si="6"/>
        <v>1006</v>
      </c>
      <c r="D606" s="86" t="s">
        <v>902</v>
      </c>
      <c r="E606" s="189" t="s">
        <v>2466</v>
      </c>
      <c r="F606" s="32">
        <v>1</v>
      </c>
    </row>
    <row r="607" spans="1:6">
      <c r="A607" s="69">
        <v>600</v>
      </c>
      <c r="B607" s="69">
        <v>100</v>
      </c>
      <c r="C607" s="69">
        <f t="shared" si="6"/>
        <v>1006</v>
      </c>
      <c r="D607" s="193" t="s">
        <v>902</v>
      </c>
      <c r="E607" s="189" t="s">
        <v>2467</v>
      </c>
      <c r="F607" s="191">
        <v>0</v>
      </c>
    </row>
    <row r="608" spans="1:6">
      <c r="A608" s="69">
        <v>601</v>
      </c>
      <c r="B608" s="69">
        <v>1</v>
      </c>
      <c r="C608" s="69">
        <f t="shared" si="6"/>
        <v>1007</v>
      </c>
      <c r="D608" s="86" t="s">
        <v>887</v>
      </c>
      <c r="E608" s="189" t="s">
        <v>2368</v>
      </c>
      <c r="F608" s="32">
        <v>1</v>
      </c>
    </row>
    <row r="609" spans="1:6">
      <c r="A609" s="69">
        <v>602</v>
      </c>
      <c r="B609" s="69">
        <v>2</v>
      </c>
      <c r="C609" s="69">
        <f t="shared" si="6"/>
        <v>1007</v>
      </c>
      <c r="D609" s="86" t="s">
        <v>888</v>
      </c>
      <c r="E609" s="189" t="s">
        <v>2369</v>
      </c>
      <c r="F609" s="32">
        <v>1</v>
      </c>
    </row>
    <row r="610" spans="1:6">
      <c r="A610" s="69">
        <v>603</v>
      </c>
      <c r="B610" s="69">
        <v>3</v>
      </c>
      <c r="C610" s="69">
        <f t="shared" si="6"/>
        <v>1007</v>
      </c>
      <c r="D610" s="86" t="s">
        <v>889</v>
      </c>
      <c r="E610" s="189" t="s">
        <v>2370</v>
      </c>
      <c r="F610" s="32">
        <v>1</v>
      </c>
    </row>
    <row r="611" spans="1:6">
      <c r="A611" s="69">
        <v>604</v>
      </c>
      <c r="B611" s="69">
        <v>4</v>
      </c>
      <c r="C611" s="69">
        <f t="shared" si="6"/>
        <v>1007</v>
      </c>
      <c r="D611" s="86" t="s">
        <v>890</v>
      </c>
      <c r="E611" s="189" t="s">
        <v>2371</v>
      </c>
      <c r="F611" s="32">
        <v>1</v>
      </c>
    </row>
    <row r="612" spans="1:6">
      <c r="A612" s="69">
        <v>605</v>
      </c>
      <c r="B612" s="69">
        <v>5</v>
      </c>
      <c r="C612" s="69">
        <f t="shared" si="6"/>
        <v>1007</v>
      </c>
      <c r="D612" s="86" t="s">
        <v>891</v>
      </c>
      <c r="E612" s="189" t="s">
        <v>2372</v>
      </c>
      <c r="F612" s="32">
        <v>1</v>
      </c>
    </row>
    <row r="613" spans="1:6">
      <c r="A613" s="69">
        <v>606</v>
      </c>
      <c r="B613" s="69">
        <v>6</v>
      </c>
      <c r="C613" s="69">
        <f t="shared" si="6"/>
        <v>1007</v>
      </c>
      <c r="D613" s="86" t="s">
        <v>892</v>
      </c>
      <c r="E613" s="189" t="s">
        <v>2373</v>
      </c>
      <c r="F613" s="32">
        <v>1</v>
      </c>
    </row>
    <row r="614" spans="1:6">
      <c r="A614" s="69">
        <v>607</v>
      </c>
      <c r="B614" s="69">
        <v>7</v>
      </c>
      <c r="C614" s="69">
        <f t="shared" si="6"/>
        <v>1007</v>
      </c>
      <c r="D614" s="86" t="s">
        <v>893</v>
      </c>
      <c r="E614" s="189" t="s">
        <v>2374</v>
      </c>
      <c r="F614" s="32">
        <v>1</v>
      </c>
    </row>
    <row r="615" spans="1:6">
      <c r="A615" s="69">
        <v>608</v>
      </c>
      <c r="B615" s="69">
        <v>8</v>
      </c>
      <c r="C615" s="69">
        <f t="shared" si="6"/>
        <v>1007</v>
      </c>
      <c r="D615" s="86" t="s">
        <v>894</v>
      </c>
      <c r="E615" s="189" t="s">
        <v>2375</v>
      </c>
      <c r="F615" s="32">
        <v>1</v>
      </c>
    </row>
    <row r="616" spans="1:6">
      <c r="A616" s="69">
        <v>609</v>
      </c>
      <c r="B616" s="69">
        <v>9</v>
      </c>
      <c r="C616" s="69">
        <f t="shared" si="6"/>
        <v>1007</v>
      </c>
      <c r="D616" s="86" t="s">
        <v>894</v>
      </c>
      <c r="E616" s="189" t="s">
        <v>2376</v>
      </c>
      <c r="F616" s="32">
        <v>1</v>
      </c>
    </row>
    <row r="617" spans="1:6">
      <c r="A617" s="69">
        <v>610</v>
      </c>
      <c r="B617" s="69">
        <v>10</v>
      </c>
      <c r="C617" s="69">
        <f t="shared" si="6"/>
        <v>1007</v>
      </c>
      <c r="D617" s="86" t="s">
        <v>894</v>
      </c>
      <c r="E617" s="189" t="s">
        <v>2377</v>
      </c>
      <c r="F617" s="32">
        <v>1</v>
      </c>
    </row>
    <row r="618" spans="1:6">
      <c r="A618" s="69">
        <v>611</v>
      </c>
      <c r="B618" s="69">
        <v>11</v>
      </c>
      <c r="C618" s="69">
        <f t="shared" si="6"/>
        <v>1007</v>
      </c>
      <c r="D618" s="86" t="s">
        <v>894</v>
      </c>
      <c r="E618" s="189" t="s">
        <v>2378</v>
      </c>
      <c r="F618" s="32">
        <v>1</v>
      </c>
    </row>
    <row r="619" spans="1:6">
      <c r="A619" s="69">
        <v>612</v>
      </c>
      <c r="B619" s="69">
        <v>12</v>
      </c>
      <c r="C619" s="69">
        <f t="shared" si="6"/>
        <v>1007</v>
      </c>
      <c r="D619" s="86" t="s">
        <v>894</v>
      </c>
      <c r="E619" s="189" t="s">
        <v>2379</v>
      </c>
      <c r="F619" s="32">
        <v>1</v>
      </c>
    </row>
    <row r="620" spans="1:6">
      <c r="A620" s="69">
        <v>613</v>
      </c>
      <c r="B620" s="69">
        <v>13</v>
      </c>
      <c r="C620" s="69">
        <f t="shared" si="6"/>
        <v>1007</v>
      </c>
      <c r="D620" s="86" t="s">
        <v>894</v>
      </c>
      <c r="E620" s="189" t="s">
        <v>2380</v>
      </c>
      <c r="F620" s="32">
        <v>1</v>
      </c>
    </row>
    <row r="621" spans="1:6">
      <c r="A621" s="69">
        <v>614</v>
      </c>
      <c r="B621" s="69">
        <v>14</v>
      </c>
      <c r="C621" s="69">
        <f t="shared" si="6"/>
        <v>1007</v>
      </c>
      <c r="D621" s="86" t="s">
        <v>894</v>
      </c>
      <c r="E621" s="189" t="s">
        <v>2381</v>
      </c>
      <c r="F621" s="32">
        <v>1</v>
      </c>
    </row>
    <row r="622" spans="1:6">
      <c r="A622" s="69">
        <v>615</v>
      </c>
      <c r="B622" s="69">
        <v>15</v>
      </c>
      <c r="C622" s="69">
        <f t="shared" si="6"/>
        <v>1007</v>
      </c>
      <c r="D622" s="86" t="s">
        <v>894</v>
      </c>
      <c r="E622" s="189" t="s">
        <v>2382</v>
      </c>
      <c r="F622" s="32">
        <v>1</v>
      </c>
    </row>
    <row r="623" spans="1:6">
      <c r="A623" s="69">
        <v>616</v>
      </c>
      <c r="B623" s="69">
        <v>16</v>
      </c>
      <c r="C623" s="69">
        <f t="shared" si="6"/>
        <v>1007</v>
      </c>
      <c r="D623" s="86" t="s">
        <v>894</v>
      </c>
      <c r="E623" s="189" t="s">
        <v>2383</v>
      </c>
      <c r="F623" s="32">
        <v>1</v>
      </c>
    </row>
    <row r="624" spans="1:6">
      <c r="A624" s="69">
        <v>617</v>
      </c>
      <c r="B624" s="69">
        <v>17</v>
      </c>
      <c r="C624" s="69">
        <f t="shared" si="6"/>
        <v>1007</v>
      </c>
      <c r="D624" s="86" t="s">
        <v>894</v>
      </c>
      <c r="E624" s="189" t="s">
        <v>2384</v>
      </c>
      <c r="F624" s="32">
        <v>1</v>
      </c>
    </row>
    <row r="625" spans="1:6">
      <c r="A625" s="69">
        <v>618</v>
      </c>
      <c r="B625" s="69">
        <v>18</v>
      </c>
      <c r="C625" s="69">
        <f t="shared" si="6"/>
        <v>1007</v>
      </c>
      <c r="D625" s="86" t="s">
        <v>894</v>
      </c>
      <c r="E625" s="189" t="s">
        <v>2385</v>
      </c>
      <c r="F625" s="32">
        <v>1</v>
      </c>
    </row>
    <row r="626" spans="1:6">
      <c r="A626" s="69">
        <v>619</v>
      </c>
      <c r="B626" s="69">
        <v>19</v>
      </c>
      <c r="C626" s="69">
        <f t="shared" si="6"/>
        <v>1007</v>
      </c>
      <c r="D626" s="86" t="s">
        <v>894</v>
      </c>
      <c r="E626" s="189" t="s">
        <v>2386</v>
      </c>
      <c r="F626" s="32">
        <v>1</v>
      </c>
    </row>
    <row r="627" spans="1:6">
      <c r="A627" s="69">
        <v>620</v>
      </c>
      <c r="B627" s="69">
        <v>20</v>
      </c>
      <c r="C627" s="69">
        <f t="shared" si="6"/>
        <v>1007</v>
      </c>
      <c r="D627" s="87" t="s">
        <v>895</v>
      </c>
      <c r="E627" s="190" t="s">
        <v>2387</v>
      </c>
      <c r="F627" s="92">
        <v>2</v>
      </c>
    </row>
    <row r="628" spans="1:6">
      <c r="A628" s="69">
        <v>621</v>
      </c>
      <c r="B628" s="69">
        <v>21</v>
      </c>
      <c r="C628" s="69">
        <f t="shared" si="6"/>
        <v>1007</v>
      </c>
      <c r="D628" s="86" t="s">
        <v>896</v>
      </c>
      <c r="E628" s="189" t="s">
        <v>2388</v>
      </c>
      <c r="F628" s="32">
        <v>1</v>
      </c>
    </row>
    <row r="629" spans="1:6">
      <c r="A629" s="69">
        <v>622</v>
      </c>
      <c r="B629" s="69">
        <v>22</v>
      </c>
      <c r="C629" s="69">
        <f t="shared" si="6"/>
        <v>1007</v>
      </c>
      <c r="D629" s="86" t="s">
        <v>896</v>
      </c>
      <c r="E629" s="189" t="s">
        <v>2389</v>
      </c>
      <c r="F629" s="32">
        <v>1</v>
      </c>
    </row>
    <row r="630" spans="1:6">
      <c r="A630" s="69">
        <v>623</v>
      </c>
      <c r="B630" s="69">
        <v>23</v>
      </c>
      <c r="C630" s="69">
        <f t="shared" si="6"/>
        <v>1007</v>
      </c>
      <c r="D630" s="86" t="s">
        <v>896</v>
      </c>
      <c r="E630" s="189" t="s">
        <v>2390</v>
      </c>
      <c r="F630" s="32">
        <v>1</v>
      </c>
    </row>
    <row r="631" spans="1:6">
      <c r="A631" s="69">
        <v>624</v>
      </c>
      <c r="B631" s="69">
        <v>24</v>
      </c>
      <c r="C631" s="69">
        <f t="shared" si="6"/>
        <v>1007</v>
      </c>
      <c r="D631" s="86" t="s">
        <v>896</v>
      </c>
      <c r="E631" s="189" t="s">
        <v>2391</v>
      </c>
      <c r="F631" s="32">
        <v>1</v>
      </c>
    </row>
    <row r="632" spans="1:6">
      <c r="A632" s="69">
        <v>625</v>
      </c>
      <c r="B632" s="69">
        <v>25</v>
      </c>
      <c r="C632" s="69">
        <f t="shared" si="6"/>
        <v>1007</v>
      </c>
      <c r="D632" s="86" t="s">
        <v>896</v>
      </c>
      <c r="E632" s="189" t="s">
        <v>2392</v>
      </c>
      <c r="F632" s="32">
        <v>1</v>
      </c>
    </row>
    <row r="633" spans="1:6">
      <c r="A633" s="69">
        <v>626</v>
      </c>
      <c r="B633" s="69">
        <v>26</v>
      </c>
      <c r="C633" s="69">
        <f t="shared" si="6"/>
        <v>1007</v>
      </c>
      <c r="D633" s="86" t="s">
        <v>896</v>
      </c>
      <c r="E633" s="189" t="s">
        <v>2393</v>
      </c>
      <c r="F633" s="32">
        <v>1</v>
      </c>
    </row>
    <row r="634" spans="1:6">
      <c r="A634" s="69">
        <v>627</v>
      </c>
      <c r="B634" s="69">
        <v>27</v>
      </c>
      <c r="C634" s="69">
        <f t="shared" si="6"/>
        <v>1007</v>
      </c>
      <c r="D634" s="86" t="s">
        <v>896</v>
      </c>
      <c r="E634" s="189" t="s">
        <v>2394</v>
      </c>
      <c r="F634" s="32">
        <v>1</v>
      </c>
    </row>
    <row r="635" spans="1:6">
      <c r="A635" s="69">
        <v>628</v>
      </c>
      <c r="B635" s="69">
        <v>28</v>
      </c>
      <c r="C635" s="69">
        <f t="shared" si="6"/>
        <v>1007</v>
      </c>
      <c r="D635" s="86" t="s">
        <v>896</v>
      </c>
      <c r="E635" s="189" t="s">
        <v>2395</v>
      </c>
      <c r="F635" s="32">
        <v>1</v>
      </c>
    </row>
    <row r="636" spans="1:6">
      <c r="A636" s="69">
        <v>629</v>
      </c>
      <c r="B636" s="69">
        <v>29</v>
      </c>
      <c r="C636" s="69">
        <f t="shared" si="6"/>
        <v>1007</v>
      </c>
      <c r="D636" s="86" t="s">
        <v>896</v>
      </c>
      <c r="E636" s="189" t="s">
        <v>2396</v>
      </c>
      <c r="F636" s="32">
        <v>1</v>
      </c>
    </row>
    <row r="637" spans="1:6">
      <c r="A637" s="69">
        <v>630</v>
      </c>
      <c r="B637" s="69">
        <v>30</v>
      </c>
      <c r="C637" s="69">
        <f t="shared" si="6"/>
        <v>1007</v>
      </c>
      <c r="D637" s="86" t="s">
        <v>896</v>
      </c>
      <c r="E637" s="189" t="s">
        <v>2397</v>
      </c>
      <c r="F637" s="32">
        <v>1</v>
      </c>
    </row>
    <row r="638" spans="1:6">
      <c r="A638" s="69">
        <v>631</v>
      </c>
      <c r="B638" s="69">
        <v>31</v>
      </c>
      <c r="C638" s="69">
        <f t="shared" si="6"/>
        <v>1007</v>
      </c>
      <c r="D638" s="86" t="s">
        <v>896</v>
      </c>
      <c r="E638" s="189" t="s">
        <v>2398</v>
      </c>
      <c r="F638" s="32">
        <v>1</v>
      </c>
    </row>
    <row r="639" spans="1:6">
      <c r="A639" s="69">
        <v>632</v>
      </c>
      <c r="B639" s="69">
        <v>32</v>
      </c>
      <c r="C639" s="69">
        <f t="shared" si="6"/>
        <v>1007</v>
      </c>
      <c r="D639" s="86" t="s">
        <v>896</v>
      </c>
      <c r="E639" s="189" t="s">
        <v>2399</v>
      </c>
      <c r="F639" s="32">
        <v>1</v>
      </c>
    </row>
    <row r="640" spans="1:6">
      <c r="A640" s="69">
        <v>633</v>
      </c>
      <c r="B640" s="69">
        <v>33</v>
      </c>
      <c r="C640" s="69">
        <f t="shared" si="6"/>
        <v>1007</v>
      </c>
      <c r="D640" s="86" t="s">
        <v>896</v>
      </c>
      <c r="E640" s="189" t="s">
        <v>2400</v>
      </c>
      <c r="F640" s="32">
        <v>1</v>
      </c>
    </row>
    <row r="641" spans="1:6">
      <c r="A641" s="69">
        <v>634</v>
      </c>
      <c r="B641" s="69">
        <v>34</v>
      </c>
      <c r="C641" s="69">
        <f t="shared" si="6"/>
        <v>1007</v>
      </c>
      <c r="D641" s="86" t="s">
        <v>896</v>
      </c>
      <c r="E641" s="189" t="s">
        <v>2401</v>
      </c>
      <c r="F641" s="32">
        <v>1</v>
      </c>
    </row>
    <row r="642" spans="1:6">
      <c r="A642" s="69">
        <v>635</v>
      </c>
      <c r="B642" s="69">
        <v>35</v>
      </c>
      <c r="C642" s="69">
        <f t="shared" si="6"/>
        <v>1007</v>
      </c>
      <c r="D642" s="86" t="s">
        <v>896</v>
      </c>
      <c r="E642" s="189" t="s">
        <v>2402</v>
      </c>
      <c r="F642" s="32">
        <v>1</v>
      </c>
    </row>
    <row r="643" spans="1:6">
      <c r="A643" s="69">
        <v>636</v>
      </c>
      <c r="B643" s="69">
        <v>36</v>
      </c>
      <c r="C643" s="69">
        <f t="shared" si="6"/>
        <v>1007</v>
      </c>
      <c r="D643" s="86" t="s">
        <v>896</v>
      </c>
      <c r="E643" s="189" t="s">
        <v>2403</v>
      </c>
      <c r="F643" s="32">
        <v>1</v>
      </c>
    </row>
    <row r="644" spans="1:6">
      <c r="A644" s="69">
        <v>637</v>
      </c>
      <c r="B644" s="69">
        <v>37</v>
      </c>
      <c r="C644" s="69">
        <f t="shared" si="6"/>
        <v>1007</v>
      </c>
      <c r="D644" s="86" t="s">
        <v>896</v>
      </c>
      <c r="E644" s="189" t="s">
        <v>2404</v>
      </c>
      <c r="F644" s="32">
        <v>1</v>
      </c>
    </row>
    <row r="645" spans="1:6">
      <c r="A645" s="69">
        <v>638</v>
      </c>
      <c r="B645" s="69">
        <v>38</v>
      </c>
      <c r="C645" s="69">
        <f t="shared" si="6"/>
        <v>1007</v>
      </c>
      <c r="D645" s="86" t="s">
        <v>896</v>
      </c>
      <c r="E645" s="189" t="s">
        <v>2405</v>
      </c>
      <c r="F645" s="32">
        <v>1</v>
      </c>
    </row>
    <row r="646" spans="1:6">
      <c r="A646" s="69">
        <v>639</v>
      </c>
      <c r="B646" s="69">
        <v>39</v>
      </c>
      <c r="C646" s="69">
        <f t="shared" si="6"/>
        <v>1007</v>
      </c>
      <c r="D646" s="86" t="s">
        <v>896</v>
      </c>
      <c r="E646" s="189" t="s">
        <v>2406</v>
      </c>
      <c r="F646" s="32">
        <v>1</v>
      </c>
    </row>
    <row r="647" spans="1:6">
      <c r="A647" s="69">
        <v>640</v>
      </c>
      <c r="B647" s="69">
        <v>40</v>
      </c>
      <c r="C647" s="69">
        <f t="shared" si="6"/>
        <v>1007</v>
      </c>
      <c r="D647" s="87" t="s">
        <v>897</v>
      </c>
      <c r="E647" s="190" t="s">
        <v>2407</v>
      </c>
      <c r="F647" s="92">
        <v>2</v>
      </c>
    </row>
    <row r="648" spans="1:6">
      <c r="A648" s="69">
        <v>641</v>
      </c>
      <c r="B648" s="69">
        <v>41</v>
      </c>
      <c r="C648" s="69">
        <f t="shared" si="6"/>
        <v>1007</v>
      </c>
      <c r="D648" s="86" t="s">
        <v>898</v>
      </c>
      <c r="E648" s="189" t="s">
        <v>2408</v>
      </c>
      <c r="F648" s="32">
        <v>1</v>
      </c>
    </row>
    <row r="649" spans="1:6">
      <c r="A649" s="69">
        <v>642</v>
      </c>
      <c r="B649" s="69">
        <v>42</v>
      </c>
      <c r="C649" s="69">
        <f t="shared" si="6"/>
        <v>1007</v>
      </c>
      <c r="D649" s="86" t="s">
        <v>898</v>
      </c>
      <c r="E649" s="189" t="s">
        <v>2409</v>
      </c>
      <c r="F649" s="32">
        <v>1</v>
      </c>
    </row>
    <row r="650" spans="1:6">
      <c r="A650" s="69">
        <v>643</v>
      </c>
      <c r="B650" s="69">
        <v>43</v>
      </c>
      <c r="C650" s="69">
        <f t="shared" si="6"/>
        <v>1007</v>
      </c>
      <c r="D650" s="86" t="s">
        <v>898</v>
      </c>
      <c r="E650" s="189" t="s">
        <v>2410</v>
      </c>
      <c r="F650" s="32">
        <v>1</v>
      </c>
    </row>
    <row r="651" spans="1:6">
      <c r="A651" s="69">
        <v>644</v>
      </c>
      <c r="B651" s="69">
        <v>44</v>
      </c>
      <c r="C651" s="69">
        <f t="shared" si="6"/>
        <v>1007</v>
      </c>
      <c r="D651" s="86" t="s">
        <v>898</v>
      </c>
      <c r="E651" s="189" t="s">
        <v>2411</v>
      </c>
      <c r="F651" s="32">
        <v>1</v>
      </c>
    </row>
    <row r="652" spans="1:6">
      <c r="A652" s="69">
        <v>645</v>
      </c>
      <c r="B652" s="69">
        <v>45</v>
      </c>
      <c r="C652" s="69">
        <f t="shared" si="6"/>
        <v>1007</v>
      </c>
      <c r="D652" s="86" t="s">
        <v>898</v>
      </c>
      <c r="E652" s="189" t="s">
        <v>2412</v>
      </c>
      <c r="F652" s="32">
        <v>1</v>
      </c>
    </row>
    <row r="653" spans="1:6">
      <c r="A653" s="69">
        <v>646</v>
      </c>
      <c r="B653" s="69">
        <v>46</v>
      </c>
      <c r="C653" s="69">
        <f t="shared" si="6"/>
        <v>1007</v>
      </c>
      <c r="D653" s="86" t="s">
        <v>898</v>
      </c>
      <c r="E653" s="189" t="s">
        <v>2413</v>
      </c>
      <c r="F653" s="32">
        <v>1</v>
      </c>
    </row>
    <row r="654" spans="1:6">
      <c r="A654" s="69">
        <v>647</v>
      </c>
      <c r="B654" s="69">
        <v>47</v>
      </c>
      <c r="C654" s="69">
        <f t="shared" si="6"/>
        <v>1007</v>
      </c>
      <c r="D654" s="86" t="s">
        <v>898</v>
      </c>
      <c r="E654" s="189" t="s">
        <v>2414</v>
      </c>
      <c r="F654" s="32">
        <v>1</v>
      </c>
    </row>
    <row r="655" spans="1:6">
      <c r="A655" s="69">
        <v>648</v>
      </c>
      <c r="B655" s="69">
        <v>48</v>
      </c>
      <c r="C655" s="69">
        <f t="shared" si="6"/>
        <v>1007</v>
      </c>
      <c r="D655" s="86" t="s">
        <v>898</v>
      </c>
      <c r="E655" s="189" t="s">
        <v>2415</v>
      </c>
      <c r="F655" s="32">
        <v>1</v>
      </c>
    </row>
    <row r="656" spans="1:6">
      <c r="A656" s="69">
        <v>649</v>
      </c>
      <c r="B656" s="69">
        <v>49</v>
      </c>
      <c r="C656" s="69">
        <f t="shared" si="6"/>
        <v>1007</v>
      </c>
      <c r="D656" s="86" t="s">
        <v>898</v>
      </c>
      <c r="E656" s="189" t="s">
        <v>2416</v>
      </c>
      <c r="F656" s="32">
        <v>1</v>
      </c>
    </row>
    <row r="657" spans="1:6">
      <c r="A657" s="69">
        <v>650</v>
      </c>
      <c r="B657" s="69">
        <v>50</v>
      </c>
      <c r="C657" s="69">
        <f t="shared" si="6"/>
        <v>1007</v>
      </c>
      <c r="D657" s="86" t="s">
        <v>898</v>
      </c>
      <c r="E657" s="189" t="s">
        <v>2417</v>
      </c>
      <c r="F657" s="32">
        <v>1</v>
      </c>
    </row>
    <row r="658" spans="1:6">
      <c r="A658" s="69">
        <v>651</v>
      </c>
      <c r="B658" s="69">
        <v>51</v>
      </c>
      <c r="C658" s="69">
        <f t="shared" si="6"/>
        <v>1007</v>
      </c>
      <c r="D658" s="86" t="s">
        <v>898</v>
      </c>
      <c r="E658" s="189" t="s">
        <v>2418</v>
      </c>
      <c r="F658" s="32">
        <v>1</v>
      </c>
    </row>
    <row r="659" spans="1:6">
      <c r="A659" s="69">
        <v>652</v>
      </c>
      <c r="B659" s="69">
        <v>52</v>
      </c>
      <c r="C659" s="69">
        <f t="shared" si="6"/>
        <v>1007</v>
      </c>
      <c r="D659" s="86" t="s">
        <v>898</v>
      </c>
      <c r="E659" s="189" t="s">
        <v>2419</v>
      </c>
      <c r="F659" s="32">
        <v>1</v>
      </c>
    </row>
    <row r="660" spans="1:6">
      <c r="A660" s="69">
        <v>653</v>
      </c>
      <c r="B660" s="69">
        <v>53</v>
      </c>
      <c r="C660" s="69">
        <f t="shared" si="6"/>
        <v>1007</v>
      </c>
      <c r="D660" s="86" t="s">
        <v>898</v>
      </c>
      <c r="E660" s="189" t="s">
        <v>2420</v>
      </c>
      <c r="F660" s="32">
        <v>1</v>
      </c>
    </row>
    <row r="661" spans="1:6">
      <c r="A661" s="69">
        <v>654</v>
      </c>
      <c r="B661" s="69">
        <v>54</v>
      </c>
      <c r="C661" s="69">
        <f t="shared" ref="C661:C724" si="7">C561+1</f>
        <v>1007</v>
      </c>
      <c r="D661" s="86" t="s">
        <v>898</v>
      </c>
      <c r="E661" s="189" t="s">
        <v>2421</v>
      </c>
      <c r="F661" s="32">
        <v>1</v>
      </c>
    </row>
    <row r="662" spans="1:6">
      <c r="A662" s="69">
        <v>655</v>
      </c>
      <c r="B662" s="69">
        <v>55</v>
      </c>
      <c r="C662" s="69">
        <f t="shared" si="7"/>
        <v>1007</v>
      </c>
      <c r="D662" s="86" t="s">
        <v>898</v>
      </c>
      <c r="E662" s="189" t="s">
        <v>2422</v>
      </c>
      <c r="F662" s="32">
        <v>1</v>
      </c>
    </row>
    <row r="663" spans="1:6">
      <c r="A663" s="69">
        <v>656</v>
      </c>
      <c r="B663" s="69">
        <v>56</v>
      </c>
      <c r="C663" s="69">
        <f t="shared" si="7"/>
        <v>1007</v>
      </c>
      <c r="D663" s="86" t="s">
        <v>898</v>
      </c>
      <c r="E663" s="189" t="s">
        <v>2423</v>
      </c>
      <c r="F663" s="32">
        <v>1</v>
      </c>
    </row>
    <row r="664" spans="1:6">
      <c r="A664" s="69">
        <v>657</v>
      </c>
      <c r="B664" s="69">
        <v>57</v>
      </c>
      <c r="C664" s="69">
        <f t="shared" si="7"/>
        <v>1007</v>
      </c>
      <c r="D664" s="86" t="s">
        <v>898</v>
      </c>
      <c r="E664" s="189" t="s">
        <v>2424</v>
      </c>
      <c r="F664" s="32">
        <v>1</v>
      </c>
    </row>
    <row r="665" spans="1:6">
      <c r="A665" s="69">
        <v>658</v>
      </c>
      <c r="B665" s="69">
        <v>58</v>
      </c>
      <c r="C665" s="69">
        <f t="shared" si="7"/>
        <v>1007</v>
      </c>
      <c r="D665" s="86" t="s">
        <v>898</v>
      </c>
      <c r="E665" s="189" t="s">
        <v>2425</v>
      </c>
      <c r="F665" s="32">
        <v>1</v>
      </c>
    </row>
    <row r="666" spans="1:6">
      <c r="A666" s="69">
        <v>659</v>
      </c>
      <c r="B666" s="69">
        <v>59</v>
      </c>
      <c r="C666" s="69">
        <f t="shared" si="7"/>
        <v>1007</v>
      </c>
      <c r="D666" s="86" t="s">
        <v>898</v>
      </c>
      <c r="E666" s="189" t="s">
        <v>2426</v>
      </c>
      <c r="F666" s="32">
        <v>1</v>
      </c>
    </row>
    <row r="667" spans="1:6">
      <c r="A667" s="69">
        <v>660</v>
      </c>
      <c r="B667" s="69">
        <v>60</v>
      </c>
      <c r="C667" s="69">
        <f t="shared" si="7"/>
        <v>1007</v>
      </c>
      <c r="D667" s="87" t="s">
        <v>899</v>
      </c>
      <c r="E667" s="190" t="s">
        <v>2427</v>
      </c>
      <c r="F667" s="92">
        <v>2</v>
      </c>
    </row>
    <row r="668" spans="1:6">
      <c r="A668" s="69">
        <v>661</v>
      </c>
      <c r="B668" s="69">
        <v>61</v>
      </c>
      <c r="C668" s="69">
        <f t="shared" si="7"/>
        <v>1007</v>
      </c>
      <c r="D668" s="86" t="s">
        <v>900</v>
      </c>
      <c r="E668" s="189" t="s">
        <v>2428</v>
      </c>
      <c r="F668" s="32">
        <v>1</v>
      </c>
    </row>
    <row r="669" spans="1:6">
      <c r="A669" s="69">
        <v>662</v>
      </c>
      <c r="B669" s="69">
        <v>62</v>
      </c>
      <c r="C669" s="69">
        <f t="shared" si="7"/>
        <v>1007</v>
      </c>
      <c r="D669" s="86" t="s">
        <v>900</v>
      </c>
      <c r="E669" s="189" t="s">
        <v>2429</v>
      </c>
      <c r="F669" s="32">
        <v>1</v>
      </c>
    </row>
    <row r="670" spans="1:6">
      <c r="A670" s="69">
        <v>663</v>
      </c>
      <c r="B670" s="69">
        <v>63</v>
      </c>
      <c r="C670" s="69">
        <f t="shared" si="7"/>
        <v>1007</v>
      </c>
      <c r="D670" s="86" t="s">
        <v>900</v>
      </c>
      <c r="E670" s="189" t="s">
        <v>2430</v>
      </c>
      <c r="F670" s="32">
        <v>1</v>
      </c>
    </row>
    <row r="671" spans="1:6">
      <c r="A671" s="69">
        <v>664</v>
      </c>
      <c r="B671" s="69">
        <v>64</v>
      </c>
      <c r="C671" s="69">
        <f t="shared" si="7"/>
        <v>1007</v>
      </c>
      <c r="D671" s="86" t="s">
        <v>900</v>
      </c>
      <c r="E671" s="189" t="s">
        <v>2431</v>
      </c>
      <c r="F671" s="32">
        <v>1</v>
      </c>
    </row>
    <row r="672" spans="1:6">
      <c r="A672" s="69">
        <v>665</v>
      </c>
      <c r="B672" s="69">
        <v>65</v>
      </c>
      <c r="C672" s="69">
        <f t="shared" si="7"/>
        <v>1007</v>
      </c>
      <c r="D672" s="86" t="s">
        <v>900</v>
      </c>
      <c r="E672" s="189" t="s">
        <v>2432</v>
      </c>
      <c r="F672" s="32">
        <v>1</v>
      </c>
    </row>
    <row r="673" spans="1:6">
      <c r="A673" s="69">
        <v>666</v>
      </c>
      <c r="B673" s="69">
        <v>66</v>
      </c>
      <c r="C673" s="69">
        <f t="shared" si="7"/>
        <v>1007</v>
      </c>
      <c r="D673" s="86" t="s">
        <v>900</v>
      </c>
      <c r="E673" s="189" t="s">
        <v>2433</v>
      </c>
      <c r="F673" s="32">
        <v>1</v>
      </c>
    </row>
    <row r="674" spans="1:6">
      <c r="A674" s="69">
        <v>667</v>
      </c>
      <c r="B674" s="69">
        <v>67</v>
      </c>
      <c r="C674" s="69">
        <f t="shared" si="7"/>
        <v>1007</v>
      </c>
      <c r="D674" s="86" t="s">
        <v>900</v>
      </c>
      <c r="E674" s="189" t="s">
        <v>2434</v>
      </c>
      <c r="F674" s="32">
        <v>1</v>
      </c>
    </row>
    <row r="675" spans="1:6">
      <c r="A675" s="69">
        <v>668</v>
      </c>
      <c r="B675" s="69">
        <v>68</v>
      </c>
      <c r="C675" s="69">
        <f t="shared" si="7"/>
        <v>1007</v>
      </c>
      <c r="D675" s="86" t="s">
        <v>900</v>
      </c>
      <c r="E675" s="189" t="s">
        <v>2435</v>
      </c>
      <c r="F675" s="32">
        <v>1</v>
      </c>
    </row>
    <row r="676" spans="1:6">
      <c r="A676" s="69">
        <v>669</v>
      </c>
      <c r="B676" s="69">
        <v>69</v>
      </c>
      <c r="C676" s="69">
        <f t="shared" si="7"/>
        <v>1007</v>
      </c>
      <c r="D676" s="86" t="s">
        <v>900</v>
      </c>
      <c r="E676" s="189" t="s">
        <v>2436</v>
      </c>
      <c r="F676" s="32">
        <v>1</v>
      </c>
    </row>
    <row r="677" spans="1:6">
      <c r="A677" s="69">
        <v>670</v>
      </c>
      <c r="B677" s="69">
        <v>70</v>
      </c>
      <c r="C677" s="69">
        <f t="shared" si="7"/>
        <v>1007</v>
      </c>
      <c r="D677" s="86" t="s">
        <v>900</v>
      </c>
      <c r="E677" s="189" t="s">
        <v>2437</v>
      </c>
      <c r="F677" s="32">
        <v>1</v>
      </c>
    </row>
    <row r="678" spans="1:6">
      <c r="A678" s="69">
        <v>671</v>
      </c>
      <c r="B678" s="69">
        <v>71</v>
      </c>
      <c r="C678" s="69">
        <f t="shared" si="7"/>
        <v>1007</v>
      </c>
      <c r="D678" s="86" t="s">
        <v>900</v>
      </c>
      <c r="E678" s="189" t="s">
        <v>2438</v>
      </c>
      <c r="F678" s="32">
        <v>1</v>
      </c>
    </row>
    <row r="679" spans="1:6">
      <c r="A679" s="69">
        <v>672</v>
      </c>
      <c r="B679" s="69">
        <v>72</v>
      </c>
      <c r="C679" s="69">
        <f t="shared" si="7"/>
        <v>1007</v>
      </c>
      <c r="D679" s="86" t="s">
        <v>900</v>
      </c>
      <c r="E679" s="189" t="s">
        <v>2439</v>
      </c>
      <c r="F679" s="32">
        <v>1</v>
      </c>
    </row>
    <row r="680" spans="1:6">
      <c r="A680" s="69">
        <v>673</v>
      </c>
      <c r="B680" s="69">
        <v>73</v>
      </c>
      <c r="C680" s="69">
        <f t="shared" si="7"/>
        <v>1007</v>
      </c>
      <c r="D680" s="86" t="s">
        <v>900</v>
      </c>
      <c r="E680" s="189" t="s">
        <v>2440</v>
      </c>
      <c r="F680" s="32">
        <v>1</v>
      </c>
    </row>
    <row r="681" spans="1:6">
      <c r="A681" s="69">
        <v>674</v>
      </c>
      <c r="B681" s="69">
        <v>74</v>
      </c>
      <c r="C681" s="69">
        <f t="shared" si="7"/>
        <v>1007</v>
      </c>
      <c r="D681" s="86" t="s">
        <v>900</v>
      </c>
      <c r="E681" s="189" t="s">
        <v>2441</v>
      </c>
      <c r="F681" s="32">
        <v>1</v>
      </c>
    </row>
    <row r="682" spans="1:6">
      <c r="A682" s="69">
        <v>675</v>
      </c>
      <c r="B682" s="69">
        <v>75</v>
      </c>
      <c r="C682" s="69">
        <f t="shared" si="7"/>
        <v>1007</v>
      </c>
      <c r="D682" s="86" t="s">
        <v>900</v>
      </c>
      <c r="E682" s="189" t="s">
        <v>2442</v>
      </c>
      <c r="F682" s="32">
        <v>1</v>
      </c>
    </row>
    <row r="683" spans="1:6">
      <c r="A683" s="69">
        <v>676</v>
      </c>
      <c r="B683" s="69">
        <v>76</v>
      </c>
      <c r="C683" s="69">
        <f t="shared" si="7"/>
        <v>1007</v>
      </c>
      <c r="D683" s="86" t="s">
        <v>900</v>
      </c>
      <c r="E683" s="189" t="s">
        <v>2443</v>
      </c>
      <c r="F683" s="32">
        <v>1</v>
      </c>
    </row>
    <row r="684" spans="1:6">
      <c r="A684" s="69">
        <v>677</v>
      </c>
      <c r="B684" s="69">
        <v>77</v>
      </c>
      <c r="C684" s="69">
        <f t="shared" si="7"/>
        <v>1007</v>
      </c>
      <c r="D684" s="86" t="s">
        <v>900</v>
      </c>
      <c r="E684" s="189" t="s">
        <v>2444</v>
      </c>
      <c r="F684" s="32">
        <v>1</v>
      </c>
    </row>
    <row r="685" spans="1:6">
      <c r="A685" s="69">
        <v>678</v>
      </c>
      <c r="B685" s="69">
        <v>78</v>
      </c>
      <c r="C685" s="69">
        <f t="shared" si="7"/>
        <v>1007</v>
      </c>
      <c r="D685" s="86" t="s">
        <v>900</v>
      </c>
      <c r="E685" s="189" t="s">
        <v>2445</v>
      </c>
      <c r="F685" s="32">
        <v>1</v>
      </c>
    </row>
    <row r="686" spans="1:6">
      <c r="A686" s="69">
        <v>679</v>
      </c>
      <c r="B686" s="69">
        <v>79</v>
      </c>
      <c r="C686" s="69">
        <f t="shared" si="7"/>
        <v>1007</v>
      </c>
      <c r="D686" s="86" t="s">
        <v>900</v>
      </c>
      <c r="E686" s="189" t="s">
        <v>2446</v>
      </c>
      <c r="F686" s="32">
        <v>1</v>
      </c>
    </row>
    <row r="687" spans="1:6">
      <c r="A687" s="69">
        <v>680</v>
      </c>
      <c r="B687" s="69">
        <v>80</v>
      </c>
      <c r="C687" s="69">
        <f t="shared" si="7"/>
        <v>1007</v>
      </c>
      <c r="D687" s="87" t="s">
        <v>901</v>
      </c>
      <c r="E687" s="190" t="s">
        <v>2447</v>
      </c>
      <c r="F687" s="92">
        <v>2</v>
      </c>
    </row>
    <row r="688" spans="1:6">
      <c r="A688" s="69">
        <v>681</v>
      </c>
      <c r="B688" s="69">
        <v>81</v>
      </c>
      <c r="C688" s="69">
        <f t="shared" si="7"/>
        <v>1007</v>
      </c>
      <c r="D688" s="86" t="s">
        <v>902</v>
      </c>
      <c r="E688" s="189" t="s">
        <v>2448</v>
      </c>
      <c r="F688" s="32">
        <v>1</v>
      </c>
    </row>
    <row r="689" spans="1:6">
      <c r="A689" s="69">
        <v>682</v>
      </c>
      <c r="B689" s="69">
        <v>82</v>
      </c>
      <c r="C689" s="69">
        <f t="shared" si="7"/>
        <v>1007</v>
      </c>
      <c r="D689" s="86" t="s">
        <v>902</v>
      </c>
      <c r="E689" s="189" t="s">
        <v>2449</v>
      </c>
      <c r="F689" s="32">
        <v>1</v>
      </c>
    </row>
    <row r="690" spans="1:6">
      <c r="A690" s="69">
        <v>683</v>
      </c>
      <c r="B690" s="69">
        <v>83</v>
      </c>
      <c r="C690" s="69">
        <f t="shared" si="7"/>
        <v>1007</v>
      </c>
      <c r="D690" s="86" t="s">
        <v>902</v>
      </c>
      <c r="E690" s="189" t="s">
        <v>2450</v>
      </c>
      <c r="F690" s="32">
        <v>1</v>
      </c>
    </row>
    <row r="691" spans="1:6">
      <c r="A691" s="69">
        <v>684</v>
      </c>
      <c r="B691" s="69">
        <v>84</v>
      </c>
      <c r="C691" s="69">
        <f t="shared" si="7"/>
        <v>1007</v>
      </c>
      <c r="D691" s="86" t="s">
        <v>902</v>
      </c>
      <c r="E691" s="189" t="s">
        <v>2451</v>
      </c>
      <c r="F691" s="32">
        <v>1</v>
      </c>
    </row>
    <row r="692" spans="1:6">
      <c r="A692" s="69">
        <v>685</v>
      </c>
      <c r="B692" s="69">
        <v>85</v>
      </c>
      <c r="C692" s="69">
        <f t="shared" si="7"/>
        <v>1007</v>
      </c>
      <c r="D692" s="86" t="s">
        <v>902</v>
      </c>
      <c r="E692" s="189" t="s">
        <v>2452</v>
      </c>
      <c r="F692" s="32">
        <v>1</v>
      </c>
    </row>
    <row r="693" spans="1:6">
      <c r="A693" s="69">
        <v>686</v>
      </c>
      <c r="B693" s="69">
        <v>86</v>
      </c>
      <c r="C693" s="69">
        <f t="shared" si="7"/>
        <v>1007</v>
      </c>
      <c r="D693" s="86" t="s">
        <v>902</v>
      </c>
      <c r="E693" s="189" t="s">
        <v>2453</v>
      </c>
      <c r="F693" s="32">
        <v>1</v>
      </c>
    </row>
    <row r="694" spans="1:6">
      <c r="A694" s="69">
        <v>687</v>
      </c>
      <c r="B694" s="69">
        <v>87</v>
      </c>
      <c r="C694" s="69">
        <f t="shared" si="7"/>
        <v>1007</v>
      </c>
      <c r="D694" s="86" t="s">
        <v>902</v>
      </c>
      <c r="E694" s="189" t="s">
        <v>2454</v>
      </c>
      <c r="F694" s="32">
        <v>1</v>
      </c>
    </row>
    <row r="695" spans="1:6">
      <c r="A695" s="69">
        <v>688</v>
      </c>
      <c r="B695" s="69">
        <v>88</v>
      </c>
      <c r="C695" s="69">
        <f t="shared" si="7"/>
        <v>1007</v>
      </c>
      <c r="D695" s="86" t="s">
        <v>902</v>
      </c>
      <c r="E695" s="189" t="s">
        <v>2455</v>
      </c>
      <c r="F695" s="32">
        <v>1</v>
      </c>
    </row>
    <row r="696" spans="1:6">
      <c r="A696" s="69">
        <v>689</v>
      </c>
      <c r="B696" s="69">
        <v>89</v>
      </c>
      <c r="C696" s="69">
        <f t="shared" si="7"/>
        <v>1007</v>
      </c>
      <c r="D696" s="86" t="s">
        <v>902</v>
      </c>
      <c r="E696" s="189" t="s">
        <v>2456</v>
      </c>
      <c r="F696" s="32">
        <v>1</v>
      </c>
    </row>
    <row r="697" spans="1:6">
      <c r="A697" s="69">
        <v>690</v>
      </c>
      <c r="B697" s="69">
        <v>90</v>
      </c>
      <c r="C697" s="69">
        <f t="shared" si="7"/>
        <v>1007</v>
      </c>
      <c r="D697" s="86" t="s">
        <v>902</v>
      </c>
      <c r="E697" s="189" t="s">
        <v>2457</v>
      </c>
      <c r="F697" s="32">
        <v>1</v>
      </c>
    </row>
    <row r="698" spans="1:6">
      <c r="A698" s="69">
        <v>691</v>
      </c>
      <c r="B698" s="69">
        <v>91</v>
      </c>
      <c r="C698" s="69">
        <f t="shared" si="7"/>
        <v>1007</v>
      </c>
      <c r="D698" s="86" t="s">
        <v>902</v>
      </c>
      <c r="E698" s="189" t="s">
        <v>2458</v>
      </c>
      <c r="F698" s="32">
        <v>1</v>
      </c>
    </row>
    <row r="699" spans="1:6">
      <c r="A699" s="69">
        <v>692</v>
      </c>
      <c r="B699" s="69">
        <v>92</v>
      </c>
      <c r="C699" s="69">
        <f t="shared" si="7"/>
        <v>1007</v>
      </c>
      <c r="D699" s="86" t="s">
        <v>902</v>
      </c>
      <c r="E699" s="189" t="s">
        <v>2459</v>
      </c>
      <c r="F699" s="32">
        <v>1</v>
      </c>
    </row>
    <row r="700" spans="1:6">
      <c r="A700" s="69">
        <v>693</v>
      </c>
      <c r="B700" s="69">
        <v>93</v>
      </c>
      <c r="C700" s="69">
        <f t="shared" si="7"/>
        <v>1007</v>
      </c>
      <c r="D700" s="86" t="s">
        <v>902</v>
      </c>
      <c r="E700" s="189" t="s">
        <v>2460</v>
      </c>
      <c r="F700" s="32">
        <v>1</v>
      </c>
    </row>
    <row r="701" spans="1:6">
      <c r="A701" s="69">
        <v>694</v>
      </c>
      <c r="B701" s="69">
        <v>94</v>
      </c>
      <c r="C701" s="69">
        <f t="shared" si="7"/>
        <v>1007</v>
      </c>
      <c r="D701" s="86" t="s">
        <v>902</v>
      </c>
      <c r="E701" s="189" t="s">
        <v>2461</v>
      </c>
      <c r="F701" s="32">
        <v>1</v>
      </c>
    </row>
    <row r="702" spans="1:6">
      <c r="A702" s="69">
        <v>695</v>
      </c>
      <c r="B702" s="69">
        <v>95</v>
      </c>
      <c r="C702" s="69">
        <f t="shared" si="7"/>
        <v>1007</v>
      </c>
      <c r="D702" s="86" t="s">
        <v>902</v>
      </c>
      <c r="E702" s="189" t="s">
        <v>2462</v>
      </c>
      <c r="F702" s="32">
        <v>1</v>
      </c>
    </row>
    <row r="703" spans="1:6">
      <c r="A703" s="69">
        <v>696</v>
      </c>
      <c r="B703" s="69">
        <v>96</v>
      </c>
      <c r="C703" s="69">
        <f t="shared" si="7"/>
        <v>1007</v>
      </c>
      <c r="D703" s="86" t="s">
        <v>902</v>
      </c>
      <c r="E703" s="189" t="s">
        <v>2463</v>
      </c>
      <c r="F703" s="32">
        <v>1</v>
      </c>
    </row>
    <row r="704" spans="1:6">
      <c r="A704" s="69">
        <v>697</v>
      </c>
      <c r="B704" s="69">
        <v>97</v>
      </c>
      <c r="C704" s="69">
        <f t="shared" si="7"/>
        <v>1007</v>
      </c>
      <c r="D704" s="86" t="s">
        <v>902</v>
      </c>
      <c r="E704" s="189" t="s">
        <v>2464</v>
      </c>
      <c r="F704" s="32">
        <v>1</v>
      </c>
    </row>
    <row r="705" spans="1:6">
      <c r="A705" s="69">
        <v>698</v>
      </c>
      <c r="B705" s="69">
        <v>98</v>
      </c>
      <c r="C705" s="69">
        <f t="shared" si="7"/>
        <v>1007</v>
      </c>
      <c r="D705" s="86" t="s">
        <v>902</v>
      </c>
      <c r="E705" s="189" t="s">
        <v>2465</v>
      </c>
      <c r="F705" s="32">
        <v>1</v>
      </c>
    </row>
    <row r="706" spans="1:6">
      <c r="A706" s="69">
        <v>699</v>
      </c>
      <c r="B706" s="69">
        <v>99</v>
      </c>
      <c r="C706" s="69">
        <f t="shared" si="7"/>
        <v>1007</v>
      </c>
      <c r="D706" s="86" t="s">
        <v>902</v>
      </c>
      <c r="E706" s="189" t="s">
        <v>2466</v>
      </c>
      <c r="F706" s="32">
        <v>1</v>
      </c>
    </row>
    <row r="707" spans="1:6">
      <c r="A707" s="69">
        <v>700</v>
      </c>
      <c r="B707" s="69">
        <v>100</v>
      </c>
      <c r="C707" s="69">
        <f t="shared" si="7"/>
        <v>1007</v>
      </c>
      <c r="D707" s="193" t="s">
        <v>902</v>
      </c>
      <c r="E707" s="189" t="s">
        <v>2467</v>
      </c>
      <c r="F707" s="192">
        <v>0</v>
      </c>
    </row>
    <row r="708" spans="1:6">
      <c r="A708" s="69">
        <v>701</v>
      </c>
      <c r="B708" s="69">
        <v>1</v>
      </c>
      <c r="C708" s="69">
        <f t="shared" si="7"/>
        <v>1008</v>
      </c>
      <c r="D708" s="86" t="s">
        <v>887</v>
      </c>
      <c r="E708" s="189" t="s">
        <v>2368</v>
      </c>
      <c r="F708" s="32">
        <v>1</v>
      </c>
    </row>
    <row r="709" spans="1:6">
      <c r="A709" s="69">
        <v>702</v>
      </c>
      <c r="B709" s="69">
        <v>2</v>
      </c>
      <c r="C709" s="69">
        <f t="shared" si="7"/>
        <v>1008</v>
      </c>
      <c r="D709" s="86" t="s">
        <v>888</v>
      </c>
      <c r="E709" s="189" t="s">
        <v>2369</v>
      </c>
      <c r="F709" s="32">
        <v>1</v>
      </c>
    </row>
    <row r="710" spans="1:6">
      <c r="A710" s="69">
        <v>703</v>
      </c>
      <c r="B710" s="69">
        <v>3</v>
      </c>
      <c r="C710" s="69">
        <f t="shared" si="7"/>
        <v>1008</v>
      </c>
      <c r="D710" s="86" t="s">
        <v>889</v>
      </c>
      <c r="E710" s="189" t="s">
        <v>2370</v>
      </c>
      <c r="F710" s="32">
        <v>1</v>
      </c>
    </row>
    <row r="711" spans="1:6">
      <c r="A711" s="69">
        <v>704</v>
      </c>
      <c r="B711" s="69">
        <v>4</v>
      </c>
      <c r="C711" s="69">
        <f t="shared" si="7"/>
        <v>1008</v>
      </c>
      <c r="D711" s="86" t="s">
        <v>890</v>
      </c>
      <c r="E711" s="189" t="s">
        <v>2371</v>
      </c>
      <c r="F711" s="32">
        <v>1</v>
      </c>
    </row>
    <row r="712" spans="1:6">
      <c r="A712" s="69">
        <v>705</v>
      </c>
      <c r="B712" s="69">
        <v>5</v>
      </c>
      <c r="C712" s="69">
        <f t="shared" si="7"/>
        <v>1008</v>
      </c>
      <c r="D712" s="86" t="s">
        <v>891</v>
      </c>
      <c r="E712" s="189" t="s">
        <v>2372</v>
      </c>
      <c r="F712" s="32">
        <v>1</v>
      </c>
    </row>
    <row r="713" spans="1:6">
      <c r="A713" s="69">
        <v>706</v>
      </c>
      <c r="B713" s="69">
        <v>6</v>
      </c>
      <c r="C713" s="69">
        <f t="shared" si="7"/>
        <v>1008</v>
      </c>
      <c r="D713" s="86" t="s">
        <v>892</v>
      </c>
      <c r="E713" s="189" t="s">
        <v>2373</v>
      </c>
      <c r="F713" s="32">
        <v>1</v>
      </c>
    </row>
    <row r="714" spans="1:6">
      <c r="A714" s="69">
        <v>707</v>
      </c>
      <c r="B714" s="69">
        <v>7</v>
      </c>
      <c r="C714" s="69">
        <f t="shared" si="7"/>
        <v>1008</v>
      </c>
      <c r="D714" s="86" t="s">
        <v>893</v>
      </c>
      <c r="E714" s="189" t="s">
        <v>2374</v>
      </c>
      <c r="F714" s="32">
        <v>1</v>
      </c>
    </row>
    <row r="715" spans="1:6">
      <c r="A715" s="69">
        <v>708</v>
      </c>
      <c r="B715" s="69">
        <v>8</v>
      </c>
      <c r="C715" s="69">
        <f t="shared" si="7"/>
        <v>1008</v>
      </c>
      <c r="D715" s="86" t="s">
        <v>894</v>
      </c>
      <c r="E715" s="189" t="s">
        <v>2375</v>
      </c>
      <c r="F715" s="32">
        <v>1</v>
      </c>
    </row>
    <row r="716" spans="1:6">
      <c r="A716" s="69">
        <v>709</v>
      </c>
      <c r="B716" s="69">
        <v>9</v>
      </c>
      <c r="C716" s="69">
        <f t="shared" si="7"/>
        <v>1008</v>
      </c>
      <c r="D716" s="86" t="s">
        <v>894</v>
      </c>
      <c r="E716" s="189" t="s">
        <v>2376</v>
      </c>
      <c r="F716" s="32">
        <v>1</v>
      </c>
    </row>
    <row r="717" spans="1:6">
      <c r="A717" s="69">
        <v>710</v>
      </c>
      <c r="B717" s="69">
        <v>10</v>
      </c>
      <c r="C717" s="69">
        <f t="shared" si="7"/>
        <v>1008</v>
      </c>
      <c r="D717" s="86" t="s">
        <v>894</v>
      </c>
      <c r="E717" s="189" t="s">
        <v>2377</v>
      </c>
      <c r="F717" s="32">
        <v>1</v>
      </c>
    </row>
    <row r="718" spans="1:6">
      <c r="A718" s="69">
        <v>711</v>
      </c>
      <c r="B718" s="69">
        <v>11</v>
      </c>
      <c r="C718" s="69">
        <f t="shared" si="7"/>
        <v>1008</v>
      </c>
      <c r="D718" s="86" t="s">
        <v>894</v>
      </c>
      <c r="E718" s="189" t="s">
        <v>2378</v>
      </c>
      <c r="F718" s="32">
        <v>1</v>
      </c>
    </row>
    <row r="719" spans="1:6">
      <c r="A719" s="69">
        <v>712</v>
      </c>
      <c r="B719" s="69">
        <v>12</v>
      </c>
      <c r="C719" s="69">
        <f t="shared" si="7"/>
        <v>1008</v>
      </c>
      <c r="D719" s="86" t="s">
        <v>894</v>
      </c>
      <c r="E719" s="189" t="s">
        <v>2379</v>
      </c>
      <c r="F719" s="32">
        <v>1</v>
      </c>
    </row>
    <row r="720" spans="1:6">
      <c r="A720" s="69">
        <v>713</v>
      </c>
      <c r="B720" s="69">
        <v>13</v>
      </c>
      <c r="C720" s="69">
        <f t="shared" si="7"/>
        <v>1008</v>
      </c>
      <c r="D720" s="86" t="s">
        <v>894</v>
      </c>
      <c r="E720" s="189" t="s">
        <v>2380</v>
      </c>
      <c r="F720" s="32">
        <v>1</v>
      </c>
    </row>
    <row r="721" spans="1:6">
      <c r="A721" s="69">
        <v>714</v>
      </c>
      <c r="B721" s="69">
        <v>14</v>
      </c>
      <c r="C721" s="69">
        <f t="shared" si="7"/>
        <v>1008</v>
      </c>
      <c r="D721" s="86" t="s">
        <v>894</v>
      </c>
      <c r="E721" s="189" t="s">
        <v>2381</v>
      </c>
      <c r="F721" s="32">
        <v>1</v>
      </c>
    </row>
    <row r="722" spans="1:6">
      <c r="A722" s="69">
        <v>715</v>
      </c>
      <c r="B722" s="69">
        <v>15</v>
      </c>
      <c r="C722" s="69">
        <f t="shared" si="7"/>
        <v>1008</v>
      </c>
      <c r="D722" s="86" t="s">
        <v>894</v>
      </c>
      <c r="E722" s="189" t="s">
        <v>2382</v>
      </c>
      <c r="F722" s="32">
        <v>1</v>
      </c>
    </row>
    <row r="723" spans="1:6">
      <c r="A723" s="69">
        <v>716</v>
      </c>
      <c r="B723" s="69">
        <v>16</v>
      </c>
      <c r="C723" s="69">
        <f t="shared" si="7"/>
        <v>1008</v>
      </c>
      <c r="D723" s="86" t="s">
        <v>894</v>
      </c>
      <c r="E723" s="189" t="s">
        <v>2383</v>
      </c>
      <c r="F723" s="32">
        <v>1</v>
      </c>
    </row>
    <row r="724" spans="1:6">
      <c r="A724" s="69">
        <v>717</v>
      </c>
      <c r="B724" s="69">
        <v>17</v>
      </c>
      <c r="C724" s="69">
        <f t="shared" si="7"/>
        <v>1008</v>
      </c>
      <c r="D724" s="86" t="s">
        <v>894</v>
      </c>
      <c r="E724" s="189" t="s">
        <v>2384</v>
      </c>
      <c r="F724" s="32">
        <v>1</v>
      </c>
    </row>
    <row r="725" spans="1:6">
      <c r="A725" s="69">
        <v>718</v>
      </c>
      <c r="B725" s="69">
        <v>18</v>
      </c>
      <c r="C725" s="69">
        <f t="shared" ref="C725:C788" si="8">C625+1</f>
        <v>1008</v>
      </c>
      <c r="D725" s="86" t="s">
        <v>894</v>
      </c>
      <c r="E725" s="189" t="s">
        <v>2385</v>
      </c>
      <c r="F725" s="32">
        <v>1</v>
      </c>
    </row>
    <row r="726" spans="1:6">
      <c r="A726" s="69">
        <v>719</v>
      </c>
      <c r="B726" s="69">
        <v>19</v>
      </c>
      <c r="C726" s="69">
        <f t="shared" si="8"/>
        <v>1008</v>
      </c>
      <c r="D726" s="86" t="s">
        <v>894</v>
      </c>
      <c r="E726" s="189" t="s">
        <v>2386</v>
      </c>
      <c r="F726" s="32">
        <v>1</v>
      </c>
    </row>
    <row r="727" spans="1:6">
      <c r="A727" s="69">
        <v>720</v>
      </c>
      <c r="B727" s="69">
        <v>20</v>
      </c>
      <c r="C727" s="69">
        <f t="shared" si="8"/>
        <v>1008</v>
      </c>
      <c r="D727" s="87" t="s">
        <v>895</v>
      </c>
      <c r="E727" s="190" t="s">
        <v>2387</v>
      </c>
      <c r="F727" s="92">
        <v>2</v>
      </c>
    </row>
    <row r="728" spans="1:6">
      <c r="A728" s="69">
        <v>721</v>
      </c>
      <c r="B728" s="69">
        <v>21</v>
      </c>
      <c r="C728" s="69">
        <f t="shared" si="8"/>
        <v>1008</v>
      </c>
      <c r="D728" s="86" t="s">
        <v>896</v>
      </c>
      <c r="E728" s="189" t="s">
        <v>2388</v>
      </c>
      <c r="F728" s="32">
        <v>1</v>
      </c>
    </row>
    <row r="729" spans="1:6">
      <c r="A729" s="69">
        <v>722</v>
      </c>
      <c r="B729" s="69">
        <v>22</v>
      </c>
      <c r="C729" s="69">
        <f t="shared" si="8"/>
        <v>1008</v>
      </c>
      <c r="D729" s="86" t="s">
        <v>896</v>
      </c>
      <c r="E729" s="189" t="s">
        <v>2389</v>
      </c>
      <c r="F729" s="32">
        <v>1</v>
      </c>
    </row>
    <row r="730" spans="1:6">
      <c r="A730" s="69">
        <v>723</v>
      </c>
      <c r="B730" s="69">
        <v>23</v>
      </c>
      <c r="C730" s="69">
        <f t="shared" si="8"/>
        <v>1008</v>
      </c>
      <c r="D730" s="86" t="s">
        <v>896</v>
      </c>
      <c r="E730" s="189" t="s">
        <v>2390</v>
      </c>
      <c r="F730" s="32">
        <v>1</v>
      </c>
    </row>
    <row r="731" spans="1:6">
      <c r="A731" s="69">
        <v>724</v>
      </c>
      <c r="B731" s="69">
        <v>24</v>
      </c>
      <c r="C731" s="69">
        <f t="shared" si="8"/>
        <v>1008</v>
      </c>
      <c r="D731" s="86" t="s">
        <v>896</v>
      </c>
      <c r="E731" s="189" t="s">
        <v>2391</v>
      </c>
      <c r="F731" s="32">
        <v>1</v>
      </c>
    </row>
    <row r="732" spans="1:6">
      <c r="A732" s="69">
        <v>725</v>
      </c>
      <c r="B732" s="69">
        <v>25</v>
      </c>
      <c r="C732" s="69">
        <f t="shared" si="8"/>
        <v>1008</v>
      </c>
      <c r="D732" s="86" t="s">
        <v>896</v>
      </c>
      <c r="E732" s="189" t="s">
        <v>2392</v>
      </c>
      <c r="F732" s="32">
        <v>1</v>
      </c>
    </row>
    <row r="733" spans="1:6">
      <c r="A733" s="69">
        <v>726</v>
      </c>
      <c r="B733" s="69">
        <v>26</v>
      </c>
      <c r="C733" s="69">
        <f t="shared" si="8"/>
        <v>1008</v>
      </c>
      <c r="D733" s="86" t="s">
        <v>896</v>
      </c>
      <c r="E733" s="189" t="s">
        <v>2393</v>
      </c>
      <c r="F733" s="32">
        <v>1</v>
      </c>
    </row>
    <row r="734" spans="1:6">
      <c r="A734" s="69">
        <v>727</v>
      </c>
      <c r="B734" s="69">
        <v>27</v>
      </c>
      <c r="C734" s="69">
        <f t="shared" si="8"/>
        <v>1008</v>
      </c>
      <c r="D734" s="86" t="s">
        <v>896</v>
      </c>
      <c r="E734" s="189" t="s">
        <v>2394</v>
      </c>
      <c r="F734" s="32">
        <v>1</v>
      </c>
    </row>
    <row r="735" spans="1:6">
      <c r="A735" s="69">
        <v>728</v>
      </c>
      <c r="B735" s="69">
        <v>28</v>
      </c>
      <c r="C735" s="69">
        <f t="shared" si="8"/>
        <v>1008</v>
      </c>
      <c r="D735" s="86" t="s">
        <v>896</v>
      </c>
      <c r="E735" s="189" t="s">
        <v>2395</v>
      </c>
      <c r="F735" s="32">
        <v>1</v>
      </c>
    </row>
    <row r="736" spans="1:6">
      <c r="A736" s="69">
        <v>729</v>
      </c>
      <c r="B736" s="69">
        <v>29</v>
      </c>
      <c r="C736" s="69">
        <f t="shared" si="8"/>
        <v>1008</v>
      </c>
      <c r="D736" s="86" t="s">
        <v>896</v>
      </c>
      <c r="E736" s="189" t="s">
        <v>2396</v>
      </c>
      <c r="F736" s="32">
        <v>1</v>
      </c>
    </row>
    <row r="737" spans="1:6">
      <c r="A737" s="69">
        <v>730</v>
      </c>
      <c r="B737" s="69">
        <v>30</v>
      </c>
      <c r="C737" s="69">
        <f t="shared" si="8"/>
        <v>1008</v>
      </c>
      <c r="D737" s="86" t="s">
        <v>896</v>
      </c>
      <c r="E737" s="189" t="s">
        <v>2397</v>
      </c>
      <c r="F737" s="32">
        <v>1</v>
      </c>
    </row>
    <row r="738" spans="1:6">
      <c r="A738" s="69">
        <v>731</v>
      </c>
      <c r="B738" s="69">
        <v>31</v>
      </c>
      <c r="C738" s="69">
        <f t="shared" si="8"/>
        <v>1008</v>
      </c>
      <c r="D738" s="86" t="s">
        <v>896</v>
      </c>
      <c r="E738" s="189" t="s">
        <v>2398</v>
      </c>
      <c r="F738" s="32">
        <v>1</v>
      </c>
    </row>
    <row r="739" spans="1:6">
      <c r="A739" s="69">
        <v>732</v>
      </c>
      <c r="B739" s="69">
        <v>32</v>
      </c>
      <c r="C739" s="69">
        <f t="shared" si="8"/>
        <v>1008</v>
      </c>
      <c r="D739" s="86" t="s">
        <v>896</v>
      </c>
      <c r="E739" s="189" t="s">
        <v>2399</v>
      </c>
      <c r="F739" s="32">
        <v>1</v>
      </c>
    </row>
    <row r="740" spans="1:6">
      <c r="A740" s="69">
        <v>733</v>
      </c>
      <c r="B740" s="69">
        <v>33</v>
      </c>
      <c r="C740" s="69">
        <f t="shared" si="8"/>
        <v>1008</v>
      </c>
      <c r="D740" s="86" t="s">
        <v>896</v>
      </c>
      <c r="E740" s="189" t="s">
        <v>2400</v>
      </c>
      <c r="F740" s="32">
        <v>1</v>
      </c>
    </row>
    <row r="741" spans="1:6">
      <c r="A741" s="69">
        <v>734</v>
      </c>
      <c r="B741" s="69">
        <v>34</v>
      </c>
      <c r="C741" s="69">
        <f t="shared" si="8"/>
        <v>1008</v>
      </c>
      <c r="D741" s="86" t="s">
        <v>896</v>
      </c>
      <c r="E741" s="189" t="s">
        <v>2401</v>
      </c>
      <c r="F741" s="32">
        <v>1</v>
      </c>
    </row>
    <row r="742" spans="1:6">
      <c r="A742" s="69">
        <v>735</v>
      </c>
      <c r="B742" s="69">
        <v>35</v>
      </c>
      <c r="C742" s="69">
        <f t="shared" si="8"/>
        <v>1008</v>
      </c>
      <c r="D742" s="86" t="s">
        <v>896</v>
      </c>
      <c r="E742" s="189" t="s">
        <v>2402</v>
      </c>
      <c r="F742" s="32">
        <v>1</v>
      </c>
    </row>
    <row r="743" spans="1:6">
      <c r="A743" s="69">
        <v>736</v>
      </c>
      <c r="B743" s="69">
        <v>36</v>
      </c>
      <c r="C743" s="69">
        <f t="shared" si="8"/>
        <v>1008</v>
      </c>
      <c r="D743" s="86" t="s">
        <v>896</v>
      </c>
      <c r="E743" s="189" t="s">
        <v>2403</v>
      </c>
      <c r="F743" s="32">
        <v>1</v>
      </c>
    </row>
    <row r="744" spans="1:6">
      <c r="A744" s="69">
        <v>737</v>
      </c>
      <c r="B744" s="69">
        <v>37</v>
      </c>
      <c r="C744" s="69">
        <f t="shared" si="8"/>
        <v>1008</v>
      </c>
      <c r="D744" s="86" t="s">
        <v>896</v>
      </c>
      <c r="E744" s="189" t="s">
        <v>2404</v>
      </c>
      <c r="F744" s="32">
        <v>1</v>
      </c>
    </row>
    <row r="745" spans="1:6">
      <c r="A745" s="69">
        <v>738</v>
      </c>
      <c r="B745" s="69">
        <v>38</v>
      </c>
      <c r="C745" s="69">
        <f t="shared" si="8"/>
        <v>1008</v>
      </c>
      <c r="D745" s="86" t="s">
        <v>896</v>
      </c>
      <c r="E745" s="189" t="s">
        <v>2405</v>
      </c>
      <c r="F745" s="32">
        <v>1</v>
      </c>
    </row>
    <row r="746" spans="1:6">
      <c r="A746" s="69">
        <v>739</v>
      </c>
      <c r="B746" s="69">
        <v>39</v>
      </c>
      <c r="C746" s="69">
        <f t="shared" si="8"/>
        <v>1008</v>
      </c>
      <c r="D746" s="86" t="s">
        <v>896</v>
      </c>
      <c r="E746" s="189" t="s">
        <v>2406</v>
      </c>
      <c r="F746" s="32">
        <v>1</v>
      </c>
    </row>
    <row r="747" spans="1:6">
      <c r="A747" s="69">
        <v>740</v>
      </c>
      <c r="B747" s="69">
        <v>40</v>
      </c>
      <c r="C747" s="69">
        <f t="shared" si="8"/>
        <v>1008</v>
      </c>
      <c r="D747" s="87" t="s">
        <v>897</v>
      </c>
      <c r="E747" s="190" t="s">
        <v>2407</v>
      </c>
      <c r="F747" s="92">
        <v>2</v>
      </c>
    </row>
    <row r="748" spans="1:6">
      <c r="A748" s="69">
        <v>741</v>
      </c>
      <c r="B748" s="69">
        <v>41</v>
      </c>
      <c r="C748" s="69">
        <f t="shared" si="8"/>
        <v>1008</v>
      </c>
      <c r="D748" s="86" t="s">
        <v>898</v>
      </c>
      <c r="E748" s="189" t="s">
        <v>2408</v>
      </c>
      <c r="F748" s="32">
        <v>1</v>
      </c>
    </row>
    <row r="749" spans="1:6">
      <c r="A749" s="69">
        <v>742</v>
      </c>
      <c r="B749" s="69">
        <v>42</v>
      </c>
      <c r="C749" s="69">
        <f t="shared" si="8"/>
        <v>1008</v>
      </c>
      <c r="D749" s="86" t="s">
        <v>898</v>
      </c>
      <c r="E749" s="189" t="s">
        <v>2409</v>
      </c>
      <c r="F749" s="32">
        <v>1</v>
      </c>
    </row>
    <row r="750" spans="1:6">
      <c r="A750" s="69">
        <v>743</v>
      </c>
      <c r="B750" s="69">
        <v>43</v>
      </c>
      <c r="C750" s="69">
        <f t="shared" si="8"/>
        <v>1008</v>
      </c>
      <c r="D750" s="86" t="s">
        <v>898</v>
      </c>
      <c r="E750" s="189" t="s">
        <v>2410</v>
      </c>
      <c r="F750" s="32">
        <v>1</v>
      </c>
    </row>
    <row r="751" spans="1:6">
      <c r="A751" s="69">
        <v>744</v>
      </c>
      <c r="B751" s="69">
        <v>44</v>
      </c>
      <c r="C751" s="69">
        <f t="shared" si="8"/>
        <v>1008</v>
      </c>
      <c r="D751" s="86" t="s">
        <v>898</v>
      </c>
      <c r="E751" s="189" t="s">
        <v>2411</v>
      </c>
      <c r="F751" s="32">
        <v>1</v>
      </c>
    </row>
    <row r="752" spans="1:6">
      <c r="A752" s="69">
        <v>745</v>
      </c>
      <c r="B752" s="69">
        <v>45</v>
      </c>
      <c r="C752" s="69">
        <f t="shared" si="8"/>
        <v>1008</v>
      </c>
      <c r="D752" s="86" t="s">
        <v>898</v>
      </c>
      <c r="E752" s="189" t="s">
        <v>2412</v>
      </c>
      <c r="F752" s="32">
        <v>1</v>
      </c>
    </row>
    <row r="753" spans="1:6">
      <c r="A753" s="69">
        <v>746</v>
      </c>
      <c r="B753" s="69">
        <v>46</v>
      </c>
      <c r="C753" s="69">
        <f t="shared" si="8"/>
        <v>1008</v>
      </c>
      <c r="D753" s="86" t="s">
        <v>898</v>
      </c>
      <c r="E753" s="189" t="s">
        <v>2413</v>
      </c>
      <c r="F753" s="32">
        <v>1</v>
      </c>
    </row>
    <row r="754" spans="1:6">
      <c r="A754" s="69">
        <v>747</v>
      </c>
      <c r="B754" s="69">
        <v>47</v>
      </c>
      <c r="C754" s="69">
        <f t="shared" si="8"/>
        <v>1008</v>
      </c>
      <c r="D754" s="86" t="s">
        <v>898</v>
      </c>
      <c r="E754" s="189" t="s">
        <v>2414</v>
      </c>
      <c r="F754" s="32">
        <v>1</v>
      </c>
    </row>
    <row r="755" spans="1:6">
      <c r="A755" s="69">
        <v>748</v>
      </c>
      <c r="B755" s="69">
        <v>48</v>
      </c>
      <c r="C755" s="69">
        <f t="shared" si="8"/>
        <v>1008</v>
      </c>
      <c r="D755" s="86" t="s">
        <v>898</v>
      </c>
      <c r="E755" s="189" t="s">
        <v>2415</v>
      </c>
      <c r="F755" s="32">
        <v>1</v>
      </c>
    </row>
    <row r="756" spans="1:6">
      <c r="A756" s="69">
        <v>749</v>
      </c>
      <c r="B756" s="69">
        <v>49</v>
      </c>
      <c r="C756" s="69">
        <f t="shared" si="8"/>
        <v>1008</v>
      </c>
      <c r="D756" s="86" t="s">
        <v>898</v>
      </c>
      <c r="E756" s="189" t="s">
        <v>2416</v>
      </c>
      <c r="F756" s="32">
        <v>1</v>
      </c>
    </row>
    <row r="757" spans="1:6">
      <c r="A757" s="69">
        <v>750</v>
      </c>
      <c r="B757" s="69">
        <v>50</v>
      </c>
      <c r="C757" s="69">
        <f t="shared" si="8"/>
        <v>1008</v>
      </c>
      <c r="D757" s="86" t="s">
        <v>898</v>
      </c>
      <c r="E757" s="189" t="s">
        <v>2417</v>
      </c>
      <c r="F757" s="32">
        <v>1</v>
      </c>
    </row>
    <row r="758" spans="1:6">
      <c r="A758" s="69">
        <v>751</v>
      </c>
      <c r="B758" s="69">
        <v>51</v>
      </c>
      <c r="C758" s="69">
        <f t="shared" si="8"/>
        <v>1008</v>
      </c>
      <c r="D758" s="86" t="s">
        <v>898</v>
      </c>
      <c r="E758" s="189" t="s">
        <v>2418</v>
      </c>
      <c r="F758" s="32">
        <v>1</v>
      </c>
    </row>
    <row r="759" spans="1:6">
      <c r="A759" s="69">
        <v>752</v>
      </c>
      <c r="B759" s="69">
        <v>52</v>
      </c>
      <c r="C759" s="69">
        <f t="shared" si="8"/>
        <v>1008</v>
      </c>
      <c r="D759" s="86" t="s">
        <v>898</v>
      </c>
      <c r="E759" s="189" t="s">
        <v>2419</v>
      </c>
      <c r="F759" s="32">
        <v>1</v>
      </c>
    </row>
    <row r="760" spans="1:6">
      <c r="A760" s="69">
        <v>753</v>
      </c>
      <c r="B760" s="69">
        <v>53</v>
      </c>
      <c r="C760" s="69">
        <f t="shared" si="8"/>
        <v>1008</v>
      </c>
      <c r="D760" s="86" t="s">
        <v>898</v>
      </c>
      <c r="E760" s="189" t="s">
        <v>2420</v>
      </c>
      <c r="F760" s="32">
        <v>1</v>
      </c>
    </row>
    <row r="761" spans="1:6">
      <c r="A761" s="69">
        <v>754</v>
      </c>
      <c r="B761" s="69">
        <v>54</v>
      </c>
      <c r="C761" s="69">
        <f t="shared" si="8"/>
        <v>1008</v>
      </c>
      <c r="D761" s="86" t="s">
        <v>898</v>
      </c>
      <c r="E761" s="189" t="s">
        <v>2421</v>
      </c>
      <c r="F761" s="32">
        <v>1</v>
      </c>
    </row>
    <row r="762" spans="1:6">
      <c r="A762" s="69">
        <v>755</v>
      </c>
      <c r="B762" s="69">
        <v>55</v>
      </c>
      <c r="C762" s="69">
        <f t="shared" si="8"/>
        <v>1008</v>
      </c>
      <c r="D762" s="86" t="s">
        <v>898</v>
      </c>
      <c r="E762" s="189" t="s">
        <v>2422</v>
      </c>
      <c r="F762" s="32">
        <v>1</v>
      </c>
    </row>
    <row r="763" spans="1:6">
      <c r="A763" s="69">
        <v>756</v>
      </c>
      <c r="B763" s="69">
        <v>56</v>
      </c>
      <c r="C763" s="69">
        <f t="shared" si="8"/>
        <v>1008</v>
      </c>
      <c r="D763" s="86" t="s">
        <v>898</v>
      </c>
      <c r="E763" s="189" t="s">
        <v>2423</v>
      </c>
      <c r="F763" s="32">
        <v>1</v>
      </c>
    </row>
    <row r="764" spans="1:6">
      <c r="A764" s="69">
        <v>757</v>
      </c>
      <c r="B764" s="69">
        <v>57</v>
      </c>
      <c r="C764" s="69">
        <f t="shared" si="8"/>
        <v>1008</v>
      </c>
      <c r="D764" s="86" t="s">
        <v>898</v>
      </c>
      <c r="E764" s="189" t="s">
        <v>2424</v>
      </c>
      <c r="F764" s="32">
        <v>1</v>
      </c>
    </row>
    <row r="765" spans="1:6">
      <c r="A765" s="69">
        <v>758</v>
      </c>
      <c r="B765" s="69">
        <v>58</v>
      </c>
      <c r="C765" s="69">
        <f t="shared" si="8"/>
        <v>1008</v>
      </c>
      <c r="D765" s="86" t="s">
        <v>898</v>
      </c>
      <c r="E765" s="189" t="s">
        <v>2425</v>
      </c>
      <c r="F765" s="32">
        <v>1</v>
      </c>
    </row>
    <row r="766" spans="1:6">
      <c r="A766" s="69">
        <v>759</v>
      </c>
      <c r="B766" s="69">
        <v>59</v>
      </c>
      <c r="C766" s="69">
        <f t="shared" si="8"/>
        <v>1008</v>
      </c>
      <c r="D766" s="86" t="s">
        <v>898</v>
      </c>
      <c r="E766" s="189" t="s">
        <v>2426</v>
      </c>
      <c r="F766" s="32">
        <v>1</v>
      </c>
    </row>
    <row r="767" spans="1:6">
      <c r="A767" s="69">
        <v>760</v>
      </c>
      <c r="B767" s="69">
        <v>60</v>
      </c>
      <c r="C767" s="69">
        <f t="shared" si="8"/>
        <v>1008</v>
      </c>
      <c r="D767" s="87" t="s">
        <v>899</v>
      </c>
      <c r="E767" s="190" t="s">
        <v>2427</v>
      </c>
      <c r="F767" s="92">
        <v>2</v>
      </c>
    </row>
    <row r="768" spans="1:6">
      <c r="A768" s="69">
        <v>761</v>
      </c>
      <c r="B768" s="69">
        <v>61</v>
      </c>
      <c r="C768" s="69">
        <f t="shared" si="8"/>
        <v>1008</v>
      </c>
      <c r="D768" s="86" t="s">
        <v>900</v>
      </c>
      <c r="E768" s="189" t="s">
        <v>2428</v>
      </c>
      <c r="F768" s="32">
        <v>1</v>
      </c>
    </row>
    <row r="769" spans="1:6">
      <c r="A769" s="69">
        <v>762</v>
      </c>
      <c r="B769" s="69">
        <v>62</v>
      </c>
      <c r="C769" s="69">
        <f t="shared" si="8"/>
        <v>1008</v>
      </c>
      <c r="D769" s="86" t="s">
        <v>900</v>
      </c>
      <c r="E769" s="189" t="s">
        <v>2429</v>
      </c>
      <c r="F769" s="32">
        <v>1</v>
      </c>
    </row>
    <row r="770" spans="1:6">
      <c r="A770" s="69">
        <v>763</v>
      </c>
      <c r="B770" s="69">
        <v>63</v>
      </c>
      <c r="C770" s="69">
        <f t="shared" si="8"/>
        <v>1008</v>
      </c>
      <c r="D770" s="86" t="s">
        <v>900</v>
      </c>
      <c r="E770" s="189" t="s">
        <v>2430</v>
      </c>
      <c r="F770" s="32">
        <v>1</v>
      </c>
    </row>
    <row r="771" spans="1:6">
      <c r="A771" s="69">
        <v>764</v>
      </c>
      <c r="B771" s="69">
        <v>64</v>
      </c>
      <c r="C771" s="69">
        <f t="shared" si="8"/>
        <v>1008</v>
      </c>
      <c r="D771" s="86" t="s">
        <v>900</v>
      </c>
      <c r="E771" s="189" t="s">
        <v>2431</v>
      </c>
      <c r="F771" s="32">
        <v>1</v>
      </c>
    </row>
    <row r="772" spans="1:6">
      <c r="A772" s="69">
        <v>765</v>
      </c>
      <c r="B772" s="69">
        <v>65</v>
      </c>
      <c r="C772" s="69">
        <f t="shared" si="8"/>
        <v>1008</v>
      </c>
      <c r="D772" s="86" t="s">
        <v>900</v>
      </c>
      <c r="E772" s="189" t="s">
        <v>2432</v>
      </c>
      <c r="F772" s="32">
        <v>1</v>
      </c>
    </row>
    <row r="773" spans="1:6">
      <c r="A773" s="69">
        <v>766</v>
      </c>
      <c r="B773" s="69">
        <v>66</v>
      </c>
      <c r="C773" s="69">
        <f t="shared" si="8"/>
        <v>1008</v>
      </c>
      <c r="D773" s="86" t="s">
        <v>900</v>
      </c>
      <c r="E773" s="189" t="s">
        <v>2433</v>
      </c>
      <c r="F773" s="32">
        <v>1</v>
      </c>
    </row>
    <row r="774" spans="1:6">
      <c r="A774" s="69">
        <v>767</v>
      </c>
      <c r="B774" s="69">
        <v>67</v>
      </c>
      <c r="C774" s="69">
        <f t="shared" si="8"/>
        <v>1008</v>
      </c>
      <c r="D774" s="86" t="s">
        <v>900</v>
      </c>
      <c r="E774" s="189" t="s">
        <v>2434</v>
      </c>
      <c r="F774" s="32">
        <v>1</v>
      </c>
    </row>
    <row r="775" spans="1:6">
      <c r="A775" s="69">
        <v>768</v>
      </c>
      <c r="B775" s="69">
        <v>68</v>
      </c>
      <c r="C775" s="69">
        <f t="shared" si="8"/>
        <v>1008</v>
      </c>
      <c r="D775" s="86" t="s">
        <v>900</v>
      </c>
      <c r="E775" s="189" t="s">
        <v>2435</v>
      </c>
      <c r="F775" s="32">
        <v>1</v>
      </c>
    </row>
    <row r="776" spans="1:6">
      <c r="A776" s="69">
        <v>769</v>
      </c>
      <c r="B776" s="69">
        <v>69</v>
      </c>
      <c r="C776" s="69">
        <f t="shared" si="8"/>
        <v>1008</v>
      </c>
      <c r="D776" s="86" t="s">
        <v>900</v>
      </c>
      <c r="E776" s="189" t="s">
        <v>2436</v>
      </c>
      <c r="F776" s="32">
        <v>1</v>
      </c>
    </row>
    <row r="777" spans="1:6">
      <c r="A777" s="69">
        <v>770</v>
      </c>
      <c r="B777" s="69">
        <v>70</v>
      </c>
      <c r="C777" s="69">
        <f t="shared" si="8"/>
        <v>1008</v>
      </c>
      <c r="D777" s="86" t="s">
        <v>900</v>
      </c>
      <c r="E777" s="189" t="s">
        <v>2437</v>
      </c>
      <c r="F777" s="32">
        <v>1</v>
      </c>
    </row>
    <row r="778" spans="1:6">
      <c r="A778" s="69">
        <v>771</v>
      </c>
      <c r="B778" s="69">
        <v>71</v>
      </c>
      <c r="C778" s="69">
        <f t="shared" si="8"/>
        <v>1008</v>
      </c>
      <c r="D778" s="86" t="s">
        <v>900</v>
      </c>
      <c r="E778" s="189" t="s">
        <v>2438</v>
      </c>
      <c r="F778" s="32">
        <v>1</v>
      </c>
    </row>
    <row r="779" spans="1:6">
      <c r="A779" s="69">
        <v>772</v>
      </c>
      <c r="B779" s="69">
        <v>72</v>
      </c>
      <c r="C779" s="69">
        <f t="shared" si="8"/>
        <v>1008</v>
      </c>
      <c r="D779" s="86" t="s">
        <v>900</v>
      </c>
      <c r="E779" s="189" t="s">
        <v>2439</v>
      </c>
      <c r="F779" s="32">
        <v>1</v>
      </c>
    </row>
    <row r="780" spans="1:6">
      <c r="A780" s="69">
        <v>773</v>
      </c>
      <c r="B780" s="69">
        <v>73</v>
      </c>
      <c r="C780" s="69">
        <f t="shared" si="8"/>
        <v>1008</v>
      </c>
      <c r="D780" s="86" t="s">
        <v>900</v>
      </c>
      <c r="E780" s="189" t="s">
        <v>2440</v>
      </c>
      <c r="F780" s="32">
        <v>1</v>
      </c>
    </row>
    <row r="781" spans="1:6">
      <c r="A781" s="69">
        <v>774</v>
      </c>
      <c r="B781" s="69">
        <v>74</v>
      </c>
      <c r="C781" s="69">
        <f t="shared" si="8"/>
        <v>1008</v>
      </c>
      <c r="D781" s="86" t="s">
        <v>900</v>
      </c>
      <c r="E781" s="189" t="s">
        <v>2441</v>
      </c>
      <c r="F781" s="32">
        <v>1</v>
      </c>
    </row>
    <row r="782" spans="1:6">
      <c r="A782" s="69">
        <v>775</v>
      </c>
      <c r="B782" s="69">
        <v>75</v>
      </c>
      <c r="C782" s="69">
        <f t="shared" si="8"/>
        <v>1008</v>
      </c>
      <c r="D782" s="86" t="s">
        <v>900</v>
      </c>
      <c r="E782" s="189" t="s">
        <v>2442</v>
      </c>
      <c r="F782" s="32">
        <v>1</v>
      </c>
    </row>
    <row r="783" spans="1:6">
      <c r="A783" s="69">
        <v>776</v>
      </c>
      <c r="B783" s="69">
        <v>76</v>
      </c>
      <c r="C783" s="69">
        <f t="shared" si="8"/>
        <v>1008</v>
      </c>
      <c r="D783" s="86" t="s">
        <v>900</v>
      </c>
      <c r="E783" s="189" t="s">
        <v>2443</v>
      </c>
      <c r="F783" s="32">
        <v>1</v>
      </c>
    </row>
    <row r="784" spans="1:6">
      <c r="A784" s="69">
        <v>777</v>
      </c>
      <c r="B784" s="69">
        <v>77</v>
      </c>
      <c r="C784" s="69">
        <f t="shared" si="8"/>
        <v>1008</v>
      </c>
      <c r="D784" s="86" t="s">
        <v>900</v>
      </c>
      <c r="E784" s="189" t="s">
        <v>2444</v>
      </c>
      <c r="F784" s="32">
        <v>1</v>
      </c>
    </row>
    <row r="785" spans="1:6">
      <c r="A785" s="69">
        <v>778</v>
      </c>
      <c r="B785" s="69">
        <v>78</v>
      </c>
      <c r="C785" s="69">
        <f t="shared" si="8"/>
        <v>1008</v>
      </c>
      <c r="D785" s="86" t="s">
        <v>900</v>
      </c>
      <c r="E785" s="189" t="s">
        <v>2445</v>
      </c>
      <c r="F785" s="32">
        <v>1</v>
      </c>
    </row>
    <row r="786" spans="1:6">
      <c r="A786" s="69">
        <v>779</v>
      </c>
      <c r="B786" s="69">
        <v>79</v>
      </c>
      <c r="C786" s="69">
        <f t="shared" si="8"/>
        <v>1008</v>
      </c>
      <c r="D786" s="86" t="s">
        <v>900</v>
      </c>
      <c r="E786" s="189" t="s">
        <v>2446</v>
      </c>
      <c r="F786" s="32">
        <v>1</v>
      </c>
    </row>
    <row r="787" spans="1:6">
      <c r="A787" s="69">
        <v>780</v>
      </c>
      <c r="B787" s="69">
        <v>80</v>
      </c>
      <c r="C787" s="69">
        <f t="shared" si="8"/>
        <v>1008</v>
      </c>
      <c r="D787" s="87" t="s">
        <v>901</v>
      </c>
      <c r="E787" s="190" t="s">
        <v>2447</v>
      </c>
      <c r="F787" s="92">
        <v>2</v>
      </c>
    </row>
    <row r="788" spans="1:6">
      <c r="A788" s="69">
        <v>781</v>
      </c>
      <c r="B788" s="69">
        <v>81</v>
      </c>
      <c r="C788" s="69">
        <f t="shared" si="8"/>
        <v>1008</v>
      </c>
      <c r="D788" s="86" t="s">
        <v>902</v>
      </c>
      <c r="E788" s="189" t="s">
        <v>2448</v>
      </c>
      <c r="F788" s="32">
        <v>1</v>
      </c>
    </row>
    <row r="789" spans="1:6">
      <c r="A789" s="69">
        <v>782</v>
      </c>
      <c r="B789" s="69">
        <v>82</v>
      </c>
      <c r="C789" s="69">
        <f t="shared" ref="C789:C807" si="9">C689+1</f>
        <v>1008</v>
      </c>
      <c r="D789" s="86" t="s">
        <v>902</v>
      </c>
      <c r="E789" s="189" t="s">
        <v>2449</v>
      </c>
      <c r="F789" s="32">
        <v>1</v>
      </c>
    </row>
    <row r="790" spans="1:6">
      <c r="A790" s="69">
        <v>783</v>
      </c>
      <c r="B790" s="69">
        <v>83</v>
      </c>
      <c r="C790" s="69">
        <f t="shared" si="9"/>
        <v>1008</v>
      </c>
      <c r="D790" s="86" t="s">
        <v>902</v>
      </c>
      <c r="E790" s="189" t="s">
        <v>2450</v>
      </c>
      <c r="F790" s="32">
        <v>1</v>
      </c>
    </row>
    <row r="791" spans="1:6">
      <c r="A791" s="69">
        <v>784</v>
      </c>
      <c r="B791" s="69">
        <v>84</v>
      </c>
      <c r="C791" s="69">
        <f t="shared" si="9"/>
        <v>1008</v>
      </c>
      <c r="D791" s="86" t="s">
        <v>902</v>
      </c>
      <c r="E791" s="189" t="s">
        <v>2451</v>
      </c>
      <c r="F791" s="32">
        <v>1</v>
      </c>
    </row>
    <row r="792" spans="1:6">
      <c r="A792" s="69">
        <v>785</v>
      </c>
      <c r="B792" s="69">
        <v>85</v>
      </c>
      <c r="C792" s="69">
        <f t="shared" si="9"/>
        <v>1008</v>
      </c>
      <c r="D792" s="86" t="s">
        <v>902</v>
      </c>
      <c r="E792" s="189" t="s">
        <v>2452</v>
      </c>
      <c r="F792" s="32">
        <v>1</v>
      </c>
    </row>
    <row r="793" spans="1:6">
      <c r="A793" s="69">
        <v>786</v>
      </c>
      <c r="B793" s="69">
        <v>86</v>
      </c>
      <c r="C793" s="69">
        <f t="shared" si="9"/>
        <v>1008</v>
      </c>
      <c r="D793" s="86" t="s">
        <v>902</v>
      </c>
      <c r="E793" s="189" t="s">
        <v>2453</v>
      </c>
      <c r="F793" s="32">
        <v>1</v>
      </c>
    </row>
    <row r="794" spans="1:6">
      <c r="A794" s="69">
        <v>787</v>
      </c>
      <c r="B794" s="69">
        <v>87</v>
      </c>
      <c r="C794" s="69">
        <f t="shared" si="9"/>
        <v>1008</v>
      </c>
      <c r="D794" s="86" t="s">
        <v>902</v>
      </c>
      <c r="E794" s="189" t="s">
        <v>2454</v>
      </c>
      <c r="F794" s="32">
        <v>1</v>
      </c>
    </row>
    <row r="795" spans="1:6">
      <c r="A795" s="69">
        <v>788</v>
      </c>
      <c r="B795" s="69">
        <v>88</v>
      </c>
      <c r="C795" s="69">
        <f t="shared" si="9"/>
        <v>1008</v>
      </c>
      <c r="D795" s="86" t="s">
        <v>902</v>
      </c>
      <c r="E795" s="189" t="s">
        <v>2455</v>
      </c>
      <c r="F795" s="32">
        <v>1</v>
      </c>
    </row>
    <row r="796" spans="1:6">
      <c r="A796" s="69">
        <v>789</v>
      </c>
      <c r="B796" s="69">
        <v>89</v>
      </c>
      <c r="C796" s="69">
        <f t="shared" si="9"/>
        <v>1008</v>
      </c>
      <c r="D796" s="86" t="s">
        <v>902</v>
      </c>
      <c r="E796" s="189" t="s">
        <v>2456</v>
      </c>
      <c r="F796" s="32">
        <v>1</v>
      </c>
    </row>
    <row r="797" spans="1:6">
      <c r="A797" s="69">
        <v>790</v>
      </c>
      <c r="B797" s="69">
        <v>90</v>
      </c>
      <c r="C797" s="69">
        <f t="shared" si="9"/>
        <v>1008</v>
      </c>
      <c r="D797" s="86" t="s">
        <v>902</v>
      </c>
      <c r="E797" s="189" t="s">
        <v>2457</v>
      </c>
      <c r="F797" s="32">
        <v>1</v>
      </c>
    </row>
    <row r="798" spans="1:6">
      <c r="A798" s="69">
        <v>791</v>
      </c>
      <c r="B798" s="69">
        <v>91</v>
      </c>
      <c r="C798" s="69">
        <f t="shared" si="9"/>
        <v>1008</v>
      </c>
      <c r="D798" s="86" t="s">
        <v>902</v>
      </c>
      <c r="E798" s="189" t="s">
        <v>2458</v>
      </c>
      <c r="F798" s="32">
        <v>1</v>
      </c>
    </row>
    <row r="799" spans="1:6">
      <c r="A799" s="69">
        <v>792</v>
      </c>
      <c r="B799" s="69">
        <v>92</v>
      </c>
      <c r="C799" s="69">
        <f t="shared" si="9"/>
        <v>1008</v>
      </c>
      <c r="D799" s="86" t="s">
        <v>902</v>
      </c>
      <c r="E799" s="189" t="s">
        <v>2459</v>
      </c>
      <c r="F799" s="32">
        <v>1</v>
      </c>
    </row>
    <row r="800" spans="1:6">
      <c r="A800" s="69">
        <v>793</v>
      </c>
      <c r="B800" s="69">
        <v>93</v>
      </c>
      <c r="C800" s="69">
        <f t="shared" si="9"/>
        <v>1008</v>
      </c>
      <c r="D800" s="86" t="s">
        <v>902</v>
      </c>
      <c r="E800" s="189" t="s">
        <v>2460</v>
      </c>
      <c r="F800" s="32">
        <v>1</v>
      </c>
    </row>
    <row r="801" spans="1:6">
      <c r="A801" s="69">
        <v>794</v>
      </c>
      <c r="B801" s="69">
        <v>94</v>
      </c>
      <c r="C801" s="69">
        <f t="shared" si="9"/>
        <v>1008</v>
      </c>
      <c r="D801" s="86" t="s">
        <v>902</v>
      </c>
      <c r="E801" s="189" t="s">
        <v>2461</v>
      </c>
      <c r="F801" s="32">
        <v>1</v>
      </c>
    </row>
    <row r="802" spans="1:6">
      <c r="A802" s="69">
        <v>795</v>
      </c>
      <c r="B802" s="69">
        <v>95</v>
      </c>
      <c r="C802" s="69">
        <f t="shared" si="9"/>
        <v>1008</v>
      </c>
      <c r="D802" s="86" t="s">
        <v>902</v>
      </c>
      <c r="E802" s="189" t="s">
        <v>2462</v>
      </c>
      <c r="F802" s="32">
        <v>1</v>
      </c>
    </row>
    <row r="803" spans="1:6">
      <c r="A803" s="69">
        <v>796</v>
      </c>
      <c r="B803" s="69">
        <v>96</v>
      </c>
      <c r="C803" s="69">
        <f t="shared" si="9"/>
        <v>1008</v>
      </c>
      <c r="D803" s="86" t="s">
        <v>902</v>
      </c>
      <c r="E803" s="189" t="s">
        <v>2463</v>
      </c>
      <c r="F803" s="32">
        <v>1</v>
      </c>
    </row>
    <row r="804" spans="1:6">
      <c r="A804" s="69">
        <v>797</v>
      </c>
      <c r="B804" s="69">
        <v>97</v>
      </c>
      <c r="C804" s="69">
        <f t="shared" si="9"/>
        <v>1008</v>
      </c>
      <c r="D804" s="86" t="s">
        <v>902</v>
      </c>
      <c r="E804" s="189" t="s">
        <v>2464</v>
      </c>
      <c r="F804" s="32">
        <v>1</v>
      </c>
    </row>
    <row r="805" spans="1:6">
      <c r="A805" s="69">
        <v>798</v>
      </c>
      <c r="B805" s="69">
        <v>98</v>
      </c>
      <c r="C805" s="69">
        <f t="shared" si="9"/>
        <v>1008</v>
      </c>
      <c r="D805" s="86" t="s">
        <v>902</v>
      </c>
      <c r="E805" s="189" t="s">
        <v>2465</v>
      </c>
      <c r="F805" s="32">
        <v>1</v>
      </c>
    </row>
    <row r="806" spans="1:6">
      <c r="A806" s="69">
        <v>799</v>
      </c>
      <c r="B806" s="69">
        <v>99</v>
      </c>
      <c r="C806" s="69">
        <f t="shared" si="9"/>
        <v>1008</v>
      </c>
      <c r="D806" s="86" t="s">
        <v>902</v>
      </c>
      <c r="E806" s="189" t="s">
        <v>2466</v>
      </c>
      <c r="F806" s="32">
        <v>1</v>
      </c>
    </row>
    <row r="807" spans="1:6">
      <c r="A807" s="69">
        <v>800</v>
      </c>
      <c r="B807" s="69">
        <v>100</v>
      </c>
      <c r="C807" s="69">
        <f t="shared" si="9"/>
        <v>1008</v>
      </c>
      <c r="D807" s="193" t="s">
        <v>902</v>
      </c>
      <c r="E807" s="189" t="s">
        <v>2467</v>
      </c>
      <c r="F807" s="86">
        <v>0</v>
      </c>
    </row>
  </sheetData>
  <autoFilter ref="A7:F807" xr:uid="{00000000-0009-0000-0000-000001000000}"/>
  <phoneticPr fontId="10" type="noConversion"/>
  <pageMargins left="0.75" right="0.75" top="1" bottom="1" header="0.51180555555555596" footer="0.511805555555555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D6B1-C6F3-470C-8E13-258F799895A5}">
  <dimension ref="A1"/>
  <sheetViews>
    <sheetView workbookViewId="0">
      <selection activeCell="F37" sqref="F37"/>
    </sheetView>
  </sheetViews>
  <sheetFormatPr defaultRowHeight="14.25"/>
  <sheetData/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>
      <selection activeCell="A5" sqref="A5"/>
    </sheetView>
  </sheetViews>
  <sheetFormatPr defaultColWidth="9.125" defaultRowHeight="14.25"/>
  <cols>
    <col min="1" max="1" width="8.25" customWidth="1"/>
    <col min="2" max="2" width="8.5" customWidth="1"/>
    <col min="3" max="3" width="50.25" style="2" customWidth="1"/>
    <col min="4" max="4" width="30.375" customWidth="1"/>
    <col min="5" max="5" width="60.375" customWidth="1"/>
    <col min="6" max="6" width="18.25" customWidth="1"/>
    <col min="7" max="7" width="26.5" customWidth="1"/>
  </cols>
  <sheetData>
    <row r="1" spans="1:9" s="1" customFormat="1">
      <c r="A1" s="3" t="s">
        <v>39</v>
      </c>
      <c r="B1" s="4" t="s">
        <v>0</v>
      </c>
      <c r="C1" s="4" t="s">
        <v>40</v>
      </c>
      <c r="D1" s="4" t="s">
        <v>41</v>
      </c>
      <c r="E1" s="4" t="s">
        <v>62</v>
      </c>
      <c r="F1" s="4" t="s">
        <v>63</v>
      </c>
      <c r="G1" s="1" t="s">
        <v>64</v>
      </c>
    </row>
    <row r="2" spans="1:9" s="1" customFormat="1" ht="68.099999999999994" customHeight="1">
      <c r="A2" s="3" t="s">
        <v>8</v>
      </c>
      <c r="B2" s="4"/>
      <c r="C2" s="4"/>
      <c r="D2" s="4"/>
      <c r="E2" s="4"/>
      <c r="F2" s="4"/>
      <c r="G2" s="1" t="s">
        <v>65</v>
      </c>
    </row>
    <row r="3" spans="1:9" s="1" customFormat="1">
      <c r="A3" s="3" t="s">
        <v>9</v>
      </c>
      <c r="B3" s="4" t="s">
        <v>42</v>
      </c>
      <c r="C3" s="4" t="s">
        <v>43</v>
      </c>
      <c r="D3" s="4" t="s">
        <v>44</v>
      </c>
      <c r="E3" s="4" t="s">
        <v>66</v>
      </c>
      <c r="F3" s="4" t="s">
        <v>67</v>
      </c>
      <c r="G3" s="1" t="s">
        <v>68</v>
      </c>
    </row>
    <row r="4" spans="1:9" s="1" customFormat="1">
      <c r="A4" s="3" t="s">
        <v>18</v>
      </c>
      <c r="B4" s="4" t="s">
        <v>18</v>
      </c>
      <c r="C4" s="4" t="s">
        <v>20</v>
      </c>
      <c r="D4" s="4" t="s">
        <v>45</v>
      </c>
      <c r="E4" s="4" t="s">
        <v>21</v>
      </c>
      <c r="F4" s="4" t="s">
        <v>69</v>
      </c>
      <c r="G4" s="1" t="s">
        <v>18</v>
      </c>
    </row>
    <row r="5" spans="1:9">
      <c r="A5" s="5">
        <v>1</v>
      </c>
      <c r="B5" s="5">
        <v>1001</v>
      </c>
      <c r="C5" s="6" t="s">
        <v>23</v>
      </c>
      <c r="D5" s="5" t="s">
        <v>70</v>
      </c>
      <c r="E5" s="5" t="s">
        <v>71</v>
      </c>
      <c r="F5" s="5"/>
      <c r="G5">
        <v>100</v>
      </c>
      <c r="I5" s="16" t="s">
        <v>72</v>
      </c>
    </row>
    <row r="6" spans="1:9">
      <c r="A6" s="5">
        <v>2</v>
      </c>
      <c r="B6" s="5">
        <v>1001</v>
      </c>
      <c r="C6" s="6" t="s">
        <v>73</v>
      </c>
      <c r="D6" s="5" t="s">
        <v>74</v>
      </c>
      <c r="E6" s="5" t="s">
        <v>75</v>
      </c>
      <c r="F6" s="5"/>
      <c r="G6">
        <v>120</v>
      </c>
    </row>
    <row r="7" spans="1:9">
      <c r="A7" s="5">
        <v>3</v>
      </c>
      <c r="B7" s="5">
        <v>1001</v>
      </c>
      <c r="C7" s="6" t="s">
        <v>76</v>
      </c>
      <c r="D7" s="5" t="s">
        <v>77</v>
      </c>
      <c r="E7" s="5" t="s">
        <v>78</v>
      </c>
      <c r="F7" s="5"/>
      <c r="G7">
        <f>G6*1.2</f>
        <v>144</v>
      </c>
    </row>
    <row r="8" spans="1:9">
      <c r="A8" s="5">
        <v>4</v>
      </c>
      <c r="B8" s="5">
        <v>1001</v>
      </c>
      <c r="C8" s="6" t="s">
        <v>79</v>
      </c>
      <c r="D8" s="5" t="s">
        <v>80</v>
      </c>
      <c r="E8" s="5" t="s">
        <v>81</v>
      </c>
      <c r="F8" s="5"/>
      <c r="G8">
        <v>172</v>
      </c>
    </row>
    <row r="9" spans="1:9">
      <c r="A9" s="5">
        <v>5</v>
      </c>
      <c r="B9" s="5">
        <v>1001</v>
      </c>
      <c r="D9" s="5" t="s">
        <v>82</v>
      </c>
      <c r="E9" s="5" t="s">
        <v>83</v>
      </c>
      <c r="F9" s="5"/>
      <c r="G9">
        <v>206</v>
      </c>
    </row>
    <row r="10" spans="1:9">
      <c r="A10" s="7">
        <v>1</v>
      </c>
      <c r="B10" s="7">
        <v>1002</v>
      </c>
      <c r="C10" s="8" t="s">
        <v>24</v>
      </c>
      <c r="D10" s="7" t="s">
        <v>84</v>
      </c>
      <c r="E10" s="7" t="s">
        <v>85</v>
      </c>
      <c r="F10" s="7"/>
      <c r="G10">
        <v>100</v>
      </c>
    </row>
    <row r="11" spans="1:9">
      <c r="A11" s="7">
        <v>2</v>
      </c>
      <c r="B11" s="7">
        <v>1002</v>
      </c>
      <c r="C11" s="8" t="s">
        <v>86</v>
      </c>
      <c r="D11" s="7" t="s">
        <v>87</v>
      </c>
      <c r="E11" s="7" t="s">
        <v>88</v>
      </c>
      <c r="F11" s="7"/>
      <c r="G11">
        <v>125</v>
      </c>
    </row>
    <row r="12" spans="1:9">
      <c r="A12" s="7">
        <v>3</v>
      </c>
      <c r="B12" s="7">
        <v>1002</v>
      </c>
      <c r="C12" s="8" t="s">
        <v>89</v>
      </c>
      <c r="D12" s="7" t="s">
        <v>90</v>
      </c>
      <c r="E12" s="7" t="s">
        <v>91</v>
      </c>
      <c r="F12" s="7"/>
      <c r="G12">
        <v>156</v>
      </c>
    </row>
    <row r="13" spans="1:9">
      <c r="A13" s="7">
        <v>4</v>
      </c>
      <c r="B13" s="7">
        <v>1002</v>
      </c>
      <c r="C13" s="8" t="s">
        <v>92</v>
      </c>
      <c r="D13" s="7" t="s">
        <v>93</v>
      </c>
      <c r="E13" s="7" t="s">
        <v>94</v>
      </c>
      <c r="F13" s="7"/>
      <c r="G13">
        <v>195</v>
      </c>
    </row>
    <row r="14" spans="1:9">
      <c r="A14" s="7">
        <v>5</v>
      </c>
      <c r="B14" s="7">
        <v>1002</v>
      </c>
      <c r="D14" s="7" t="s">
        <v>95</v>
      </c>
      <c r="E14" s="7" t="s">
        <v>96</v>
      </c>
      <c r="F14" s="7"/>
      <c r="G14">
        <v>243</v>
      </c>
    </row>
    <row r="15" spans="1:9">
      <c r="A15" s="7">
        <v>1</v>
      </c>
      <c r="B15" s="7">
        <f>B10+1</f>
        <v>1003</v>
      </c>
      <c r="C15" s="9" t="s">
        <v>26</v>
      </c>
      <c r="D15" s="7" t="s">
        <v>84</v>
      </c>
      <c r="E15" s="7" t="s">
        <v>85</v>
      </c>
      <c r="F15" s="7"/>
      <c r="G15">
        <v>110</v>
      </c>
    </row>
    <row r="16" spans="1:9">
      <c r="A16" s="7">
        <v>2</v>
      </c>
      <c r="B16" s="7">
        <f t="shared" ref="B16:B31" si="0">B11+1</f>
        <v>1003</v>
      </c>
      <c r="C16" s="9" t="s">
        <v>97</v>
      </c>
      <c r="D16" s="7" t="s">
        <v>87</v>
      </c>
      <c r="E16" s="7" t="s">
        <v>88</v>
      </c>
      <c r="F16" s="7"/>
      <c r="G16">
        <v>125</v>
      </c>
    </row>
    <row r="17" spans="1:7">
      <c r="A17" s="7">
        <v>3</v>
      </c>
      <c r="B17" s="7">
        <f t="shared" si="0"/>
        <v>1003</v>
      </c>
      <c r="C17" s="9" t="s">
        <v>98</v>
      </c>
      <c r="D17" s="7" t="s">
        <v>90</v>
      </c>
      <c r="E17" s="7" t="s">
        <v>91</v>
      </c>
      <c r="F17" s="7"/>
      <c r="G17">
        <v>156</v>
      </c>
    </row>
    <row r="18" spans="1:7">
      <c r="A18" s="7">
        <v>4</v>
      </c>
      <c r="B18" s="7">
        <f t="shared" si="0"/>
        <v>1003</v>
      </c>
      <c r="C18" s="9" t="s">
        <v>99</v>
      </c>
      <c r="D18" s="7" t="s">
        <v>93</v>
      </c>
      <c r="E18" s="7" t="s">
        <v>94</v>
      </c>
      <c r="F18" s="7"/>
      <c r="G18">
        <v>195</v>
      </c>
    </row>
    <row r="19" spans="1:7">
      <c r="A19" s="7">
        <v>5</v>
      </c>
      <c r="B19" s="7">
        <f t="shared" si="0"/>
        <v>1003</v>
      </c>
      <c r="D19" s="7" t="s">
        <v>100</v>
      </c>
      <c r="E19" s="7" t="s">
        <v>101</v>
      </c>
      <c r="F19" s="7"/>
      <c r="G19">
        <v>243</v>
      </c>
    </row>
    <row r="20" spans="1:7">
      <c r="A20" s="10">
        <v>1</v>
      </c>
      <c r="B20" s="11">
        <f t="shared" si="0"/>
        <v>1004</v>
      </c>
      <c r="C20" s="12" t="s">
        <v>28</v>
      </c>
      <c r="D20" s="10" t="s">
        <v>102</v>
      </c>
      <c r="E20" s="10" t="s">
        <v>103</v>
      </c>
      <c r="F20" s="11"/>
      <c r="G20">
        <v>120</v>
      </c>
    </row>
    <row r="21" spans="1:7">
      <c r="A21" s="10">
        <v>2</v>
      </c>
      <c r="B21" s="11">
        <f t="shared" si="0"/>
        <v>1004</v>
      </c>
      <c r="C21" s="12" t="s">
        <v>104</v>
      </c>
      <c r="D21" s="10" t="s">
        <v>105</v>
      </c>
      <c r="E21" s="10" t="s">
        <v>106</v>
      </c>
      <c r="F21" s="11"/>
      <c r="G21">
        <v>162</v>
      </c>
    </row>
    <row r="22" spans="1:7">
      <c r="A22" s="10">
        <v>3</v>
      </c>
      <c r="B22" s="11">
        <f t="shared" si="0"/>
        <v>1004</v>
      </c>
      <c r="C22" s="12" t="s">
        <v>107</v>
      </c>
      <c r="D22" s="10" t="s">
        <v>108</v>
      </c>
      <c r="E22" s="10" t="s">
        <v>109</v>
      </c>
      <c r="F22" s="11"/>
      <c r="G22">
        <v>218</v>
      </c>
    </row>
    <row r="23" spans="1:7">
      <c r="A23" s="10">
        <v>4</v>
      </c>
      <c r="B23" s="11">
        <f t="shared" si="0"/>
        <v>1004</v>
      </c>
      <c r="C23" s="12" t="s">
        <v>110</v>
      </c>
      <c r="D23" s="10" t="s">
        <v>111</v>
      </c>
      <c r="E23" s="10" t="s">
        <v>112</v>
      </c>
      <c r="F23" s="11"/>
      <c r="G23">
        <v>295</v>
      </c>
    </row>
    <row r="24" spans="1:7">
      <c r="A24" s="10">
        <v>5</v>
      </c>
      <c r="B24" s="11">
        <f t="shared" si="0"/>
        <v>1004</v>
      </c>
      <c r="D24" s="10" t="s">
        <v>113</v>
      </c>
      <c r="E24" s="10" t="s">
        <v>114</v>
      </c>
      <c r="F24" s="11"/>
      <c r="G24">
        <v>398</v>
      </c>
    </row>
    <row r="25" spans="1:7">
      <c r="A25" s="10">
        <v>1</v>
      </c>
      <c r="B25" s="11">
        <f t="shared" si="0"/>
        <v>1005</v>
      </c>
      <c r="C25" s="12" t="s">
        <v>31</v>
      </c>
      <c r="D25" s="10" t="s">
        <v>102</v>
      </c>
      <c r="E25" s="10" t="s">
        <v>103</v>
      </c>
      <c r="F25" s="11"/>
      <c r="G25">
        <v>125</v>
      </c>
    </row>
    <row r="26" spans="1:7">
      <c r="A26" s="10">
        <v>2</v>
      </c>
      <c r="B26" s="11">
        <f t="shared" si="0"/>
        <v>1005</v>
      </c>
      <c r="C26" s="12" t="s">
        <v>115</v>
      </c>
      <c r="D26" s="10" t="s">
        <v>105</v>
      </c>
      <c r="E26" s="10" t="s">
        <v>106</v>
      </c>
      <c r="F26" s="11"/>
      <c r="G26">
        <v>162</v>
      </c>
    </row>
    <row r="27" spans="1:7">
      <c r="A27" s="10">
        <v>3</v>
      </c>
      <c r="B27" s="11">
        <f t="shared" si="0"/>
        <v>1005</v>
      </c>
      <c r="C27" s="12" t="s">
        <v>116</v>
      </c>
      <c r="D27" s="10" t="s">
        <v>108</v>
      </c>
      <c r="E27" s="10" t="s">
        <v>109</v>
      </c>
      <c r="F27" s="11"/>
      <c r="G27">
        <v>218</v>
      </c>
    </row>
    <row r="28" spans="1:7">
      <c r="A28" s="10">
        <v>4</v>
      </c>
      <c r="B28" s="11">
        <f t="shared" si="0"/>
        <v>1005</v>
      </c>
      <c r="C28" s="12" t="s">
        <v>117</v>
      </c>
      <c r="D28" s="10" t="s">
        <v>111</v>
      </c>
      <c r="E28" s="10" t="s">
        <v>112</v>
      </c>
      <c r="F28" s="11"/>
      <c r="G28">
        <v>295</v>
      </c>
    </row>
    <row r="29" spans="1:7">
      <c r="A29" s="10">
        <v>5</v>
      </c>
      <c r="B29" s="11">
        <f t="shared" si="0"/>
        <v>1005</v>
      </c>
      <c r="D29" s="10" t="s">
        <v>118</v>
      </c>
      <c r="E29" s="10" t="s">
        <v>119</v>
      </c>
      <c r="F29" s="11"/>
      <c r="G29">
        <v>398</v>
      </c>
    </row>
    <row r="30" spans="1:7">
      <c r="A30" s="10">
        <v>1</v>
      </c>
      <c r="B30" s="11">
        <f t="shared" si="0"/>
        <v>1006</v>
      </c>
      <c r="C30" s="12" t="s">
        <v>34</v>
      </c>
      <c r="D30" s="10" t="s">
        <v>102</v>
      </c>
      <c r="E30" s="10" t="s">
        <v>103</v>
      </c>
      <c r="F30" s="11"/>
      <c r="G30">
        <v>130</v>
      </c>
    </row>
    <row r="31" spans="1:7">
      <c r="A31" s="10">
        <v>2</v>
      </c>
      <c r="B31" s="11">
        <f t="shared" si="0"/>
        <v>1006</v>
      </c>
      <c r="C31" s="12" t="s">
        <v>120</v>
      </c>
      <c r="D31" s="10" t="s">
        <v>105</v>
      </c>
      <c r="E31" s="10" t="s">
        <v>106</v>
      </c>
      <c r="F31" s="11"/>
      <c r="G31">
        <v>162</v>
      </c>
    </row>
    <row r="32" spans="1:7">
      <c r="A32" s="10">
        <v>3</v>
      </c>
      <c r="B32" s="11">
        <f t="shared" ref="B32:B44" si="1">B27+1</f>
        <v>1006</v>
      </c>
      <c r="C32" s="12" t="s">
        <v>121</v>
      </c>
      <c r="D32" s="10" t="s">
        <v>108</v>
      </c>
      <c r="E32" s="10" t="s">
        <v>109</v>
      </c>
      <c r="F32" s="11"/>
      <c r="G32">
        <v>218</v>
      </c>
    </row>
    <row r="33" spans="1:7">
      <c r="A33" s="10">
        <v>4</v>
      </c>
      <c r="B33" s="11">
        <f t="shared" si="1"/>
        <v>1006</v>
      </c>
      <c r="C33" s="12" t="s">
        <v>122</v>
      </c>
      <c r="D33" s="10" t="s">
        <v>111</v>
      </c>
      <c r="E33" s="10" t="s">
        <v>112</v>
      </c>
      <c r="F33" s="11"/>
      <c r="G33">
        <v>295</v>
      </c>
    </row>
    <row r="34" spans="1:7">
      <c r="A34" s="10">
        <v>5</v>
      </c>
      <c r="B34" s="11">
        <f t="shared" si="1"/>
        <v>1006</v>
      </c>
      <c r="D34" s="10" t="s">
        <v>123</v>
      </c>
      <c r="E34" s="10" t="s">
        <v>124</v>
      </c>
      <c r="F34" s="11"/>
      <c r="G34">
        <v>398</v>
      </c>
    </row>
    <row r="35" spans="1:7">
      <c r="A35" s="13">
        <v>1</v>
      </c>
      <c r="B35" s="14">
        <f t="shared" si="1"/>
        <v>1007</v>
      </c>
      <c r="C35" s="15" t="s">
        <v>36</v>
      </c>
      <c r="D35" s="13" t="s">
        <v>125</v>
      </c>
      <c r="E35" s="13" t="s">
        <v>126</v>
      </c>
      <c r="F35" s="14"/>
      <c r="G35">
        <v>150</v>
      </c>
    </row>
    <row r="36" spans="1:7">
      <c r="A36" s="13">
        <v>2</v>
      </c>
      <c r="B36" s="14">
        <f t="shared" si="1"/>
        <v>1007</v>
      </c>
      <c r="C36" s="15" t="s">
        <v>127</v>
      </c>
      <c r="D36" s="13" t="s">
        <v>128</v>
      </c>
      <c r="E36" s="13" t="s">
        <v>129</v>
      </c>
      <c r="F36" s="14"/>
      <c r="G36">
        <v>225</v>
      </c>
    </row>
    <row r="37" spans="1:7">
      <c r="A37" s="13">
        <v>3</v>
      </c>
      <c r="B37" s="14">
        <f t="shared" si="1"/>
        <v>1007</v>
      </c>
      <c r="C37" s="15" t="s">
        <v>130</v>
      </c>
      <c r="D37" s="13" t="s">
        <v>131</v>
      </c>
      <c r="E37" s="13" t="s">
        <v>132</v>
      </c>
      <c r="F37" s="14"/>
      <c r="G37">
        <v>337</v>
      </c>
    </row>
    <row r="38" spans="1:7">
      <c r="A38" s="13">
        <v>4</v>
      </c>
      <c r="B38" s="14">
        <f t="shared" si="1"/>
        <v>1007</v>
      </c>
      <c r="C38" s="15" t="s">
        <v>133</v>
      </c>
      <c r="D38" s="13" t="s">
        <v>134</v>
      </c>
      <c r="E38" s="13" t="s">
        <v>135</v>
      </c>
      <c r="F38" s="14"/>
      <c r="G38">
        <v>505</v>
      </c>
    </row>
    <row r="39" spans="1:7">
      <c r="A39" s="13">
        <v>5</v>
      </c>
      <c r="B39" s="14">
        <f t="shared" si="1"/>
        <v>1007</v>
      </c>
      <c r="D39" s="13" t="s">
        <v>136</v>
      </c>
      <c r="E39" s="13" t="s">
        <v>137</v>
      </c>
      <c r="F39" s="14"/>
      <c r="G39">
        <v>758</v>
      </c>
    </row>
    <row r="40" spans="1:7">
      <c r="A40" s="13">
        <v>1</v>
      </c>
      <c r="B40" s="14">
        <f t="shared" si="1"/>
        <v>1008</v>
      </c>
      <c r="C40" s="15" t="s">
        <v>38</v>
      </c>
      <c r="D40" s="13" t="s">
        <v>125</v>
      </c>
      <c r="E40" s="13" t="s">
        <v>126</v>
      </c>
      <c r="F40" s="14"/>
      <c r="G40">
        <v>160</v>
      </c>
    </row>
    <row r="41" spans="1:7">
      <c r="A41" s="13">
        <v>2</v>
      </c>
      <c r="B41" s="14">
        <f t="shared" si="1"/>
        <v>1008</v>
      </c>
      <c r="C41" s="15" t="s">
        <v>138</v>
      </c>
      <c r="D41" s="13" t="s">
        <v>128</v>
      </c>
      <c r="E41" s="13" t="s">
        <v>129</v>
      </c>
      <c r="F41" s="14"/>
      <c r="G41">
        <f t="shared" ref="G41:G44" si="2">INT(G40*1.5)</f>
        <v>240</v>
      </c>
    </row>
    <row r="42" spans="1:7">
      <c r="A42" s="13">
        <v>3</v>
      </c>
      <c r="B42" s="14">
        <f t="shared" si="1"/>
        <v>1008</v>
      </c>
      <c r="C42" s="15" t="s">
        <v>139</v>
      </c>
      <c r="D42" s="13" t="s">
        <v>131</v>
      </c>
      <c r="E42" s="13" t="s">
        <v>132</v>
      </c>
      <c r="F42" s="14"/>
      <c r="G42">
        <f t="shared" si="2"/>
        <v>360</v>
      </c>
    </row>
    <row r="43" spans="1:7">
      <c r="A43" s="13">
        <v>4</v>
      </c>
      <c r="B43" s="14">
        <f t="shared" si="1"/>
        <v>1008</v>
      </c>
      <c r="C43" s="15" t="s">
        <v>140</v>
      </c>
      <c r="D43" s="13" t="s">
        <v>134</v>
      </c>
      <c r="E43" s="13" t="s">
        <v>135</v>
      </c>
      <c r="F43" s="14"/>
      <c r="G43">
        <f t="shared" si="2"/>
        <v>540</v>
      </c>
    </row>
    <row r="44" spans="1:7">
      <c r="A44" s="13">
        <v>5</v>
      </c>
      <c r="B44" s="14">
        <f t="shared" si="1"/>
        <v>1008</v>
      </c>
      <c r="D44" s="13" t="s">
        <v>141</v>
      </c>
      <c r="E44" s="13" t="s">
        <v>142</v>
      </c>
      <c r="F44" s="14"/>
      <c r="G44">
        <f t="shared" si="2"/>
        <v>810</v>
      </c>
    </row>
  </sheetData>
  <phoneticPr fontId="10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C3F5-3C48-4555-B073-39E591C644CD}">
  <dimension ref="A1:I24"/>
  <sheetViews>
    <sheetView workbookViewId="0">
      <selection activeCell="H21" sqref="H21"/>
    </sheetView>
  </sheetViews>
  <sheetFormatPr defaultRowHeight="14.25"/>
  <cols>
    <col min="1" max="1" width="8" bestFit="1" customWidth="1"/>
    <col min="2" max="2" width="8.75" bestFit="1" customWidth="1"/>
    <col min="3" max="3" width="7.875" bestFit="1" customWidth="1"/>
    <col min="4" max="4" width="8.5" bestFit="1" customWidth="1"/>
    <col min="5" max="5" width="7.75" bestFit="1" customWidth="1"/>
    <col min="6" max="6" width="40.75" bestFit="1" customWidth="1"/>
    <col min="7" max="7" width="13.125" bestFit="1" customWidth="1"/>
    <col min="8" max="8" width="22.625" bestFit="1" customWidth="1"/>
    <col min="9" max="9" width="7" bestFit="1" customWidth="1"/>
  </cols>
  <sheetData>
    <row r="1" spans="1:9" ht="18">
      <c r="A1" s="17" t="s">
        <v>143</v>
      </c>
      <c r="B1" s="17"/>
      <c r="C1" s="17"/>
      <c r="D1" s="17"/>
      <c r="E1" s="17"/>
      <c r="F1" s="17"/>
      <c r="G1" s="17"/>
      <c r="H1" s="17"/>
      <c r="I1" s="18"/>
    </row>
    <row r="2" spans="1:9" ht="18">
      <c r="A2" s="17"/>
      <c r="B2" s="17"/>
      <c r="C2" s="17"/>
      <c r="D2" s="17"/>
      <c r="E2" s="17"/>
      <c r="F2" s="17"/>
      <c r="G2" s="17"/>
      <c r="H2" s="17"/>
      <c r="I2" s="18"/>
    </row>
    <row r="3" spans="1:9" ht="90">
      <c r="A3" s="17"/>
      <c r="B3" s="19" t="s">
        <v>144</v>
      </c>
      <c r="C3" s="17"/>
      <c r="D3" s="20" t="s">
        <v>145</v>
      </c>
      <c r="E3" s="17"/>
      <c r="F3" s="17"/>
      <c r="G3" s="17"/>
      <c r="H3" s="19"/>
      <c r="I3" s="20" t="s">
        <v>146</v>
      </c>
    </row>
    <row r="4" spans="1:9" ht="18">
      <c r="A4" s="21" t="s">
        <v>147</v>
      </c>
      <c r="B4" s="21" t="s">
        <v>4</v>
      </c>
      <c r="C4" s="22" t="s">
        <v>148</v>
      </c>
      <c r="D4" s="21" t="s">
        <v>149</v>
      </c>
      <c r="E4" s="21" t="s">
        <v>150</v>
      </c>
      <c r="F4" s="22" t="s">
        <v>151</v>
      </c>
      <c r="G4" s="21" t="s">
        <v>152</v>
      </c>
      <c r="H4" s="23" t="s">
        <v>153</v>
      </c>
      <c r="I4" s="24"/>
    </row>
    <row r="5" spans="1:9" ht="18">
      <c r="A5" s="21" t="s">
        <v>154</v>
      </c>
      <c r="B5" s="21" t="s">
        <v>154</v>
      </c>
      <c r="C5" s="22"/>
      <c r="D5" s="21" t="s">
        <v>154</v>
      </c>
      <c r="E5" s="21" t="s">
        <v>154</v>
      </c>
      <c r="F5" s="22"/>
      <c r="G5" s="21" t="s">
        <v>154</v>
      </c>
      <c r="H5" s="23" t="s">
        <v>154</v>
      </c>
      <c r="I5" s="24" t="s">
        <v>154</v>
      </c>
    </row>
    <row r="6" spans="1:9" ht="18">
      <c r="A6" s="21" t="s">
        <v>155</v>
      </c>
      <c r="B6" s="21" t="s">
        <v>156</v>
      </c>
      <c r="C6" s="22" t="s">
        <v>157</v>
      </c>
      <c r="D6" s="21" t="s">
        <v>158</v>
      </c>
      <c r="E6" s="21" t="s">
        <v>159</v>
      </c>
      <c r="F6" s="22" t="s">
        <v>160</v>
      </c>
      <c r="G6" s="21" t="s">
        <v>161</v>
      </c>
      <c r="H6" s="23" t="s">
        <v>162</v>
      </c>
      <c r="I6" s="24" t="s">
        <v>163</v>
      </c>
    </row>
    <row r="7" spans="1:9" ht="18">
      <c r="A7" s="25" t="s">
        <v>164</v>
      </c>
      <c r="B7" s="25" t="s">
        <v>164</v>
      </c>
      <c r="C7" s="26"/>
      <c r="D7" s="27" t="s">
        <v>164</v>
      </c>
      <c r="E7" s="25" t="s">
        <v>19</v>
      </c>
      <c r="F7" s="26" t="s">
        <v>19</v>
      </c>
      <c r="G7" s="28" t="s">
        <v>19</v>
      </c>
      <c r="H7" s="29" t="s">
        <v>19</v>
      </c>
      <c r="I7" s="30" t="s">
        <v>164</v>
      </c>
    </row>
    <row r="8" spans="1:9" ht="18">
      <c r="A8" s="31">
        <v>1</v>
      </c>
      <c r="B8" s="32">
        <v>1</v>
      </c>
      <c r="C8" s="31"/>
      <c r="D8" s="31">
        <v>1</v>
      </c>
      <c r="E8" s="31" t="s">
        <v>165</v>
      </c>
      <c r="F8" s="31" t="s">
        <v>166</v>
      </c>
      <c r="G8" s="31" t="s">
        <v>167</v>
      </c>
      <c r="H8" s="32" t="s">
        <v>168</v>
      </c>
      <c r="I8" s="32">
        <v>0</v>
      </c>
    </row>
    <row r="9" spans="1:9" ht="18">
      <c r="A9" s="33">
        <v>2</v>
      </c>
      <c r="B9" s="34">
        <v>3</v>
      </c>
      <c r="C9" s="33"/>
      <c r="D9" s="33">
        <v>1</v>
      </c>
      <c r="E9" s="33" t="s">
        <v>169</v>
      </c>
      <c r="F9" s="33" t="s">
        <v>170</v>
      </c>
      <c r="G9" s="33" t="s">
        <v>171</v>
      </c>
      <c r="H9" s="33" t="s">
        <v>172</v>
      </c>
      <c r="I9" s="34">
        <v>0</v>
      </c>
    </row>
    <row r="14" spans="1:9">
      <c r="C14" s="45"/>
      <c r="D14" s="45"/>
      <c r="E14" s="45"/>
      <c r="F14" s="45"/>
    </row>
    <row r="15" spans="1:9">
      <c r="C15" s="45"/>
      <c r="D15" s="45"/>
      <c r="E15" s="45"/>
      <c r="F15" s="45"/>
    </row>
    <row r="16" spans="1:9">
      <c r="C16" s="45"/>
      <c r="D16" s="45"/>
      <c r="E16" s="45"/>
      <c r="F16" s="45"/>
    </row>
    <row r="17" spans="3:6">
      <c r="C17" s="45"/>
      <c r="D17" s="45"/>
      <c r="E17" s="45"/>
      <c r="F17" s="45"/>
    </row>
    <row r="18" spans="3:6">
      <c r="C18" s="45"/>
      <c r="D18" s="45"/>
      <c r="E18" s="45"/>
      <c r="F18" s="45"/>
    </row>
    <row r="19" spans="3:6">
      <c r="C19" s="45"/>
      <c r="D19" s="45"/>
      <c r="E19" s="45"/>
      <c r="F19" s="45"/>
    </row>
    <row r="20" spans="3:6">
      <c r="C20" s="45"/>
      <c r="D20" s="45"/>
      <c r="E20" s="45"/>
      <c r="F20" s="45"/>
    </row>
    <row r="21" spans="3:6">
      <c r="C21" s="45"/>
      <c r="D21" s="45"/>
      <c r="E21" s="45"/>
      <c r="F21" s="45"/>
    </row>
    <row r="22" spans="3:6">
      <c r="C22" s="45"/>
      <c r="D22" s="45"/>
      <c r="E22" s="45"/>
      <c r="F22" s="45"/>
    </row>
    <row r="23" spans="3:6">
      <c r="C23" s="45"/>
      <c r="D23" s="45"/>
      <c r="E23" s="45"/>
      <c r="F23" s="45"/>
    </row>
    <row r="24" spans="3:6">
      <c r="C24" s="45"/>
      <c r="D24" s="45"/>
      <c r="E24" s="45"/>
      <c r="F24" s="45"/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CFD9-A312-49BB-85A4-BA38DC47ACF4}">
  <dimension ref="A1:U804"/>
  <sheetViews>
    <sheetView topLeftCell="D1" workbookViewId="0">
      <selection activeCell="L24" sqref="L24"/>
    </sheetView>
  </sheetViews>
  <sheetFormatPr defaultColWidth="9.125" defaultRowHeight="18"/>
  <cols>
    <col min="1" max="1" width="8.25" style="55" customWidth="1"/>
    <col min="2" max="2" width="8.5" style="55" customWidth="1"/>
    <col min="3" max="3" width="48.625" style="59" customWidth="1"/>
    <col min="4" max="4" width="21" style="54" bestFit="1" customWidth="1"/>
    <col min="5" max="5" width="21" style="54" customWidth="1"/>
    <col min="6" max="6" width="9.125" style="54"/>
    <col min="7" max="8" width="9.125" style="77"/>
    <col min="9" max="9" width="9.375" style="77" bestFit="1" customWidth="1"/>
    <col min="10" max="10" width="10.625" style="77" bestFit="1" customWidth="1"/>
    <col min="11" max="11" width="9.125" style="55"/>
    <col min="12" max="13" width="22.75" style="55" bestFit="1" customWidth="1"/>
    <col min="14" max="14" width="9.125" style="55"/>
    <col min="15" max="16" width="5.5" style="55" bestFit="1" customWidth="1"/>
    <col min="17" max="17" width="3" style="54" bestFit="1" customWidth="1"/>
    <col min="18" max="19" width="9.125" style="55"/>
    <col min="20" max="21" width="22.875" style="55" bestFit="1" customWidth="1"/>
    <col min="22" max="16384" width="9.125" style="55"/>
  </cols>
  <sheetData>
    <row r="1" spans="1:21" s="35" customFormat="1">
      <c r="A1" s="50" t="s">
        <v>39</v>
      </c>
      <c r="B1" s="50" t="s">
        <v>0</v>
      </c>
      <c r="C1" s="50" t="s">
        <v>40</v>
      </c>
      <c r="D1" s="51" t="s">
        <v>41</v>
      </c>
      <c r="E1" s="75"/>
      <c r="F1" s="52"/>
      <c r="G1" s="76"/>
      <c r="H1" s="76"/>
      <c r="I1" s="76"/>
      <c r="J1" s="76"/>
      <c r="Q1" s="52"/>
    </row>
    <row r="2" spans="1:21" s="35" customFormat="1" ht="68.099999999999994" customHeight="1">
      <c r="A2" s="50" t="s">
        <v>8</v>
      </c>
      <c r="B2" s="50"/>
      <c r="C2" s="50" t="s">
        <v>857</v>
      </c>
      <c r="D2" s="51"/>
      <c r="E2" s="75"/>
      <c r="F2" s="52"/>
      <c r="G2" s="76" t="s">
        <v>2107</v>
      </c>
      <c r="H2" s="76"/>
      <c r="I2" s="76"/>
      <c r="J2" s="76"/>
      <c r="L2" s="35">
        <v>5</v>
      </c>
      <c r="M2" s="76">
        <f>G5+H5</f>
        <v>1400</v>
      </c>
      <c r="N2" s="35">
        <f>M2+L2</f>
        <v>1405</v>
      </c>
      <c r="Q2" s="52"/>
    </row>
    <row r="3" spans="1:21" s="35" customFormat="1">
      <c r="A3" s="50" t="s">
        <v>9</v>
      </c>
      <c r="B3" s="50" t="s">
        <v>42</v>
      </c>
      <c r="C3" s="50" t="s">
        <v>43</v>
      </c>
      <c r="D3" s="51" t="s">
        <v>44</v>
      </c>
      <c r="E3" s="75"/>
      <c r="F3" s="52"/>
      <c r="G3" s="76"/>
      <c r="H3" s="76"/>
      <c r="I3" s="76"/>
      <c r="J3" s="76"/>
      <c r="Q3" s="52"/>
    </row>
    <row r="4" spans="1:21" s="35" customFormat="1">
      <c r="A4" s="50" t="s">
        <v>18</v>
      </c>
      <c r="B4" s="50" t="s">
        <v>18</v>
      </c>
      <c r="C4" s="50" t="s">
        <v>20</v>
      </c>
      <c r="D4" s="51" t="s">
        <v>45</v>
      </c>
      <c r="E4" s="75"/>
      <c r="F4" s="52"/>
      <c r="G4" s="76"/>
      <c r="H4" s="76"/>
      <c r="I4" s="76"/>
      <c r="J4" s="76"/>
      <c r="Q4" s="52"/>
    </row>
    <row r="5" spans="1:21">
      <c r="A5" s="53">
        <v>1</v>
      </c>
      <c r="B5" s="53">
        <v>1001</v>
      </c>
      <c r="C5" s="53" t="s">
        <v>46</v>
      </c>
      <c r="D5" s="54" t="s">
        <v>858</v>
      </c>
      <c r="E5" s="54" t="s">
        <v>915</v>
      </c>
      <c r="F5" s="54" t="s">
        <v>873</v>
      </c>
      <c r="G5" s="77" t="s">
        <v>906</v>
      </c>
      <c r="H5" s="77" t="s">
        <v>2105</v>
      </c>
      <c r="I5" s="77" t="s">
        <v>2106</v>
      </c>
      <c r="J5" s="77">
        <f>H5+I5</f>
        <v>208</v>
      </c>
      <c r="L5" s="55" t="str">
        <f>"{"&amp;D5&amp;"}"&amp;","&amp;"{"&amp;F5&amp;"}"</f>
        <v>{1},{3}</v>
      </c>
      <c r="M5" s="55" t="s">
        <v>193</v>
      </c>
      <c r="O5" s="54">
        <v>201</v>
      </c>
      <c r="P5" s="54" t="s">
        <v>874</v>
      </c>
      <c r="Q5" s="60">
        <v>2</v>
      </c>
      <c r="R5" s="54" t="s">
        <v>859</v>
      </c>
      <c r="T5" s="55" t="str">
        <f>"{"&amp;O5&amp;","&amp;P5&amp;"}"&amp;","&amp;"{"&amp;Q5&amp;","&amp;R5&amp;"}"</f>
        <v>{201,20},{2,400}</v>
      </c>
      <c r="U5" s="55" t="s">
        <v>887</v>
      </c>
    </row>
    <row r="6" spans="1:21">
      <c r="A6" s="53">
        <v>2</v>
      </c>
      <c r="B6" s="53">
        <v>1001</v>
      </c>
      <c r="C6" s="53" t="s">
        <v>47</v>
      </c>
      <c r="D6" s="54" t="s">
        <v>858</v>
      </c>
      <c r="E6" s="54" t="s">
        <v>916</v>
      </c>
      <c r="F6" s="54" t="s">
        <v>873</v>
      </c>
      <c r="G6" s="77" t="s">
        <v>1449</v>
      </c>
      <c r="H6" s="77" t="s">
        <v>2033</v>
      </c>
      <c r="I6" s="77" t="s">
        <v>2106</v>
      </c>
      <c r="J6" s="77">
        <f>H5+I6</f>
        <v>208</v>
      </c>
      <c r="L6" s="55" t="str">
        <f t="shared" ref="L6:L69" si="0">"{"&amp;D6&amp;"}"&amp;","&amp;"{"&amp;F6&amp;"}"</f>
        <v>{1},{3}</v>
      </c>
      <c r="M6" s="55" t="s">
        <v>194</v>
      </c>
      <c r="O6" s="54">
        <v>201</v>
      </c>
      <c r="P6" s="54" t="s">
        <v>875</v>
      </c>
      <c r="Q6" s="60">
        <v>2</v>
      </c>
      <c r="R6" s="54" t="s">
        <v>860</v>
      </c>
      <c r="T6" s="55" t="str">
        <f t="shared" ref="T6:T69" si="1">"{"&amp;O6&amp;","&amp;P6&amp;"}"&amp;","&amp;"{"&amp;Q6&amp;","&amp;R6&amp;"}"</f>
        <v>{201,22},{2,440}</v>
      </c>
      <c r="U6" s="55" t="s">
        <v>888</v>
      </c>
    </row>
    <row r="7" spans="1:21">
      <c r="A7" s="53">
        <v>3</v>
      </c>
      <c r="B7" s="53">
        <v>1001</v>
      </c>
      <c r="C7" s="53" t="s">
        <v>48</v>
      </c>
      <c r="D7" s="54" t="s">
        <v>858</v>
      </c>
      <c r="E7" s="54" t="s">
        <v>917</v>
      </c>
      <c r="F7" s="54" t="s">
        <v>873</v>
      </c>
      <c r="G7" s="77" t="s">
        <v>1206</v>
      </c>
      <c r="H7" s="77" t="s">
        <v>2030</v>
      </c>
      <c r="I7" s="77" t="s">
        <v>2106</v>
      </c>
      <c r="J7" s="77">
        <f>J6+I7</f>
        <v>216</v>
      </c>
      <c r="L7" s="55" t="str">
        <f t="shared" si="0"/>
        <v>{1},{3}</v>
      </c>
      <c r="M7" s="55" t="s">
        <v>195</v>
      </c>
      <c r="O7" s="54">
        <v>201</v>
      </c>
      <c r="P7" s="54" t="s">
        <v>876</v>
      </c>
      <c r="Q7" s="60">
        <v>2</v>
      </c>
      <c r="R7" s="54" t="s">
        <v>861</v>
      </c>
      <c r="T7" s="55" t="str">
        <f t="shared" si="1"/>
        <v>{201,24},{2,480}</v>
      </c>
      <c r="U7" s="55" t="s">
        <v>889</v>
      </c>
    </row>
    <row r="8" spans="1:21">
      <c r="A8" s="53">
        <v>4</v>
      </c>
      <c r="B8" s="53">
        <v>1001</v>
      </c>
      <c r="C8" s="53" t="s">
        <v>49</v>
      </c>
      <c r="D8" s="54" t="s">
        <v>858</v>
      </c>
      <c r="E8" s="54" t="s">
        <v>918</v>
      </c>
      <c r="F8" s="54" t="s">
        <v>873</v>
      </c>
      <c r="G8" s="77" t="s">
        <v>1450</v>
      </c>
      <c r="H8" s="77" t="s">
        <v>2031</v>
      </c>
      <c r="I8" s="77" t="s">
        <v>2106</v>
      </c>
      <c r="J8" s="77">
        <f>J7+I8</f>
        <v>224</v>
      </c>
      <c r="L8" s="55" t="str">
        <f t="shared" si="0"/>
        <v>{1},{3}</v>
      </c>
      <c r="M8" s="55" t="s">
        <v>196</v>
      </c>
      <c r="O8" s="54">
        <v>201</v>
      </c>
      <c r="P8" s="54" t="s">
        <v>877</v>
      </c>
      <c r="Q8" s="60">
        <v>2</v>
      </c>
      <c r="R8" s="54" t="s">
        <v>862</v>
      </c>
      <c r="T8" s="55" t="str">
        <f t="shared" si="1"/>
        <v>{201,25},{2,500}</v>
      </c>
      <c r="U8" s="55" t="s">
        <v>890</v>
      </c>
    </row>
    <row r="9" spans="1:21">
      <c r="A9" s="53">
        <v>5</v>
      </c>
      <c r="B9" s="53">
        <v>1001</v>
      </c>
      <c r="C9" s="53" t="s">
        <v>50</v>
      </c>
      <c r="D9" s="54" t="s">
        <v>858</v>
      </c>
      <c r="E9" s="54" t="s">
        <v>919</v>
      </c>
      <c r="F9" s="54" t="s">
        <v>873</v>
      </c>
      <c r="G9" s="77" t="s">
        <v>1451</v>
      </c>
      <c r="H9" s="77" t="s">
        <v>2032</v>
      </c>
      <c r="I9" s="77" t="s">
        <v>2106</v>
      </c>
      <c r="J9" s="77">
        <f t="shared" ref="J9:J22" si="2">J8+I9</f>
        <v>232</v>
      </c>
      <c r="L9" s="55" t="str">
        <f t="shared" si="0"/>
        <v>{1},{3}</v>
      </c>
      <c r="M9" s="55" t="s">
        <v>197</v>
      </c>
      <c r="O9" s="54">
        <v>201</v>
      </c>
      <c r="P9" s="54" t="s">
        <v>878</v>
      </c>
      <c r="Q9" s="60">
        <v>2</v>
      </c>
      <c r="R9" s="54" t="s">
        <v>863</v>
      </c>
      <c r="T9" s="55" t="str">
        <f t="shared" si="1"/>
        <v>{201,27},{2,540}</v>
      </c>
      <c r="U9" s="55" t="s">
        <v>891</v>
      </c>
    </row>
    <row r="10" spans="1:21">
      <c r="A10" s="53">
        <v>6</v>
      </c>
      <c r="B10" s="53">
        <v>1001</v>
      </c>
      <c r="C10" s="53" t="s">
        <v>51</v>
      </c>
      <c r="D10" s="54" t="s">
        <v>858</v>
      </c>
      <c r="E10" s="54" t="s">
        <v>884</v>
      </c>
      <c r="F10" s="54" t="s">
        <v>873</v>
      </c>
      <c r="G10" s="77" t="s">
        <v>912</v>
      </c>
      <c r="H10" s="77" t="s">
        <v>915</v>
      </c>
      <c r="I10" s="77" t="s">
        <v>2106</v>
      </c>
      <c r="J10" s="77">
        <f t="shared" si="2"/>
        <v>240</v>
      </c>
      <c r="L10" s="55" t="str">
        <f t="shared" si="0"/>
        <v>{1},{3}</v>
      </c>
      <c r="M10" s="55" t="s">
        <v>198</v>
      </c>
      <c r="O10" s="54">
        <v>201</v>
      </c>
      <c r="P10" s="54" t="s">
        <v>879</v>
      </c>
      <c r="Q10" s="60">
        <v>2</v>
      </c>
      <c r="R10" s="54" t="s">
        <v>864</v>
      </c>
      <c r="T10" s="55" t="str">
        <f t="shared" si="1"/>
        <v>{201,29},{2,580}</v>
      </c>
      <c r="U10" s="55" t="s">
        <v>892</v>
      </c>
    </row>
    <row r="11" spans="1:21">
      <c r="A11" s="53">
        <v>7</v>
      </c>
      <c r="B11" s="53">
        <v>1001</v>
      </c>
      <c r="C11" s="53" t="s">
        <v>52</v>
      </c>
      <c r="D11" s="54" t="s">
        <v>858</v>
      </c>
      <c r="E11" s="54" t="s">
        <v>920</v>
      </c>
      <c r="F11" s="54" t="s">
        <v>873</v>
      </c>
      <c r="G11" s="77" t="s">
        <v>1525</v>
      </c>
      <c r="H11" s="77" t="s">
        <v>916</v>
      </c>
      <c r="I11" s="77" t="s">
        <v>2106</v>
      </c>
      <c r="J11" s="77">
        <f t="shared" si="2"/>
        <v>248</v>
      </c>
      <c r="L11" s="55" t="str">
        <f t="shared" si="0"/>
        <v>{1},{3}</v>
      </c>
      <c r="M11" s="55" t="s">
        <v>199</v>
      </c>
      <c r="O11" s="54">
        <v>201</v>
      </c>
      <c r="P11" s="54" t="s">
        <v>880</v>
      </c>
      <c r="Q11" s="60">
        <v>2</v>
      </c>
      <c r="R11" s="54" t="s">
        <v>865</v>
      </c>
      <c r="T11" s="55" t="str">
        <f t="shared" si="1"/>
        <v>{201,30},{2,600}</v>
      </c>
      <c r="U11" s="55" t="s">
        <v>893</v>
      </c>
    </row>
    <row r="12" spans="1:21">
      <c r="A12" s="53">
        <v>8</v>
      </c>
      <c r="B12" s="53">
        <v>1001</v>
      </c>
      <c r="C12" s="53" t="s">
        <v>53</v>
      </c>
      <c r="D12" s="54" t="s">
        <v>858</v>
      </c>
      <c r="E12" s="54" t="s">
        <v>921</v>
      </c>
      <c r="F12" s="54" t="s">
        <v>873</v>
      </c>
      <c r="G12" s="77" t="s">
        <v>1289</v>
      </c>
      <c r="H12" s="77" t="s">
        <v>917</v>
      </c>
      <c r="I12" s="77" t="s">
        <v>2106</v>
      </c>
      <c r="J12" s="77">
        <f t="shared" si="2"/>
        <v>256</v>
      </c>
      <c r="L12" s="55" t="str">
        <f t="shared" si="0"/>
        <v>{1},{3}</v>
      </c>
      <c r="M12" s="55" t="s">
        <v>200</v>
      </c>
      <c r="O12" s="54">
        <v>201</v>
      </c>
      <c r="P12" s="54" t="s">
        <v>881</v>
      </c>
      <c r="Q12" s="60">
        <v>2</v>
      </c>
      <c r="R12" s="54" t="s">
        <v>866</v>
      </c>
      <c r="T12" s="55" t="str">
        <f t="shared" si="1"/>
        <v>{201,50},{2,1000}</v>
      </c>
      <c r="U12" s="55" t="s">
        <v>894</v>
      </c>
    </row>
    <row r="13" spans="1:21">
      <c r="A13" s="53">
        <v>9</v>
      </c>
      <c r="B13" s="53">
        <v>1001</v>
      </c>
      <c r="C13" s="53" t="s">
        <v>53</v>
      </c>
      <c r="D13" s="54" t="s">
        <v>858</v>
      </c>
      <c r="E13" s="54" t="s">
        <v>922</v>
      </c>
      <c r="F13" s="54" t="s">
        <v>873</v>
      </c>
      <c r="G13" s="77" t="s">
        <v>1112</v>
      </c>
      <c r="H13" s="77" t="s">
        <v>918</v>
      </c>
      <c r="I13" s="77" t="s">
        <v>2106</v>
      </c>
      <c r="J13" s="77">
        <f t="shared" si="2"/>
        <v>264</v>
      </c>
      <c r="L13" s="55" t="str">
        <f t="shared" si="0"/>
        <v>{1},{3}</v>
      </c>
      <c r="M13" s="55" t="s">
        <v>201</v>
      </c>
      <c r="O13" s="54">
        <v>201</v>
      </c>
      <c r="P13" s="54" t="s">
        <v>881</v>
      </c>
      <c r="Q13" s="60">
        <v>2</v>
      </c>
      <c r="R13" s="54" t="s">
        <v>907</v>
      </c>
      <c r="T13" s="55" t="str">
        <f t="shared" si="1"/>
        <v>{201,50},{2,1200}</v>
      </c>
      <c r="U13" s="55" t="s">
        <v>894</v>
      </c>
    </row>
    <row r="14" spans="1:21">
      <c r="A14" s="53">
        <v>10</v>
      </c>
      <c r="B14" s="53">
        <v>1001</v>
      </c>
      <c r="C14" s="53" t="s">
        <v>53</v>
      </c>
      <c r="D14" s="54" t="s">
        <v>858</v>
      </c>
      <c r="E14" s="54" t="s">
        <v>923</v>
      </c>
      <c r="F14" s="54" t="s">
        <v>873</v>
      </c>
      <c r="G14" s="77" t="s">
        <v>1292</v>
      </c>
      <c r="H14" s="77" t="s">
        <v>919</v>
      </c>
      <c r="I14" s="77" t="s">
        <v>2106</v>
      </c>
      <c r="J14" s="77">
        <f t="shared" si="2"/>
        <v>272</v>
      </c>
      <c r="L14" s="55" t="str">
        <f t="shared" si="0"/>
        <v>{1},{3}</v>
      </c>
      <c r="M14" s="55" t="s">
        <v>202</v>
      </c>
      <c r="O14" s="54">
        <v>201</v>
      </c>
      <c r="P14" s="54" t="s">
        <v>881</v>
      </c>
      <c r="Q14" s="60">
        <v>2</v>
      </c>
      <c r="R14" s="54" t="s">
        <v>909</v>
      </c>
      <c r="T14" s="55" t="str">
        <f t="shared" si="1"/>
        <v>{201,50},{2,1400}</v>
      </c>
      <c r="U14" s="55" t="s">
        <v>894</v>
      </c>
    </row>
    <row r="15" spans="1:21">
      <c r="A15" s="53">
        <v>11</v>
      </c>
      <c r="B15" s="53">
        <v>1001</v>
      </c>
      <c r="C15" s="53" t="s">
        <v>53</v>
      </c>
      <c r="D15" s="54" t="s">
        <v>858</v>
      </c>
      <c r="E15" s="54" t="s">
        <v>859</v>
      </c>
      <c r="F15" s="54" t="s">
        <v>873</v>
      </c>
      <c r="G15" s="77" t="s">
        <v>1221</v>
      </c>
      <c r="H15" s="77" t="s">
        <v>884</v>
      </c>
      <c r="I15" s="77">
        <v>9</v>
      </c>
      <c r="J15" s="77">
        <f t="shared" si="2"/>
        <v>281</v>
      </c>
      <c r="L15" s="55" t="str">
        <f t="shared" si="0"/>
        <v>{1},{3}</v>
      </c>
      <c r="M15" s="55" t="s">
        <v>203</v>
      </c>
      <c r="O15" s="54">
        <v>201</v>
      </c>
      <c r="P15" s="54" t="s">
        <v>881</v>
      </c>
      <c r="Q15" s="60">
        <v>2</v>
      </c>
      <c r="R15" s="54" t="s">
        <v>911</v>
      </c>
      <c r="T15" s="55" t="str">
        <f t="shared" si="1"/>
        <v>{201,50},{2,1600}</v>
      </c>
      <c r="U15" s="55" t="s">
        <v>894</v>
      </c>
    </row>
    <row r="16" spans="1:21">
      <c r="A16" s="53">
        <v>12</v>
      </c>
      <c r="B16" s="53">
        <v>1001</v>
      </c>
      <c r="C16" s="53" t="s">
        <v>53</v>
      </c>
      <c r="D16" s="54" t="s">
        <v>858</v>
      </c>
      <c r="E16" s="54" t="s">
        <v>924</v>
      </c>
      <c r="F16" s="54" t="s">
        <v>873</v>
      </c>
      <c r="G16" s="77" t="s">
        <v>1295</v>
      </c>
      <c r="H16" s="77" t="s">
        <v>920</v>
      </c>
      <c r="I16" s="77">
        <v>9</v>
      </c>
      <c r="J16" s="77">
        <f t="shared" si="2"/>
        <v>290</v>
      </c>
      <c r="L16" s="55" t="str">
        <f t="shared" si="0"/>
        <v>{1},{3}</v>
      </c>
      <c r="M16" s="55" t="s">
        <v>204</v>
      </c>
      <c r="O16" s="54">
        <v>201</v>
      </c>
      <c r="P16" s="54" t="s">
        <v>881</v>
      </c>
      <c r="Q16" s="60">
        <v>2</v>
      </c>
      <c r="R16" s="54" t="s">
        <v>913</v>
      </c>
      <c r="T16" s="55" t="str">
        <f t="shared" si="1"/>
        <v>{201,50},{2,1800}</v>
      </c>
      <c r="U16" s="55" t="s">
        <v>894</v>
      </c>
    </row>
    <row r="17" spans="1:21">
      <c r="A17" s="53">
        <v>13</v>
      </c>
      <c r="B17" s="53">
        <v>1001</v>
      </c>
      <c r="C17" s="53" t="s">
        <v>53</v>
      </c>
      <c r="D17" s="54" t="s">
        <v>858</v>
      </c>
      <c r="E17" s="54" t="s">
        <v>860</v>
      </c>
      <c r="F17" s="54" t="s">
        <v>873</v>
      </c>
      <c r="G17" s="77" t="s">
        <v>1117</v>
      </c>
      <c r="H17" s="77" t="s">
        <v>921</v>
      </c>
      <c r="I17" s="77">
        <v>9</v>
      </c>
      <c r="J17" s="77">
        <f t="shared" si="2"/>
        <v>299</v>
      </c>
      <c r="L17" s="55" t="str">
        <f t="shared" si="0"/>
        <v>{1},{3}</v>
      </c>
      <c r="M17" s="55" t="s">
        <v>205</v>
      </c>
      <c r="O17" s="54">
        <v>201</v>
      </c>
      <c r="P17" s="54" t="s">
        <v>881</v>
      </c>
      <c r="Q17" s="60">
        <v>2</v>
      </c>
      <c r="R17" s="54" t="s">
        <v>914</v>
      </c>
      <c r="T17" s="55" t="str">
        <f t="shared" si="1"/>
        <v>{201,50},{2,2000}</v>
      </c>
      <c r="U17" s="55" t="s">
        <v>894</v>
      </c>
    </row>
    <row r="18" spans="1:21">
      <c r="A18" s="53">
        <v>14</v>
      </c>
      <c r="B18" s="53">
        <v>1001</v>
      </c>
      <c r="C18" s="53" t="s">
        <v>53</v>
      </c>
      <c r="D18" s="54" t="s">
        <v>858</v>
      </c>
      <c r="E18" s="54" t="s">
        <v>925</v>
      </c>
      <c r="F18" s="54" t="s">
        <v>873</v>
      </c>
      <c r="G18" s="77" t="s">
        <v>1298</v>
      </c>
      <c r="H18" s="77" t="s">
        <v>922</v>
      </c>
      <c r="I18" s="77">
        <v>9</v>
      </c>
      <c r="J18" s="77">
        <f t="shared" si="2"/>
        <v>308</v>
      </c>
      <c r="L18" s="55" t="str">
        <f t="shared" si="0"/>
        <v>{1},{3}</v>
      </c>
      <c r="M18" s="55" t="s">
        <v>206</v>
      </c>
      <c r="O18" s="54">
        <v>201</v>
      </c>
      <c r="P18" s="54" t="s">
        <v>881</v>
      </c>
      <c r="Q18" s="60">
        <v>2</v>
      </c>
      <c r="R18" s="54" t="s">
        <v>866</v>
      </c>
      <c r="T18" s="55" t="str">
        <f t="shared" si="1"/>
        <v>{201,50},{2,1000}</v>
      </c>
      <c r="U18" s="55" t="s">
        <v>894</v>
      </c>
    </row>
    <row r="19" spans="1:21">
      <c r="A19" s="53">
        <v>15</v>
      </c>
      <c r="B19" s="53">
        <v>1001</v>
      </c>
      <c r="C19" s="53" t="s">
        <v>53</v>
      </c>
      <c r="D19" s="54" t="s">
        <v>858</v>
      </c>
      <c r="E19" s="54" t="s">
        <v>861</v>
      </c>
      <c r="F19" s="54" t="s">
        <v>873</v>
      </c>
      <c r="G19" s="77" t="s">
        <v>1526</v>
      </c>
      <c r="H19" s="77" t="s">
        <v>923</v>
      </c>
      <c r="I19" s="77">
        <v>9</v>
      </c>
      <c r="J19" s="77">
        <f t="shared" si="2"/>
        <v>317</v>
      </c>
      <c r="L19" s="55" t="str">
        <f t="shared" si="0"/>
        <v>{1},{3}</v>
      </c>
      <c r="M19" s="55" t="s">
        <v>207</v>
      </c>
      <c r="O19" s="54">
        <v>201</v>
      </c>
      <c r="P19" s="54" t="s">
        <v>881</v>
      </c>
      <c r="Q19" s="60">
        <v>2</v>
      </c>
      <c r="R19" s="54" t="s">
        <v>866</v>
      </c>
      <c r="T19" s="55" t="str">
        <f t="shared" si="1"/>
        <v>{201,50},{2,1000}</v>
      </c>
      <c r="U19" s="55" t="s">
        <v>894</v>
      </c>
    </row>
    <row r="20" spans="1:21">
      <c r="A20" s="53">
        <v>16</v>
      </c>
      <c r="B20" s="53">
        <v>1001</v>
      </c>
      <c r="C20" s="53" t="s">
        <v>53</v>
      </c>
      <c r="D20" s="54" t="s">
        <v>858</v>
      </c>
      <c r="E20" s="54" t="s">
        <v>862</v>
      </c>
      <c r="F20" s="54" t="s">
        <v>873</v>
      </c>
      <c r="G20" s="77" t="s">
        <v>1301</v>
      </c>
      <c r="H20" s="77" t="s">
        <v>859</v>
      </c>
      <c r="I20" s="77">
        <v>9</v>
      </c>
      <c r="J20" s="77">
        <f t="shared" si="2"/>
        <v>326</v>
      </c>
      <c r="L20" s="55" t="str">
        <f t="shared" si="0"/>
        <v>{1},{3}</v>
      </c>
      <c r="M20" s="55" t="s">
        <v>208</v>
      </c>
      <c r="O20" s="54">
        <v>201</v>
      </c>
      <c r="P20" s="54" t="s">
        <v>881</v>
      </c>
      <c r="Q20" s="60">
        <v>2</v>
      </c>
      <c r="R20" s="54" t="s">
        <v>866</v>
      </c>
      <c r="T20" s="55" t="str">
        <f t="shared" si="1"/>
        <v>{201,50},{2,1000}</v>
      </c>
      <c r="U20" s="55" t="s">
        <v>894</v>
      </c>
    </row>
    <row r="21" spans="1:21">
      <c r="A21" s="53">
        <v>17</v>
      </c>
      <c r="B21" s="53">
        <v>1001</v>
      </c>
      <c r="C21" s="53" t="s">
        <v>53</v>
      </c>
      <c r="D21" s="54" t="s">
        <v>858</v>
      </c>
      <c r="E21" s="54" t="s">
        <v>926</v>
      </c>
      <c r="F21" s="54" t="s">
        <v>873</v>
      </c>
      <c r="G21" s="77" t="s">
        <v>1122</v>
      </c>
      <c r="H21" s="77" t="s">
        <v>924</v>
      </c>
      <c r="I21" s="77">
        <v>9</v>
      </c>
      <c r="J21" s="77">
        <f t="shared" si="2"/>
        <v>335</v>
      </c>
      <c r="L21" s="55" t="str">
        <f t="shared" si="0"/>
        <v>{1},{3}</v>
      </c>
      <c r="M21" s="55" t="s">
        <v>209</v>
      </c>
      <c r="O21" s="54">
        <v>201</v>
      </c>
      <c r="P21" s="54" t="s">
        <v>881</v>
      </c>
      <c r="Q21" s="60">
        <v>2</v>
      </c>
      <c r="R21" s="54" t="s">
        <v>866</v>
      </c>
      <c r="T21" s="55" t="str">
        <f t="shared" si="1"/>
        <v>{201,50},{2,1000}</v>
      </c>
      <c r="U21" s="55" t="s">
        <v>894</v>
      </c>
    </row>
    <row r="22" spans="1:21">
      <c r="A22" s="53">
        <v>18</v>
      </c>
      <c r="B22" s="53">
        <v>1001</v>
      </c>
      <c r="C22" s="53" t="s">
        <v>53</v>
      </c>
      <c r="D22" s="54" t="s">
        <v>858</v>
      </c>
      <c r="E22" s="54" t="s">
        <v>863</v>
      </c>
      <c r="F22" s="54" t="s">
        <v>873</v>
      </c>
      <c r="G22" s="77" t="s">
        <v>1304</v>
      </c>
      <c r="H22" s="77" t="s">
        <v>860</v>
      </c>
      <c r="I22" s="77">
        <v>9</v>
      </c>
      <c r="J22" s="77">
        <f t="shared" si="2"/>
        <v>344</v>
      </c>
      <c r="L22" s="55" t="str">
        <f t="shared" si="0"/>
        <v>{1},{3}</v>
      </c>
      <c r="M22" s="55" t="s">
        <v>210</v>
      </c>
      <c r="O22" s="54">
        <v>201</v>
      </c>
      <c r="P22" s="54" t="s">
        <v>881</v>
      </c>
      <c r="Q22" s="60">
        <v>2</v>
      </c>
      <c r="R22" s="54" t="s">
        <v>866</v>
      </c>
      <c r="T22" s="55" t="str">
        <f t="shared" si="1"/>
        <v>{201,50},{2,1000}</v>
      </c>
      <c r="U22" s="55" t="s">
        <v>894</v>
      </c>
    </row>
    <row r="23" spans="1:21">
      <c r="A23" s="53">
        <v>19</v>
      </c>
      <c r="B23" s="53">
        <v>1001</v>
      </c>
      <c r="C23" s="53" t="s">
        <v>53</v>
      </c>
      <c r="D23" s="54" t="s">
        <v>858</v>
      </c>
      <c r="E23" s="54" t="s">
        <v>927</v>
      </c>
      <c r="F23" s="54" t="s">
        <v>873</v>
      </c>
      <c r="G23" s="77" t="s">
        <v>1527</v>
      </c>
      <c r="H23" s="77" t="s">
        <v>925</v>
      </c>
      <c r="I23" s="77">
        <v>9</v>
      </c>
      <c r="J23" s="77">
        <f>J22+I23</f>
        <v>353</v>
      </c>
      <c r="L23" s="55" t="str">
        <f t="shared" si="0"/>
        <v>{1},{3}</v>
      </c>
      <c r="M23" s="55" t="s">
        <v>211</v>
      </c>
      <c r="O23" s="54">
        <v>201</v>
      </c>
      <c r="P23" s="54" t="s">
        <v>881</v>
      </c>
      <c r="Q23" s="60">
        <v>2</v>
      </c>
      <c r="R23" s="54" t="s">
        <v>866</v>
      </c>
      <c r="T23" s="55" t="str">
        <f t="shared" si="1"/>
        <v>{201,50},{2,1000}</v>
      </c>
      <c r="U23" s="55" t="s">
        <v>894</v>
      </c>
    </row>
    <row r="24" spans="1:21" s="63" customFormat="1">
      <c r="A24" s="61">
        <v>20</v>
      </c>
      <c r="B24" s="61">
        <v>1001</v>
      </c>
      <c r="C24" s="61" t="s">
        <v>54</v>
      </c>
      <c r="D24" s="62" t="s">
        <v>858</v>
      </c>
      <c r="E24" s="62" t="s">
        <v>928</v>
      </c>
      <c r="F24" s="62" t="s">
        <v>873</v>
      </c>
      <c r="G24" s="78" t="s">
        <v>1528</v>
      </c>
      <c r="H24" s="77" t="s">
        <v>861</v>
      </c>
      <c r="I24" s="78">
        <v>150</v>
      </c>
      <c r="J24" s="78">
        <f>J23+I24</f>
        <v>503</v>
      </c>
      <c r="L24" s="63" t="str">
        <f t="shared" si="0"/>
        <v>{1},{3}</v>
      </c>
      <c r="M24" s="63" t="s">
        <v>212</v>
      </c>
      <c r="O24" s="62" t="s">
        <v>886</v>
      </c>
      <c r="P24" s="62" t="s">
        <v>881</v>
      </c>
      <c r="Q24" s="64">
        <v>2</v>
      </c>
      <c r="R24" s="62" t="s">
        <v>866</v>
      </c>
      <c r="T24" s="55" t="str">
        <f t="shared" si="1"/>
        <v>{301,50},{2,1000}</v>
      </c>
      <c r="U24" s="63" t="s">
        <v>895</v>
      </c>
    </row>
    <row r="25" spans="1:21">
      <c r="A25" s="53">
        <v>21</v>
      </c>
      <c r="B25" s="53">
        <v>1001</v>
      </c>
      <c r="C25" s="53" t="s">
        <v>55</v>
      </c>
      <c r="D25" s="54" t="s">
        <v>858</v>
      </c>
      <c r="E25" s="54" t="s">
        <v>929</v>
      </c>
      <c r="F25" s="54" t="s">
        <v>873</v>
      </c>
      <c r="G25" s="77" t="s">
        <v>1134</v>
      </c>
      <c r="H25" s="77" t="s">
        <v>862</v>
      </c>
      <c r="I25" s="77">
        <v>12</v>
      </c>
      <c r="J25" s="78">
        <f t="shared" ref="J25:J88" si="3">J24+I25</f>
        <v>515</v>
      </c>
      <c r="L25" s="55" t="str">
        <f t="shared" si="0"/>
        <v>{1},{3}</v>
      </c>
      <c r="M25" s="55" t="s">
        <v>213</v>
      </c>
      <c r="O25" s="54">
        <v>201</v>
      </c>
      <c r="P25" s="54" t="s">
        <v>882</v>
      </c>
      <c r="Q25" s="60">
        <v>2</v>
      </c>
      <c r="R25" s="54" t="s">
        <v>867</v>
      </c>
      <c r="T25" s="55" t="str">
        <f t="shared" si="1"/>
        <v>{201,100},{2,2000}</v>
      </c>
      <c r="U25" s="55" t="s">
        <v>896</v>
      </c>
    </row>
    <row r="26" spans="1:21">
      <c r="A26" s="53">
        <v>22</v>
      </c>
      <c r="B26" s="53">
        <v>1001</v>
      </c>
      <c r="C26" s="53" t="s">
        <v>55</v>
      </c>
      <c r="D26" s="54" t="s">
        <v>858</v>
      </c>
      <c r="E26" s="54" t="s">
        <v>930</v>
      </c>
      <c r="F26" s="54" t="s">
        <v>873</v>
      </c>
      <c r="G26" s="77" t="s">
        <v>1529</v>
      </c>
      <c r="H26" s="77" t="s">
        <v>926</v>
      </c>
      <c r="I26" s="77">
        <v>12</v>
      </c>
      <c r="J26" s="78">
        <f t="shared" si="3"/>
        <v>527</v>
      </c>
      <c r="L26" s="55" t="str">
        <f t="shared" si="0"/>
        <v>{1},{3}</v>
      </c>
      <c r="M26" s="55" t="s">
        <v>214</v>
      </c>
      <c r="O26" s="54">
        <v>201</v>
      </c>
      <c r="P26" s="54" t="s">
        <v>882</v>
      </c>
      <c r="Q26" s="60">
        <v>2</v>
      </c>
      <c r="R26" s="54" t="s">
        <v>867</v>
      </c>
      <c r="T26" s="55" t="str">
        <f t="shared" si="1"/>
        <v>{201,100},{2,2000}</v>
      </c>
      <c r="U26" s="55" t="s">
        <v>896</v>
      </c>
    </row>
    <row r="27" spans="1:21">
      <c r="A27" s="53">
        <v>23</v>
      </c>
      <c r="B27" s="53">
        <v>1001</v>
      </c>
      <c r="C27" s="53" t="s">
        <v>55</v>
      </c>
      <c r="D27" s="54" t="s">
        <v>858</v>
      </c>
      <c r="E27" s="54" t="s">
        <v>931</v>
      </c>
      <c r="F27" s="54" t="s">
        <v>873</v>
      </c>
      <c r="G27" s="77" t="s">
        <v>1530</v>
      </c>
      <c r="H27" s="77" t="s">
        <v>863</v>
      </c>
      <c r="I27" s="77">
        <v>12</v>
      </c>
      <c r="J27" s="78">
        <f t="shared" si="3"/>
        <v>539</v>
      </c>
      <c r="L27" s="55" t="str">
        <f t="shared" si="0"/>
        <v>{1},{3}</v>
      </c>
      <c r="M27" s="55" t="s">
        <v>215</v>
      </c>
      <c r="O27" s="54">
        <v>201</v>
      </c>
      <c r="P27" s="54" t="s">
        <v>882</v>
      </c>
      <c r="Q27" s="60">
        <v>2</v>
      </c>
      <c r="R27" s="54" t="s">
        <v>867</v>
      </c>
      <c r="T27" s="55" t="str">
        <f t="shared" si="1"/>
        <v>{201,100},{2,2000}</v>
      </c>
      <c r="U27" s="55" t="s">
        <v>896</v>
      </c>
    </row>
    <row r="28" spans="1:21">
      <c r="A28" s="53">
        <v>24</v>
      </c>
      <c r="B28" s="53">
        <v>1001</v>
      </c>
      <c r="C28" s="53" t="s">
        <v>55</v>
      </c>
      <c r="D28" s="54" t="s">
        <v>858</v>
      </c>
      <c r="E28" s="54" t="s">
        <v>932</v>
      </c>
      <c r="F28" s="54" t="s">
        <v>873</v>
      </c>
      <c r="G28" s="77" t="s">
        <v>1139</v>
      </c>
      <c r="H28" s="77" t="s">
        <v>927</v>
      </c>
      <c r="I28" s="77">
        <v>12</v>
      </c>
      <c r="J28" s="78">
        <f t="shared" si="3"/>
        <v>551</v>
      </c>
      <c r="L28" s="55" t="str">
        <f t="shared" si="0"/>
        <v>{1},{3}</v>
      </c>
      <c r="M28" s="55" t="s">
        <v>216</v>
      </c>
      <c r="O28" s="54">
        <v>201</v>
      </c>
      <c r="P28" s="54" t="s">
        <v>882</v>
      </c>
      <c r="Q28" s="60">
        <v>2</v>
      </c>
      <c r="R28" s="54" t="s">
        <v>867</v>
      </c>
      <c r="T28" s="55" t="str">
        <f t="shared" si="1"/>
        <v>{201,100},{2,2000}</v>
      </c>
      <c r="U28" s="55" t="s">
        <v>896</v>
      </c>
    </row>
    <row r="29" spans="1:21">
      <c r="A29" s="53">
        <v>25</v>
      </c>
      <c r="B29" s="53">
        <v>1001</v>
      </c>
      <c r="C29" s="53" t="s">
        <v>55</v>
      </c>
      <c r="D29" s="54" t="s">
        <v>858</v>
      </c>
      <c r="E29" s="54" t="s">
        <v>933</v>
      </c>
      <c r="F29" s="54" t="s">
        <v>873</v>
      </c>
      <c r="G29" s="77" t="s">
        <v>1531</v>
      </c>
      <c r="H29" s="77" t="s">
        <v>864</v>
      </c>
      <c r="I29" s="77">
        <v>12</v>
      </c>
      <c r="J29" s="78">
        <f t="shared" si="3"/>
        <v>563</v>
      </c>
      <c r="L29" s="55" t="str">
        <f t="shared" si="0"/>
        <v>{1},{3}</v>
      </c>
      <c r="M29" s="55" t="s">
        <v>217</v>
      </c>
      <c r="O29" s="54">
        <v>201</v>
      </c>
      <c r="P29" s="54" t="s">
        <v>882</v>
      </c>
      <c r="Q29" s="60">
        <v>2</v>
      </c>
      <c r="R29" s="54" t="s">
        <v>867</v>
      </c>
      <c r="T29" s="55" t="str">
        <f t="shared" si="1"/>
        <v>{201,100},{2,2000}</v>
      </c>
      <c r="U29" s="55" t="s">
        <v>896</v>
      </c>
    </row>
    <row r="30" spans="1:21">
      <c r="A30" s="53">
        <v>26</v>
      </c>
      <c r="B30" s="53">
        <v>1001</v>
      </c>
      <c r="C30" s="53" t="s">
        <v>55</v>
      </c>
      <c r="D30" s="54" t="s">
        <v>858</v>
      </c>
      <c r="E30" s="54" t="s">
        <v>934</v>
      </c>
      <c r="F30" s="54" t="s">
        <v>873</v>
      </c>
      <c r="G30" s="77" t="s">
        <v>1532</v>
      </c>
      <c r="H30" s="77" t="s">
        <v>865</v>
      </c>
      <c r="I30" s="77">
        <v>12</v>
      </c>
      <c r="J30" s="78">
        <f t="shared" si="3"/>
        <v>575</v>
      </c>
      <c r="L30" s="55" t="str">
        <f t="shared" si="0"/>
        <v>{1},{3}</v>
      </c>
      <c r="M30" s="55" t="s">
        <v>218</v>
      </c>
      <c r="O30" s="54">
        <v>201</v>
      </c>
      <c r="P30" s="54" t="s">
        <v>882</v>
      </c>
      <c r="Q30" s="60">
        <v>2</v>
      </c>
      <c r="R30" s="54" t="s">
        <v>867</v>
      </c>
      <c r="T30" s="55" t="str">
        <f t="shared" si="1"/>
        <v>{201,100},{2,2000}</v>
      </c>
      <c r="U30" s="55" t="s">
        <v>896</v>
      </c>
    </row>
    <row r="31" spans="1:21">
      <c r="A31" s="53">
        <v>27</v>
      </c>
      <c r="B31" s="53">
        <v>1001</v>
      </c>
      <c r="C31" s="53" t="s">
        <v>55</v>
      </c>
      <c r="D31" s="54" t="s">
        <v>858</v>
      </c>
      <c r="E31" s="54" t="s">
        <v>935</v>
      </c>
      <c r="F31" s="54" t="s">
        <v>873</v>
      </c>
      <c r="G31" s="77" t="s">
        <v>1144</v>
      </c>
      <c r="H31" s="77" t="s">
        <v>2034</v>
      </c>
      <c r="I31" s="77">
        <v>12</v>
      </c>
      <c r="J31" s="78">
        <f t="shared" si="3"/>
        <v>587</v>
      </c>
      <c r="L31" s="55" t="str">
        <f t="shared" si="0"/>
        <v>{1},{3}</v>
      </c>
      <c r="M31" s="55" t="s">
        <v>219</v>
      </c>
      <c r="O31" s="54">
        <v>201</v>
      </c>
      <c r="P31" s="54" t="s">
        <v>882</v>
      </c>
      <c r="Q31" s="60">
        <v>2</v>
      </c>
      <c r="R31" s="54" t="s">
        <v>867</v>
      </c>
      <c r="T31" s="55" t="str">
        <f t="shared" si="1"/>
        <v>{201,100},{2,2000}</v>
      </c>
      <c r="U31" s="55" t="s">
        <v>896</v>
      </c>
    </row>
    <row r="32" spans="1:21">
      <c r="A32" s="53">
        <v>28</v>
      </c>
      <c r="B32" s="53">
        <v>1001</v>
      </c>
      <c r="C32" s="53" t="s">
        <v>55</v>
      </c>
      <c r="D32" s="54" t="s">
        <v>858</v>
      </c>
      <c r="E32" s="54" t="s">
        <v>936</v>
      </c>
      <c r="F32" s="54" t="s">
        <v>873</v>
      </c>
      <c r="G32" s="77" t="s">
        <v>1533</v>
      </c>
      <c r="H32" s="77" t="s">
        <v>1199</v>
      </c>
      <c r="I32" s="77">
        <v>12</v>
      </c>
      <c r="J32" s="78">
        <f t="shared" si="3"/>
        <v>599</v>
      </c>
      <c r="L32" s="55" t="str">
        <f t="shared" si="0"/>
        <v>{1},{3}</v>
      </c>
      <c r="M32" s="55" t="s">
        <v>220</v>
      </c>
      <c r="O32" s="54">
        <v>201</v>
      </c>
      <c r="P32" s="54" t="s">
        <v>882</v>
      </c>
      <c r="Q32" s="60">
        <v>2</v>
      </c>
      <c r="R32" s="54" t="s">
        <v>867</v>
      </c>
      <c r="T32" s="55" t="str">
        <f t="shared" si="1"/>
        <v>{201,100},{2,2000}</v>
      </c>
      <c r="U32" s="55" t="s">
        <v>896</v>
      </c>
    </row>
    <row r="33" spans="1:21">
      <c r="A33" s="53">
        <v>29</v>
      </c>
      <c r="B33" s="53">
        <v>1001</v>
      </c>
      <c r="C33" s="53" t="s">
        <v>55</v>
      </c>
      <c r="D33" s="54" t="s">
        <v>858</v>
      </c>
      <c r="E33" s="54" t="s">
        <v>937</v>
      </c>
      <c r="F33" s="54" t="s">
        <v>873</v>
      </c>
      <c r="G33" s="77" t="s">
        <v>1534</v>
      </c>
      <c r="H33" s="77" t="s">
        <v>1014</v>
      </c>
      <c r="I33" s="77">
        <v>12</v>
      </c>
      <c r="J33" s="78">
        <f t="shared" si="3"/>
        <v>611</v>
      </c>
      <c r="L33" s="55" t="str">
        <f t="shared" si="0"/>
        <v>{1},{3}</v>
      </c>
      <c r="M33" s="55" t="s">
        <v>221</v>
      </c>
      <c r="O33" s="54">
        <v>201</v>
      </c>
      <c r="P33" s="54" t="s">
        <v>882</v>
      </c>
      <c r="Q33" s="60">
        <v>2</v>
      </c>
      <c r="R33" s="54" t="s">
        <v>867</v>
      </c>
      <c r="T33" s="55" t="str">
        <f t="shared" si="1"/>
        <v>{201,100},{2,2000}</v>
      </c>
      <c r="U33" s="55" t="s">
        <v>896</v>
      </c>
    </row>
    <row r="34" spans="1:21">
      <c r="A34" s="53">
        <v>30</v>
      </c>
      <c r="B34" s="53">
        <v>1001</v>
      </c>
      <c r="C34" s="53" t="s">
        <v>55</v>
      </c>
      <c r="D34" s="54" t="s">
        <v>858</v>
      </c>
      <c r="E34" s="54" t="s">
        <v>938</v>
      </c>
      <c r="F34" s="54" t="s">
        <v>873</v>
      </c>
      <c r="G34" s="77" t="s">
        <v>1149</v>
      </c>
      <c r="H34" s="77" t="s">
        <v>1279</v>
      </c>
      <c r="I34" s="77">
        <v>16</v>
      </c>
      <c r="J34" s="78">
        <f t="shared" si="3"/>
        <v>627</v>
      </c>
      <c r="L34" s="55" t="str">
        <f t="shared" si="0"/>
        <v>{1},{3}</v>
      </c>
      <c r="M34" s="55" t="s">
        <v>222</v>
      </c>
      <c r="O34" s="54">
        <v>201</v>
      </c>
      <c r="P34" s="54" t="s">
        <v>882</v>
      </c>
      <c r="Q34" s="60">
        <v>2</v>
      </c>
      <c r="R34" s="54" t="s">
        <v>867</v>
      </c>
      <c r="T34" s="55" t="str">
        <f t="shared" si="1"/>
        <v>{201,100},{2,2000}</v>
      </c>
      <c r="U34" s="55" t="s">
        <v>896</v>
      </c>
    </row>
    <row r="35" spans="1:21">
      <c r="A35" s="53">
        <v>31</v>
      </c>
      <c r="B35" s="53">
        <v>1001</v>
      </c>
      <c r="C35" s="53" t="s">
        <v>55</v>
      </c>
      <c r="D35" s="54" t="s">
        <v>858</v>
      </c>
      <c r="E35" s="54" t="s">
        <v>939</v>
      </c>
      <c r="F35" s="54" t="s">
        <v>873</v>
      </c>
      <c r="G35" s="77" t="s">
        <v>1535</v>
      </c>
      <c r="H35" s="77" t="s">
        <v>1367</v>
      </c>
      <c r="I35" s="77">
        <v>16</v>
      </c>
      <c r="J35" s="78">
        <f t="shared" si="3"/>
        <v>643</v>
      </c>
      <c r="L35" s="55" t="str">
        <f t="shared" si="0"/>
        <v>{1},{3}</v>
      </c>
      <c r="M35" s="55" t="s">
        <v>223</v>
      </c>
      <c r="O35" s="54">
        <v>201</v>
      </c>
      <c r="P35" s="54" t="s">
        <v>882</v>
      </c>
      <c r="Q35" s="60">
        <v>2</v>
      </c>
      <c r="R35" s="54" t="s">
        <v>867</v>
      </c>
      <c r="T35" s="55" t="str">
        <f t="shared" si="1"/>
        <v>{201,100},{2,2000}</v>
      </c>
      <c r="U35" s="55" t="s">
        <v>896</v>
      </c>
    </row>
    <row r="36" spans="1:21">
      <c r="A36" s="53">
        <v>32</v>
      </c>
      <c r="B36" s="53">
        <v>1001</v>
      </c>
      <c r="C36" s="53" t="s">
        <v>55</v>
      </c>
      <c r="D36" s="54" t="s">
        <v>858</v>
      </c>
      <c r="E36" s="54" t="s">
        <v>940</v>
      </c>
      <c r="F36" s="54" t="s">
        <v>873</v>
      </c>
      <c r="G36" s="77" t="s">
        <v>1536</v>
      </c>
      <c r="H36" s="77" t="s">
        <v>1016</v>
      </c>
      <c r="I36" s="77">
        <v>16</v>
      </c>
      <c r="J36" s="78">
        <f t="shared" si="3"/>
        <v>659</v>
      </c>
      <c r="L36" s="55" t="str">
        <f t="shared" si="0"/>
        <v>{1},{3}</v>
      </c>
      <c r="M36" s="55" t="s">
        <v>224</v>
      </c>
      <c r="O36" s="54">
        <v>201</v>
      </c>
      <c r="P36" s="54" t="s">
        <v>882</v>
      </c>
      <c r="Q36" s="60">
        <v>2</v>
      </c>
      <c r="R36" s="54" t="s">
        <v>867</v>
      </c>
      <c r="T36" s="55" t="str">
        <f t="shared" si="1"/>
        <v>{201,100},{2,2000}</v>
      </c>
      <c r="U36" s="55" t="s">
        <v>896</v>
      </c>
    </row>
    <row r="37" spans="1:21">
      <c r="A37" s="53">
        <v>33</v>
      </c>
      <c r="B37" s="53">
        <v>1001</v>
      </c>
      <c r="C37" s="53" t="s">
        <v>55</v>
      </c>
      <c r="D37" s="54" t="s">
        <v>858</v>
      </c>
      <c r="E37" s="54" t="s">
        <v>941</v>
      </c>
      <c r="F37" s="54" t="s">
        <v>873</v>
      </c>
      <c r="G37" s="77" t="s">
        <v>1537</v>
      </c>
      <c r="H37" s="77" t="s">
        <v>2035</v>
      </c>
      <c r="I37" s="77">
        <v>16</v>
      </c>
      <c r="J37" s="78">
        <f t="shared" si="3"/>
        <v>675</v>
      </c>
      <c r="L37" s="55" t="str">
        <f t="shared" si="0"/>
        <v>{1},{3}</v>
      </c>
      <c r="M37" s="55" t="s">
        <v>225</v>
      </c>
      <c r="O37" s="54">
        <v>201</v>
      </c>
      <c r="P37" s="54" t="s">
        <v>882</v>
      </c>
      <c r="Q37" s="60">
        <v>2</v>
      </c>
      <c r="R37" s="54" t="s">
        <v>867</v>
      </c>
      <c r="T37" s="55" t="str">
        <f t="shared" si="1"/>
        <v>{201,100},{2,2000}</v>
      </c>
      <c r="U37" s="55" t="s">
        <v>896</v>
      </c>
    </row>
    <row r="38" spans="1:21">
      <c r="A38" s="53">
        <v>34</v>
      </c>
      <c r="B38" s="53">
        <v>1001</v>
      </c>
      <c r="C38" s="53" t="s">
        <v>55</v>
      </c>
      <c r="D38" s="54" t="s">
        <v>858</v>
      </c>
      <c r="E38" s="54" t="s">
        <v>942</v>
      </c>
      <c r="F38" s="54" t="s">
        <v>873</v>
      </c>
      <c r="G38" s="77" t="s">
        <v>1538</v>
      </c>
      <c r="H38" s="77" t="s">
        <v>1280</v>
      </c>
      <c r="I38" s="77">
        <v>16</v>
      </c>
      <c r="J38" s="78">
        <f t="shared" si="3"/>
        <v>691</v>
      </c>
      <c r="L38" s="55" t="str">
        <f t="shared" si="0"/>
        <v>{1},{3}</v>
      </c>
      <c r="M38" s="55" t="s">
        <v>226</v>
      </c>
      <c r="O38" s="54">
        <v>201</v>
      </c>
      <c r="P38" s="54" t="s">
        <v>882</v>
      </c>
      <c r="Q38" s="60">
        <v>2</v>
      </c>
      <c r="R38" s="54" t="s">
        <v>867</v>
      </c>
      <c r="T38" s="55" t="str">
        <f t="shared" si="1"/>
        <v>{201,100},{2,2000}</v>
      </c>
      <c r="U38" s="55" t="s">
        <v>896</v>
      </c>
    </row>
    <row r="39" spans="1:21">
      <c r="A39" s="53">
        <v>35</v>
      </c>
      <c r="B39" s="53">
        <v>1001</v>
      </c>
      <c r="C39" s="53" t="s">
        <v>55</v>
      </c>
      <c r="D39" s="54" t="s">
        <v>858</v>
      </c>
      <c r="E39" s="54" t="s">
        <v>943</v>
      </c>
      <c r="F39" s="54" t="s">
        <v>873</v>
      </c>
      <c r="G39" s="77" t="s">
        <v>1539</v>
      </c>
      <c r="H39" s="77" t="s">
        <v>1018</v>
      </c>
      <c r="I39" s="77">
        <v>16</v>
      </c>
      <c r="J39" s="78">
        <f t="shared" si="3"/>
        <v>707</v>
      </c>
      <c r="L39" s="55" t="str">
        <f t="shared" si="0"/>
        <v>{1},{3}</v>
      </c>
      <c r="M39" s="55" t="s">
        <v>227</v>
      </c>
      <c r="O39" s="54">
        <v>201</v>
      </c>
      <c r="P39" s="54" t="s">
        <v>882</v>
      </c>
      <c r="Q39" s="60">
        <v>2</v>
      </c>
      <c r="R39" s="54" t="s">
        <v>867</v>
      </c>
      <c r="T39" s="55" t="str">
        <f t="shared" si="1"/>
        <v>{201,100},{2,2000}</v>
      </c>
      <c r="U39" s="55" t="s">
        <v>896</v>
      </c>
    </row>
    <row r="40" spans="1:21">
      <c r="A40" s="53">
        <v>36</v>
      </c>
      <c r="B40" s="53">
        <v>1001</v>
      </c>
      <c r="C40" s="53" t="s">
        <v>55</v>
      </c>
      <c r="D40" s="54" t="s">
        <v>858</v>
      </c>
      <c r="E40" s="54" t="s">
        <v>944</v>
      </c>
      <c r="F40" s="54" t="s">
        <v>873</v>
      </c>
      <c r="G40" s="77" t="s">
        <v>870</v>
      </c>
      <c r="H40" s="77" t="s">
        <v>1202</v>
      </c>
      <c r="I40" s="77">
        <v>16</v>
      </c>
      <c r="J40" s="78">
        <f t="shared" si="3"/>
        <v>723</v>
      </c>
      <c r="L40" s="55" t="str">
        <f t="shared" si="0"/>
        <v>{1},{3}</v>
      </c>
      <c r="M40" s="55" t="s">
        <v>228</v>
      </c>
      <c r="O40" s="54">
        <v>201</v>
      </c>
      <c r="P40" s="54" t="s">
        <v>882</v>
      </c>
      <c r="Q40" s="60">
        <v>2</v>
      </c>
      <c r="R40" s="54" t="s">
        <v>867</v>
      </c>
      <c r="T40" s="55" t="str">
        <f t="shared" si="1"/>
        <v>{201,100},{2,2000}</v>
      </c>
      <c r="U40" s="55" t="s">
        <v>896</v>
      </c>
    </row>
    <row r="41" spans="1:21">
      <c r="A41" s="53">
        <v>37</v>
      </c>
      <c r="B41" s="53">
        <v>1001</v>
      </c>
      <c r="C41" s="53" t="s">
        <v>55</v>
      </c>
      <c r="D41" s="54" t="s">
        <v>858</v>
      </c>
      <c r="E41" s="54" t="s">
        <v>945</v>
      </c>
      <c r="F41" s="54" t="s">
        <v>873</v>
      </c>
      <c r="G41" s="77" t="s">
        <v>1540</v>
      </c>
      <c r="H41" s="77" t="s">
        <v>2036</v>
      </c>
      <c r="I41" s="77">
        <v>16</v>
      </c>
      <c r="J41" s="78">
        <f t="shared" si="3"/>
        <v>739</v>
      </c>
      <c r="L41" s="55" t="str">
        <f t="shared" si="0"/>
        <v>{1},{3}</v>
      </c>
      <c r="M41" s="55" t="s">
        <v>229</v>
      </c>
      <c r="O41" s="54">
        <v>201</v>
      </c>
      <c r="P41" s="54" t="s">
        <v>882</v>
      </c>
      <c r="Q41" s="60">
        <v>2</v>
      </c>
      <c r="R41" s="54" t="s">
        <v>867</v>
      </c>
      <c r="T41" s="55" t="str">
        <f t="shared" si="1"/>
        <v>{201,100},{2,2000}</v>
      </c>
      <c r="U41" s="55" t="s">
        <v>896</v>
      </c>
    </row>
    <row r="42" spans="1:21">
      <c r="A42" s="53">
        <v>38</v>
      </c>
      <c r="B42" s="53">
        <v>1001</v>
      </c>
      <c r="C42" s="53" t="s">
        <v>55</v>
      </c>
      <c r="D42" s="54" t="s">
        <v>858</v>
      </c>
      <c r="E42" s="54" t="s">
        <v>946</v>
      </c>
      <c r="F42" s="54" t="s">
        <v>873</v>
      </c>
      <c r="G42" s="77" t="s">
        <v>1541</v>
      </c>
      <c r="H42" s="77" t="s">
        <v>1020</v>
      </c>
      <c r="I42" s="77">
        <v>16</v>
      </c>
      <c r="J42" s="78">
        <f t="shared" si="3"/>
        <v>755</v>
      </c>
      <c r="L42" s="55" t="str">
        <f t="shared" si="0"/>
        <v>{1},{3}</v>
      </c>
      <c r="M42" s="55" t="s">
        <v>230</v>
      </c>
      <c r="O42" s="54">
        <v>201</v>
      </c>
      <c r="P42" s="54" t="s">
        <v>882</v>
      </c>
      <c r="Q42" s="60">
        <v>2</v>
      </c>
      <c r="R42" s="54" t="s">
        <v>867</v>
      </c>
      <c r="T42" s="55" t="str">
        <f t="shared" si="1"/>
        <v>{201,100},{2,2000}</v>
      </c>
      <c r="U42" s="55" t="s">
        <v>896</v>
      </c>
    </row>
    <row r="43" spans="1:21">
      <c r="A43" s="53">
        <v>39</v>
      </c>
      <c r="B43" s="53">
        <v>1001</v>
      </c>
      <c r="C43" s="53" t="s">
        <v>55</v>
      </c>
      <c r="D43" s="54" t="s">
        <v>858</v>
      </c>
      <c r="E43" s="54" t="s">
        <v>947</v>
      </c>
      <c r="F43" s="54" t="s">
        <v>873</v>
      </c>
      <c r="G43" s="77" t="s">
        <v>1542</v>
      </c>
      <c r="H43" s="77" t="s">
        <v>928</v>
      </c>
      <c r="I43" s="77">
        <v>16</v>
      </c>
      <c r="J43" s="78">
        <f t="shared" si="3"/>
        <v>771</v>
      </c>
      <c r="L43" s="55" t="str">
        <f t="shared" si="0"/>
        <v>{1},{3}</v>
      </c>
      <c r="M43" s="55" t="s">
        <v>231</v>
      </c>
      <c r="O43" s="54">
        <v>201</v>
      </c>
      <c r="P43" s="54" t="s">
        <v>882</v>
      </c>
      <c r="Q43" s="60">
        <v>2</v>
      </c>
      <c r="R43" s="54" t="s">
        <v>867</v>
      </c>
      <c r="T43" s="55" t="str">
        <f t="shared" si="1"/>
        <v>{201,100},{2,2000}</v>
      </c>
      <c r="U43" s="55" t="s">
        <v>896</v>
      </c>
    </row>
    <row r="44" spans="1:21" s="63" customFormat="1">
      <c r="A44" s="61">
        <v>40</v>
      </c>
      <c r="B44" s="61">
        <v>1001</v>
      </c>
      <c r="C44" s="61" t="s">
        <v>56</v>
      </c>
      <c r="D44" s="62" t="s">
        <v>858</v>
      </c>
      <c r="E44" s="62" t="s">
        <v>948</v>
      </c>
      <c r="F44" s="62" t="s">
        <v>873</v>
      </c>
      <c r="G44" s="78" t="s">
        <v>1543</v>
      </c>
      <c r="H44" s="77" t="s">
        <v>1281</v>
      </c>
      <c r="I44" s="78">
        <v>200</v>
      </c>
      <c r="J44" s="78">
        <f t="shared" si="3"/>
        <v>971</v>
      </c>
      <c r="L44" s="63" t="str">
        <f t="shared" si="0"/>
        <v>{1},{3}</v>
      </c>
      <c r="M44" s="63" t="s">
        <v>232</v>
      </c>
      <c r="O44" s="62" t="s">
        <v>886</v>
      </c>
      <c r="P44" s="62" t="s">
        <v>882</v>
      </c>
      <c r="Q44" s="64">
        <v>2</v>
      </c>
      <c r="R44" s="62" t="s">
        <v>867</v>
      </c>
      <c r="T44" s="55" t="str">
        <f t="shared" si="1"/>
        <v>{301,100},{2,2000}</v>
      </c>
      <c r="U44" s="63" t="s">
        <v>897</v>
      </c>
    </row>
    <row r="45" spans="1:21">
      <c r="A45" s="53">
        <v>41</v>
      </c>
      <c r="B45" s="53">
        <v>1001</v>
      </c>
      <c r="C45" s="53" t="s">
        <v>57</v>
      </c>
      <c r="D45" s="54" t="s">
        <v>858</v>
      </c>
      <c r="E45" s="54" t="s">
        <v>949</v>
      </c>
      <c r="F45" s="54" t="s">
        <v>873</v>
      </c>
      <c r="G45" s="77" t="s">
        <v>1544</v>
      </c>
      <c r="H45" s="77" t="s">
        <v>929</v>
      </c>
      <c r="I45" s="77">
        <v>20</v>
      </c>
      <c r="J45" s="78">
        <f t="shared" si="3"/>
        <v>991</v>
      </c>
      <c r="L45" s="55" t="str">
        <f t="shared" si="0"/>
        <v>{1},{3}</v>
      </c>
      <c r="M45" s="55" t="s">
        <v>233</v>
      </c>
      <c r="O45" s="54">
        <v>201</v>
      </c>
      <c r="P45" s="54" t="s">
        <v>883</v>
      </c>
      <c r="Q45" s="60">
        <v>2</v>
      </c>
      <c r="R45" s="54" t="s">
        <v>868</v>
      </c>
      <c r="T45" s="55" t="str">
        <f t="shared" si="1"/>
        <v>{201,150},{2,3750}</v>
      </c>
      <c r="U45" s="55" t="s">
        <v>898</v>
      </c>
    </row>
    <row r="46" spans="1:21">
      <c r="A46" s="53">
        <v>42</v>
      </c>
      <c r="B46" s="53">
        <v>1001</v>
      </c>
      <c r="C46" s="53" t="s">
        <v>57</v>
      </c>
      <c r="D46" s="54" t="s">
        <v>858</v>
      </c>
      <c r="E46" s="54" t="s">
        <v>950</v>
      </c>
      <c r="F46" s="54" t="s">
        <v>873</v>
      </c>
      <c r="G46" s="77" t="s">
        <v>1545</v>
      </c>
      <c r="H46" s="77" t="s">
        <v>1282</v>
      </c>
      <c r="I46" s="77">
        <v>20</v>
      </c>
      <c r="J46" s="78">
        <f t="shared" si="3"/>
        <v>1011</v>
      </c>
      <c r="L46" s="55" t="str">
        <f t="shared" si="0"/>
        <v>{1},{3}</v>
      </c>
      <c r="M46" s="55" t="s">
        <v>234</v>
      </c>
      <c r="O46" s="54">
        <v>201</v>
      </c>
      <c r="P46" s="54" t="s">
        <v>883</v>
      </c>
      <c r="Q46" s="60">
        <v>2</v>
      </c>
      <c r="R46" s="54" t="s">
        <v>868</v>
      </c>
      <c r="T46" s="55" t="str">
        <f t="shared" si="1"/>
        <v>{201,150},{2,3750}</v>
      </c>
      <c r="U46" s="55" t="s">
        <v>898</v>
      </c>
    </row>
    <row r="47" spans="1:21">
      <c r="A47" s="53">
        <v>43</v>
      </c>
      <c r="B47" s="53">
        <v>1001</v>
      </c>
      <c r="C47" s="53" t="s">
        <v>57</v>
      </c>
      <c r="D47" s="54" t="s">
        <v>858</v>
      </c>
      <c r="E47" s="54" t="s">
        <v>951</v>
      </c>
      <c r="F47" s="54" t="s">
        <v>873</v>
      </c>
      <c r="G47" s="77" t="s">
        <v>1546</v>
      </c>
      <c r="H47" s="77" t="s">
        <v>930</v>
      </c>
      <c r="I47" s="77">
        <v>20</v>
      </c>
      <c r="J47" s="78">
        <f t="shared" si="3"/>
        <v>1031</v>
      </c>
      <c r="L47" s="55" t="str">
        <f t="shared" si="0"/>
        <v>{1},{3}</v>
      </c>
      <c r="M47" s="55" t="s">
        <v>235</v>
      </c>
      <c r="O47" s="54">
        <v>201</v>
      </c>
      <c r="P47" s="54" t="s">
        <v>883</v>
      </c>
      <c r="Q47" s="60">
        <v>2</v>
      </c>
      <c r="R47" s="54" t="s">
        <v>868</v>
      </c>
      <c r="T47" s="55" t="str">
        <f t="shared" si="1"/>
        <v>{201,150},{2,3750}</v>
      </c>
      <c r="U47" s="55" t="s">
        <v>898</v>
      </c>
    </row>
    <row r="48" spans="1:21">
      <c r="A48" s="53">
        <v>44</v>
      </c>
      <c r="B48" s="53">
        <v>1001</v>
      </c>
      <c r="C48" s="53" t="s">
        <v>57</v>
      </c>
      <c r="D48" s="54" t="s">
        <v>858</v>
      </c>
      <c r="E48" s="54" t="s">
        <v>952</v>
      </c>
      <c r="F48" s="54" t="s">
        <v>873</v>
      </c>
      <c r="G48" s="77" t="s">
        <v>1547</v>
      </c>
      <c r="H48" s="77" t="s">
        <v>1103</v>
      </c>
      <c r="I48" s="77">
        <v>20</v>
      </c>
      <c r="J48" s="78">
        <f t="shared" si="3"/>
        <v>1051</v>
      </c>
      <c r="L48" s="55" t="str">
        <f t="shared" si="0"/>
        <v>{1},{3}</v>
      </c>
      <c r="M48" s="55" t="s">
        <v>236</v>
      </c>
      <c r="O48" s="54">
        <v>201</v>
      </c>
      <c r="P48" s="54" t="s">
        <v>883</v>
      </c>
      <c r="Q48" s="60">
        <v>2</v>
      </c>
      <c r="R48" s="54" t="s">
        <v>868</v>
      </c>
      <c r="T48" s="55" t="str">
        <f t="shared" si="1"/>
        <v>{201,150},{2,3750}</v>
      </c>
      <c r="U48" s="55" t="s">
        <v>898</v>
      </c>
    </row>
    <row r="49" spans="1:21">
      <c r="A49" s="53">
        <v>45</v>
      </c>
      <c r="B49" s="53">
        <v>1001</v>
      </c>
      <c r="C49" s="53" t="s">
        <v>57</v>
      </c>
      <c r="D49" s="54" t="s">
        <v>858</v>
      </c>
      <c r="E49" s="54" t="s">
        <v>953</v>
      </c>
      <c r="F49" s="54" t="s">
        <v>873</v>
      </c>
      <c r="G49" s="77" t="s">
        <v>1548</v>
      </c>
      <c r="H49" s="77" t="s">
        <v>931</v>
      </c>
      <c r="I49" s="77">
        <v>20</v>
      </c>
      <c r="J49" s="78">
        <f t="shared" si="3"/>
        <v>1071</v>
      </c>
      <c r="L49" s="55" t="str">
        <f t="shared" si="0"/>
        <v>{1},{3}</v>
      </c>
      <c r="M49" s="55" t="s">
        <v>237</v>
      </c>
      <c r="O49" s="54">
        <v>201</v>
      </c>
      <c r="P49" s="54" t="s">
        <v>883</v>
      </c>
      <c r="Q49" s="60">
        <v>2</v>
      </c>
      <c r="R49" s="54" t="s">
        <v>868</v>
      </c>
      <c r="T49" s="55" t="str">
        <f t="shared" si="1"/>
        <v>{201,150},{2,3750}</v>
      </c>
      <c r="U49" s="55" t="s">
        <v>898</v>
      </c>
    </row>
    <row r="50" spans="1:21">
      <c r="A50" s="53">
        <v>46</v>
      </c>
      <c r="B50" s="53">
        <v>1001</v>
      </c>
      <c r="C50" s="53" t="s">
        <v>57</v>
      </c>
      <c r="D50" s="54" t="s">
        <v>858</v>
      </c>
      <c r="E50" s="54" t="s">
        <v>954</v>
      </c>
      <c r="F50" s="54" t="s">
        <v>873</v>
      </c>
      <c r="G50" s="77" t="s">
        <v>1549</v>
      </c>
      <c r="H50" s="77" t="s">
        <v>866</v>
      </c>
      <c r="I50" s="77">
        <v>20</v>
      </c>
      <c r="J50" s="78">
        <f t="shared" si="3"/>
        <v>1091</v>
      </c>
      <c r="L50" s="55" t="str">
        <f t="shared" si="0"/>
        <v>{1},{3}</v>
      </c>
      <c r="M50" s="55" t="s">
        <v>238</v>
      </c>
      <c r="O50" s="54">
        <v>201</v>
      </c>
      <c r="P50" s="54" t="s">
        <v>883</v>
      </c>
      <c r="Q50" s="60">
        <v>2</v>
      </c>
      <c r="R50" s="54" t="s">
        <v>868</v>
      </c>
      <c r="T50" s="55" t="str">
        <f t="shared" si="1"/>
        <v>{201,150},{2,3750}</v>
      </c>
      <c r="U50" s="55" t="s">
        <v>898</v>
      </c>
    </row>
    <row r="51" spans="1:21">
      <c r="A51" s="53">
        <v>47</v>
      </c>
      <c r="B51" s="53">
        <v>1001</v>
      </c>
      <c r="C51" s="53" t="s">
        <v>57</v>
      </c>
      <c r="D51" s="54" t="s">
        <v>858</v>
      </c>
      <c r="E51" s="54" t="s">
        <v>955</v>
      </c>
      <c r="F51" s="54" t="s">
        <v>873</v>
      </c>
      <c r="G51" s="77" t="s">
        <v>1550</v>
      </c>
      <c r="H51" s="77" t="s">
        <v>932</v>
      </c>
      <c r="I51" s="77">
        <v>20</v>
      </c>
      <c r="J51" s="78">
        <f t="shared" si="3"/>
        <v>1111</v>
      </c>
      <c r="L51" s="55" t="str">
        <f t="shared" si="0"/>
        <v>{1},{3}</v>
      </c>
      <c r="M51" s="55" t="s">
        <v>239</v>
      </c>
      <c r="O51" s="54">
        <v>201</v>
      </c>
      <c r="P51" s="54" t="s">
        <v>883</v>
      </c>
      <c r="Q51" s="60">
        <v>2</v>
      </c>
      <c r="R51" s="54" t="s">
        <v>868</v>
      </c>
      <c r="T51" s="55" t="str">
        <f t="shared" si="1"/>
        <v>{201,150},{2,3750}</v>
      </c>
      <c r="U51" s="55" t="s">
        <v>898</v>
      </c>
    </row>
    <row r="52" spans="1:21">
      <c r="A52" s="53">
        <v>48</v>
      </c>
      <c r="B52" s="53">
        <v>1001</v>
      </c>
      <c r="C52" s="53" t="s">
        <v>57</v>
      </c>
      <c r="D52" s="54" t="s">
        <v>858</v>
      </c>
      <c r="E52" s="54" t="s">
        <v>956</v>
      </c>
      <c r="F52" s="54" t="s">
        <v>873</v>
      </c>
      <c r="G52" s="77" t="s">
        <v>1551</v>
      </c>
      <c r="H52" s="77" t="s">
        <v>1283</v>
      </c>
      <c r="I52" s="77">
        <v>20</v>
      </c>
      <c r="J52" s="78">
        <f t="shared" si="3"/>
        <v>1131</v>
      </c>
      <c r="L52" s="55" t="str">
        <f t="shared" si="0"/>
        <v>{1},{3}</v>
      </c>
      <c r="M52" s="55" t="s">
        <v>240</v>
      </c>
      <c r="O52" s="54">
        <v>201</v>
      </c>
      <c r="P52" s="54" t="s">
        <v>883</v>
      </c>
      <c r="Q52" s="60">
        <v>2</v>
      </c>
      <c r="R52" s="54" t="s">
        <v>868</v>
      </c>
      <c r="T52" s="55" t="str">
        <f t="shared" si="1"/>
        <v>{201,150},{2,3750}</v>
      </c>
      <c r="U52" s="55" t="s">
        <v>898</v>
      </c>
    </row>
    <row r="53" spans="1:21">
      <c r="A53" s="53">
        <v>49</v>
      </c>
      <c r="B53" s="53">
        <v>1001</v>
      </c>
      <c r="C53" s="53" t="s">
        <v>57</v>
      </c>
      <c r="D53" s="54" t="s">
        <v>858</v>
      </c>
      <c r="E53" s="54" t="s">
        <v>957</v>
      </c>
      <c r="F53" s="54" t="s">
        <v>873</v>
      </c>
      <c r="G53" s="77" t="s">
        <v>1552</v>
      </c>
      <c r="H53" s="77" t="s">
        <v>933</v>
      </c>
      <c r="I53" s="77">
        <v>20</v>
      </c>
      <c r="J53" s="78">
        <f t="shared" si="3"/>
        <v>1151</v>
      </c>
      <c r="L53" s="55" t="str">
        <f t="shared" si="0"/>
        <v>{1},{3}</v>
      </c>
      <c r="M53" s="55" t="s">
        <v>241</v>
      </c>
      <c r="O53" s="54">
        <v>201</v>
      </c>
      <c r="P53" s="54" t="s">
        <v>883</v>
      </c>
      <c r="Q53" s="60">
        <v>2</v>
      </c>
      <c r="R53" s="54" t="s">
        <v>868</v>
      </c>
      <c r="T53" s="55" t="str">
        <f t="shared" si="1"/>
        <v>{201,150},{2,3750}</v>
      </c>
      <c r="U53" s="55" t="s">
        <v>898</v>
      </c>
    </row>
    <row r="54" spans="1:21">
      <c r="A54" s="53">
        <v>50</v>
      </c>
      <c r="B54" s="53">
        <v>1001</v>
      </c>
      <c r="C54" s="53" t="s">
        <v>57</v>
      </c>
      <c r="D54" s="54" t="s">
        <v>858</v>
      </c>
      <c r="E54" s="54" t="s">
        <v>958</v>
      </c>
      <c r="F54" s="54" t="s">
        <v>873</v>
      </c>
      <c r="G54" s="77" t="s">
        <v>1553</v>
      </c>
      <c r="H54" s="77" t="s">
        <v>1284</v>
      </c>
      <c r="I54" s="77">
        <v>25</v>
      </c>
      <c r="J54" s="78">
        <f t="shared" si="3"/>
        <v>1176</v>
      </c>
      <c r="L54" s="55" t="str">
        <f t="shared" si="0"/>
        <v>{1},{3}</v>
      </c>
      <c r="M54" s="55" t="s">
        <v>242</v>
      </c>
      <c r="O54" s="54">
        <v>201</v>
      </c>
      <c r="P54" s="54" t="s">
        <v>883</v>
      </c>
      <c r="Q54" s="60">
        <v>2</v>
      </c>
      <c r="R54" s="54" t="s">
        <v>868</v>
      </c>
      <c r="T54" s="55" t="str">
        <f t="shared" si="1"/>
        <v>{201,150},{2,3750}</v>
      </c>
      <c r="U54" s="55" t="s">
        <v>898</v>
      </c>
    </row>
    <row r="55" spans="1:21">
      <c r="A55" s="53">
        <v>51</v>
      </c>
      <c r="B55" s="53">
        <v>1001</v>
      </c>
      <c r="C55" s="53" t="s">
        <v>57</v>
      </c>
      <c r="D55" s="54" t="s">
        <v>858</v>
      </c>
      <c r="E55" s="54" t="s">
        <v>959</v>
      </c>
      <c r="F55" s="54" t="s">
        <v>873</v>
      </c>
      <c r="G55" s="77" t="s">
        <v>1554</v>
      </c>
      <c r="H55" s="77" t="s">
        <v>934</v>
      </c>
      <c r="I55" s="77">
        <v>25</v>
      </c>
      <c r="J55" s="78">
        <f t="shared" si="3"/>
        <v>1201</v>
      </c>
      <c r="L55" s="55" t="str">
        <f t="shared" si="0"/>
        <v>{1},{3}</v>
      </c>
      <c r="M55" s="55" t="s">
        <v>243</v>
      </c>
      <c r="O55" s="54">
        <v>201</v>
      </c>
      <c r="P55" s="54" t="s">
        <v>883</v>
      </c>
      <c r="Q55" s="60">
        <v>2</v>
      </c>
      <c r="R55" s="54" t="s">
        <v>868</v>
      </c>
      <c r="T55" s="55" t="str">
        <f t="shared" si="1"/>
        <v>{201,150},{2,3750}</v>
      </c>
      <c r="U55" s="55" t="s">
        <v>898</v>
      </c>
    </row>
    <row r="56" spans="1:21">
      <c r="A56" s="53">
        <v>52</v>
      </c>
      <c r="B56" s="53">
        <v>1001</v>
      </c>
      <c r="C56" s="53" t="s">
        <v>57</v>
      </c>
      <c r="D56" s="54" t="s">
        <v>858</v>
      </c>
      <c r="E56" s="54" t="s">
        <v>960</v>
      </c>
      <c r="F56" s="54" t="s">
        <v>873</v>
      </c>
      <c r="G56" s="77" t="s">
        <v>1555</v>
      </c>
      <c r="H56" s="77" t="s">
        <v>1285</v>
      </c>
      <c r="I56" s="77">
        <v>25</v>
      </c>
      <c r="J56" s="78">
        <f t="shared" si="3"/>
        <v>1226</v>
      </c>
      <c r="L56" s="55" t="str">
        <f t="shared" si="0"/>
        <v>{1},{3}</v>
      </c>
      <c r="M56" s="55" t="s">
        <v>244</v>
      </c>
      <c r="O56" s="54">
        <v>201</v>
      </c>
      <c r="P56" s="54" t="s">
        <v>883</v>
      </c>
      <c r="Q56" s="60">
        <v>2</v>
      </c>
      <c r="R56" s="54" t="s">
        <v>868</v>
      </c>
      <c r="T56" s="55" t="str">
        <f t="shared" si="1"/>
        <v>{201,150},{2,3750}</v>
      </c>
      <c r="U56" s="55" t="s">
        <v>898</v>
      </c>
    </row>
    <row r="57" spans="1:21">
      <c r="A57" s="53">
        <v>53</v>
      </c>
      <c r="B57" s="53">
        <v>1001</v>
      </c>
      <c r="C57" s="53" t="s">
        <v>57</v>
      </c>
      <c r="D57" s="54" t="s">
        <v>858</v>
      </c>
      <c r="E57" s="54" t="s">
        <v>961</v>
      </c>
      <c r="F57" s="54" t="s">
        <v>873</v>
      </c>
      <c r="G57" s="77" t="s">
        <v>1556</v>
      </c>
      <c r="H57" s="77" t="s">
        <v>935</v>
      </c>
      <c r="I57" s="77">
        <v>25</v>
      </c>
      <c r="J57" s="78">
        <f t="shared" si="3"/>
        <v>1251</v>
      </c>
      <c r="L57" s="55" t="str">
        <f t="shared" si="0"/>
        <v>{1},{3}</v>
      </c>
      <c r="M57" s="55" t="s">
        <v>245</v>
      </c>
      <c r="O57" s="54">
        <v>201</v>
      </c>
      <c r="P57" s="54" t="s">
        <v>883</v>
      </c>
      <c r="Q57" s="60">
        <v>2</v>
      </c>
      <c r="R57" s="54" t="s">
        <v>868</v>
      </c>
      <c r="T57" s="55" t="str">
        <f t="shared" si="1"/>
        <v>{201,150},{2,3750}</v>
      </c>
      <c r="U57" s="55" t="s">
        <v>898</v>
      </c>
    </row>
    <row r="58" spans="1:21">
      <c r="A58" s="53">
        <v>54</v>
      </c>
      <c r="B58" s="53">
        <v>1001</v>
      </c>
      <c r="C58" s="53" t="s">
        <v>57</v>
      </c>
      <c r="D58" s="54" t="s">
        <v>858</v>
      </c>
      <c r="E58" s="54" t="s">
        <v>962</v>
      </c>
      <c r="F58" s="54" t="s">
        <v>873</v>
      </c>
      <c r="G58" s="77" t="s">
        <v>1557</v>
      </c>
      <c r="H58" s="77" t="s">
        <v>2037</v>
      </c>
      <c r="I58" s="77">
        <v>25</v>
      </c>
      <c r="J58" s="78">
        <f t="shared" si="3"/>
        <v>1276</v>
      </c>
      <c r="L58" s="55" t="str">
        <f t="shared" si="0"/>
        <v>{1},{3}</v>
      </c>
      <c r="M58" s="55" t="s">
        <v>246</v>
      </c>
      <c r="O58" s="54">
        <v>201</v>
      </c>
      <c r="P58" s="54" t="s">
        <v>883</v>
      </c>
      <c r="Q58" s="60">
        <v>2</v>
      </c>
      <c r="R58" s="54" t="s">
        <v>868</v>
      </c>
      <c r="T58" s="55" t="str">
        <f t="shared" si="1"/>
        <v>{201,150},{2,3750}</v>
      </c>
      <c r="U58" s="55" t="s">
        <v>898</v>
      </c>
    </row>
    <row r="59" spans="1:21">
      <c r="A59" s="53">
        <v>55</v>
      </c>
      <c r="B59" s="53">
        <v>1001</v>
      </c>
      <c r="C59" s="53" t="s">
        <v>57</v>
      </c>
      <c r="D59" s="54" t="s">
        <v>858</v>
      </c>
      <c r="E59" s="54" t="s">
        <v>963</v>
      </c>
      <c r="F59" s="54" t="s">
        <v>873</v>
      </c>
      <c r="G59" s="77" t="s">
        <v>1558</v>
      </c>
      <c r="H59" s="77" t="s">
        <v>936</v>
      </c>
      <c r="I59" s="77">
        <v>25</v>
      </c>
      <c r="J59" s="78">
        <f t="shared" si="3"/>
        <v>1301</v>
      </c>
      <c r="L59" s="55" t="str">
        <f t="shared" si="0"/>
        <v>{1},{3}</v>
      </c>
      <c r="M59" s="55" t="s">
        <v>247</v>
      </c>
      <c r="O59" s="54">
        <v>201</v>
      </c>
      <c r="P59" s="54" t="s">
        <v>883</v>
      </c>
      <c r="Q59" s="60">
        <v>2</v>
      </c>
      <c r="R59" s="54" t="s">
        <v>868</v>
      </c>
      <c r="T59" s="55" t="str">
        <f t="shared" si="1"/>
        <v>{201,150},{2,3750}</v>
      </c>
      <c r="U59" s="55" t="s">
        <v>898</v>
      </c>
    </row>
    <row r="60" spans="1:21">
      <c r="A60" s="53">
        <v>56</v>
      </c>
      <c r="B60" s="53">
        <v>1001</v>
      </c>
      <c r="C60" s="53" t="s">
        <v>57</v>
      </c>
      <c r="D60" s="54" t="s">
        <v>858</v>
      </c>
      <c r="E60" s="54" t="s">
        <v>964</v>
      </c>
      <c r="F60" s="54" t="s">
        <v>873</v>
      </c>
      <c r="G60" s="77" t="s">
        <v>1559</v>
      </c>
      <c r="H60" s="77" t="s">
        <v>906</v>
      </c>
      <c r="I60" s="77">
        <v>25</v>
      </c>
      <c r="J60" s="78">
        <f t="shared" si="3"/>
        <v>1326</v>
      </c>
      <c r="L60" s="55" t="str">
        <f t="shared" si="0"/>
        <v>{1},{3}</v>
      </c>
      <c r="M60" s="55" t="s">
        <v>248</v>
      </c>
      <c r="O60" s="54">
        <v>201</v>
      </c>
      <c r="P60" s="54" t="s">
        <v>883</v>
      </c>
      <c r="Q60" s="60">
        <v>2</v>
      </c>
      <c r="R60" s="54" t="s">
        <v>868</v>
      </c>
      <c r="T60" s="55" t="str">
        <f t="shared" si="1"/>
        <v>{201,150},{2,3750}</v>
      </c>
      <c r="U60" s="55" t="s">
        <v>898</v>
      </c>
    </row>
    <row r="61" spans="1:21">
      <c r="A61" s="53">
        <v>57</v>
      </c>
      <c r="B61" s="53">
        <v>1001</v>
      </c>
      <c r="C61" s="53" t="s">
        <v>57</v>
      </c>
      <c r="D61" s="54" t="s">
        <v>858</v>
      </c>
      <c r="E61" s="54" t="s">
        <v>965</v>
      </c>
      <c r="F61" s="54" t="s">
        <v>873</v>
      </c>
      <c r="G61" s="77" t="s">
        <v>1560</v>
      </c>
      <c r="H61" s="77" t="s">
        <v>937</v>
      </c>
      <c r="I61" s="77">
        <v>25</v>
      </c>
      <c r="J61" s="78">
        <f t="shared" si="3"/>
        <v>1351</v>
      </c>
      <c r="L61" s="55" t="str">
        <f t="shared" si="0"/>
        <v>{1},{3}</v>
      </c>
      <c r="M61" s="55" t="s">
        <v>249</v>
      </c>
      <c r="O61" s="54">
        <v>201</v>
      </c>
      <c r="P61" s="54" t="s">
        <v>883</v>
      </c>
      <c r="Q61" s="60">
        <v>2</v>
      </c>
      <c r="R61" s="54" t="s">
        <v>868</v>
      </c>
      <c r="T61" s="55" t="str">
        <f t="shared" si="1"/>
        <v>{201,150},{2,3750}</v>
      </c>
      <c r="U61" s="55" t="s">
        <v>898</v>
      </c>
    </row>
    <row r="62" spans="1:21">
      <c r="A62" s="53">
        <v>58</v>
      </c>
      <c r="B62" s="53">
        <v>1001</v>
      </c>
      <c r="C62" s="53" t="s">
        <v>57</v>
      </c>
      <c r="D62" s="54" t="s">
        <v>858</v>
      </c>
      <c r="E62" s="54" t="s">
        <v>966</v>
      </c>
      <c r="F62" s="54" t="s">
        <v>873</v>
      </c>
      <c r="G62" s="77" t="s">
        <v>1561</v>
      </c>
      <c r="H62" s="77" t="s">
        <v>2038</v>
      </c>
      <c r="I62" s="77">
        <v>25</v>
      </c>
      <c r="J62" s="78">
        <f t="shared" si="3"/>
        <v>1376</v>
      </c>
      <c r="L62" s="55" t="str">
        <f t="shared" si="0"/>
        <v>{1},{3}</v>
      </c>
      <c r="M62" s="55" t="s">
        <v>250</v>
      </c>
      <c r="O62" s="54">
        <v>201</v>
      </c>
      <c r="P62" s="54" t="s">
        <v>883</v>
      </c>
      <c r="Q62" s="60">
        <v>2</v>
      </c>
      <c r="R62" s="54" t="s">
        <v>868</v>
      </c>
      <c r="T62" s="55" t="str">
        <f t="shared" si="1"/>
        <v>{201,150},{2,3750}</v>
      </c>
      <c r="U62" s="55" t="s">
        <v>898</v>
      </c>
    </row>
    <row r="63" spans="1:21">
      <c r="A63" s="53">
        <v>59</v>
      </c>
      <c r="B63" s="53">
        <v>1001</v>
      </c>
      <c r="C63" s="53" t="s">
        <v>57</v>
      </c>
      <c r="D63" s="54" t="s">
        <v>858</v>
      </c>
      <c r="E63" s="54" t="s">
        <v>967</v>
      </c>
      <c r="F63" s="54" t="s">
        <v>873</v>
      </c>
      <c r="G63" s="77" t="s">
        <v>1562</v>
      </c>
      <c r="H63" s="77" t="s">
        <v>938</v>
      </c>
      <c r="I63" s="77">
        <v>25</v>
      </c>
      <c r="J63" s="78">
        <f t="shared" si="3"/>
        <v>1401</v>
      </c>
      <c r="L63" s="55" t="str">
        <f t="shared" si="0"/>
        <v>{1},{3}</v>
      </c>
      <c r="M63" s="55" t="s">
        <v>251</v>
      </c>
      <c r="O63" s="54">
        <v>201</v>
      </c>
      <c r="P63" s="54" t="s">
        <v>883</v>
      </c>
      <c r="Q63" s="60">
        <v>2</v>
      </c>
      <c r="R63" s="54" t="s">
        <v>868</v>
      </c>
      <c r="T63" s="55" t="str">
        <f t="shared" si="1"/>
        <v>{201,150},{2,3750}</v>
      </c>
      <c r="U63" s="55" t="s">
        <v>898</v>
      </c>
    </row>
    <row r="64" spans="1:21" s="63" customFormat="1">
      <c r="A64" s="61">
        <v>60</v>
      </c>
      <c r="B64" s="61">
        <v>1001</v>
      </c>
      <c r="C64" s="61" t="s">
        <v>58</v>
      </c>
      <c r="D64" s="62" t="s">
        <v>858</v>
      </c>
      <c r="E64" s="62" t="s">
        <v>968</v>
      </c>
      <c r="F64" s="62" t="s">
        <v>873</v>
      </c>
      <c r="G64" s="78" t="s">
        <v>1563</v>
      </c>
      <c r="H64" s="77" t="s">
        <v>2039</v>
      </c>
      <c r="I64" s="78"/>
      <c r="J64" s="78">
        <f t="shared" si="3"/>
        <v>1401</v>
      </c>
      <c r="L64" s="63" t="str">
        <f t="shared" si="0"/>
        <v>{1},{3}</v>
      </c>
      <c r="M64" s="63" t="s">
        <v>252</v>
      </c>
      <c r="O64" s="62" t="s">
        <v>886</v>
      </c>
      <c r="P64" s="62" t="s">
        <v>883</v>
      </c>
      <c r="Q64" s="64">
        <v>2</v>
      </c>
      <c r="R64" s="62" t="s">
        <v>869</v>
      </c>
      <c r="T64" s="55" t="str">
        <f t="shared" si="1"/>
        <v>{301,150},{2,4500}</v>
      </c>
      <c r="U64" s="63" t="s">
        <v>899</v>
      </c>
    </row>
    <row r="65" spans="1:21">
      <c r="A65" s="53">
        <v>61</v>
      </c>
      <c r="B65" s="53">
        <v>1001</v>
      </c>
      <c r="C65" s="53" t="s">
        <v>59</v>
      </c>
      <c r="D65" s="54" t="s">
        <v>858</v>
      </c>
      <c r="E65" s="54" t="s">
        <v>969</v>
      </c>
      <c r="F65" s="54" t="s">
        <v>873</v>
      </c>
      <c r="G65" s="77" t="s">
        <v>1564</v>
      </c>
      <c r="H65" s="77" t="s">
        <v>939</v>
      </c>
      <c r="I65" s="77">
        <v>30</v>
      </c>
      <c r="J65" s="78">
        <f t="shared" si="3"/>
        <v>1431</v>
      </c>
      <c r="L65" s="55" t="str">
        <f t="shared" si="0"/>
        <v>{1},{3}</v>
      </c>
      <c r="M65" s="55" t="s">
        <v>253</v>
      </c>
      <c r="O65" s="54">
        <v>201</v>
      </c>
      <c r="P65" s="54" t="s">
        <v>884</v>
      </c>
      <c r="Q65" s="60">
        <v>2</v>
      </c>
      <c r="R65" s="54" t="s">
        <v>870</v>
      </c>
      <c r="T65" s="55" t="str">
        <f t="shared" si="1"/>
        <v>{201,300},{2,9000}</v>
      </c>
      <c r="U65" s="55" t="s">
        <v>900</v>
      </c>
    </row>
    <row r="66" spans="1:21">
      <c r="A66" s="53">
        <v>62</v>
      </c>
      <c r="B66" s="53">
        <v>1001</v>
      </c>
      <c r="C66" s="53" t="s">
        <v>59</v>
      </c>
      <c r="D66" s="54" t="s">
        <v>858</v>
      </c>
      <c r="E66" s="54" t="s">
        <v>970</v>
      </c>
      <c r="F66" s="54" t="s">
        <v>873</v>
      </c>
      <c r="G66" s="77" t="s">
        <v>1565</v>
      </c>
      <c r="H66" s="77" t="s">
        <v>1449</v>
      </c>
      <c r="I66" s="77">
        <v>30</v>
      </c>
      <c r="J66" s="78">
        <f t="shared" si="3"/>
        <v>1461</v>
      </c>
      <c r="L66" s="55" t="str">
        <f t="shared" si="0"/>
        <v>{1},{3}</v>
      </c>
      <c r="M66" s="55" t="s">
        <v>254</v>
      </c>
      <c r="O66" s="54">
        <v>201</v>
      </c>
      <c r="P66" s="54" t="s">
        <v>884</v>
      </c>
      <c r="Q66" s="60">
        <v>2</v>
      </c>
      <c r="R66" s="54" t="s">
        <v>870</v>
      </c>
      <c r="T66" s="55" t="str">
        <f t="shared" si="1"/>
        <v>{201,300},{2,9000}</v>
      </c>
      <c r="U66" s="55" t="s">
        <v>900</v>
      </c>
    </row>
    <row r="67" spans="1:21">
      <c r="A67" s="53">
        <v>63</v>
      </c>
      <c r="B67" s="53">
        <v>1001</v>
      </c>
      <c r="C67" s="53" t="s">
        <v>59</v>
      </c>
      <c r="D67" s="54" t="s">
        <v>858</v>
      </c>
      <c r="E67" s="54" t="s">
        <v>971</v>
      </c>
      <c r="F67" s="54" t="s">
        <v>873</v>
      </c>
      <c r="G67" s="77" t="s">
        <v>1566</v>
      </c>
      <c r="H67" s="77" t="s">
        <v>940</v>
      </c>
      <c r="I67" s="77">
        <v>30</v>
      </c>
      <c r="J67" s="78">
        <f t="shared" si="3"/>
        <v>1491</v>
      </c>
      <c r="L67" s="55" t="str">
        <f t="shared" si="0"/>
        <v>{1},{3}</v>
      </c>
      <c r="M67" s="55" t="s">
        <v>255</v>
      </c>
      <c r="O67" s="54">
        <v>201</v>
      </c>
      <c r="P67" s="54" t="s">
        <v>884</v>
      </c>
      <c r="Q67" s="60">
        <v>2</v>
      </c>
      <c r="R67" s="54" t="s">
        <v>870</v>
      </c>
      <c r="T67" s="55" t="str">
        <f t="shared" si="1"/>
        <v>{201,300},{2,9000}</v>
      </c>
      <c r="U67" s="55" t="s">
        <v>900</v>
      </c>
    </row>
    <row r="68" spans="1:21">
      <c r="A68" s="53">
        <v>64</v>
      </c>
      <c r="B68" s="53">
        <v>1001</v>
      </c>
      <c r="C68" s="53" t="s">
        <v>59</v>
      </c>
      <c r="D68" s="54" t="s">
        <v>858</v>
      </c>
      <c r="E68" s="54" t="s">
        <v>972</v>
      </c>
      <c r="F68" s="54" t="s">
        <v>873</v>
      </c>
      <c r="G68" s="77" t="s">
        <v>1567</v>
      </c>
      <c r="H68" s="77" t="s">
        <v>2040</v>
      </c>
      <c r="I68" s="77">
        <v>30</v>
      </c>
      <c r="J68" s="78">
        <f t="shared" si="3"/>
        <v>1521</v>
      </c>
      <c r="L68" s="55" t="str">
        <f t="shared" si="0"/>
        <v>{1},{3}</v>
      </c>
      <c r="M68" s="55" t="s">
        <v>256</v>
      </c>
      <c r="O68" s="54">
        <v>201</v>
      </c>
      <c r="P68" s="54" t="s">
        <v>884</v>
      </c>
      <c r="Q68" s="60">
        <v>2</v>
      </c>
      <c r="R68" s="54" t="s">
        <v>870</v>
      </c>
      <c r="T68" s="55" t="str">
        <f t="shared" si="1"/>
        <v>{201,300},{2,9000}</v>
      </c>
      <c r="U68" s="55" t="s">
        <v>900</v>
      </c>
    </row>
    <row r="69" spans="1:21">
      <c r="A69" s="53">
        <v>65</v>
      </c>
      <c r="B69" s="53">
        <v>1001</v>
      </c>
      <c r="C69" s="53" t="s">
        <v>59</v>
      </c>
      <c r="D69" s="54" t="s">
        <v>858</v>
      </c>
      <c r="E69" s="54" t="s">
        <v>973</v>
      </c>
      <c r="F69" s="54" t="s">
        <v>873</v>
      </c>
      <c r="G69" s="77" t="s">
        <v>1568</v>
      </c>
      <c r="H69" s="77" t="s">
        <v>941</v>
      </c>
      <c r="I69" s="77">
        <v>30</v>
      </c>
      <c r="J69" s="78">
        <f t="shared" si="3"/>
        <v>1551</v>
      </c>
      <c r="L69" s="55" t="str">
        <f t="shared" si="0"/>
        <v>{1},{3}</v>
      </c>
      <c r="M69" s="55" t="s">
        <v>257</v>
      </c>
      <c r="O69" s="54">
        <v>201</v>
      </c>
      <c r="P69" s="54" t="s">
        <v>884</v>
      </c>
      <c r="Q69" s="60">
        <v>2</v>
      </c>
      <c r="R69" s="54" t="s">
        <v>870</v>
      </c>
      <c r="T69" s="55" t="str">
        <f t="shared" si="1"/>
        <v>{201,300},{2,9000}</v>
      </c>
      <c r="U69" s="55" t="s">
        <v>900</v>
      </c>
    </row>
    <row r="70" spans="1:21">
      <c r="A70" s="53">
        <v>66</v>
      </c>
      <c r="B70" s="53">
        <v>1001</v>
      </c>
      <c r="C70" s="53" t="s">
        <v>59</v>
      </c>
      <c r="D70" s="54" t="s">
        <v>858</v>
      </c>
      <c r="E70" s="54" t="s">
        <v>974</v>
      </c>
      <c r="F70" s="54" t="s">
        <v>873</v>
      </c>
      <c r="G70" s="77" t="s">
        <v>1569</v>
      </c>
      <c r="H70" s="77" t="s">
        <v>908</v>
      </c>
      <c r="I70" s="77">
        <v>30</v>
      </c>
      <c r="J70" s="78">
        <f t="shared" si="3"/>
        <v>1581</v>
      </c>
      <c r="L70" s="55" t="str">
        <f t="shared" ref="L70:L133" si="4">"{"&amp;D70&amp;"}"&amp;","&amp;"{"&amp;F70&amp;"}"</f>
        <v>{1},{3}</v>
      </c>
      <c r="M70" s="55" t="s">
        <v>258</v>
      </c>
      <c r="O70" s="54">
        <v>201</v>
      </c>
      <c r="P70" s="54" t="s">
        <v>884</v>
      </c>
      <c r="Q70" s="60">
        <v>2</v>
      </c>
      <c r="R70" s="54" t="s">
        <v>870</v>
      </c>
      <c r="T70" s="55" t="str">
        <f t="shared" ref="T70:T133" si="5">"{"&amp;O70&amp;","&amp;P70&amp;"}"&amp;","&amp;"{"&amp;Q70&amp;","&amp;R70&amp;"}"</f>
        <v>{201,300},{2,9000}</v>
      </c>
      <c r="U70" s="55" t="s">
        <v>900</v>
      </c>
    </row>
    <row r="71" spans="1:21">
      <c r="A71" s="53">
        <v>67</v>
      </c>
      <c r="B71" s="53">
        <v>1001</v>
      </c>
      <c r="C71" s="53" t="s">
        <v>59</v>
      </c>
      <c r="D71" s="54" t="s">
        <v>858</v>
      </c>
      <c r="E71" s="54" t="s">
        <v>975</v>
      </c>
      <c r="F71" s="54" t="s">
        <v>873</v>
      </c>
      <c r="G71" s="77" t="s">
        <v>1570</v>
      </c>
      <c r="H71" s="77" t="s">
        <v>942</v>
      </c>
      <c r="I71" s="77">
        <v>30</v>
      </c>
      <c r="J71" s="78">
        <f t="shared" si="3"/>
        <v>1611</v>
      </c>
      <c r="L71" s="55" t="str">
        <f t="shared" si="4"/>
        <v>{1},{3}</v>
      </c>
      <c r="M71" s="55" t="s">
        <v>259</v>
      </c>
      <c r="O71" s="54">
        <v>201</v>
      </c>
      <c r="P71" s="54" t="s">
        <v>884</v>
      </c>
      <c r="Q71" s="60">
        <v>2</v>
      </c>
      <c r="R71" s="54" t="s">
        <v>870</v>
      </c>
      <c r="T71" s="55" t="str">
        <f t="shared" si="5"/>
        <v>{201,300},{2,9000}</v>
      </c>
      <c r="U71" s="55" t="s">
        <v>900</v>
      </c>
    </row>
    <row r="72" spans="1:21">
      <c r="A72" s="53">
        <v>68</v>
      </c>
      <c r="B72" s="53">
        <v>1001</v>
      </c>
      <c r="C72" s="53" t="s">
        <v>59</v>
      </c>
      <c r="D72" s="54" t="s">
        <v>858</v>
      </c>
      <c r="E72" s="54" t="s">
        <v>976</v>
      </c>
      <c r="F72" s="54" t="s">
        <v>873</v>
      </c>
      <c r="G72" s="77" t="s">
        <v>1571</v>
      </c>
      <c r="H72" s="77" t="s">
        <v>1206</v>
      </c>
      <c r="I72" s="77">
        <v>30</v>
      </c>
      <c r="J72" s="78">
        <f t="shared" si="3"/>
        <v>1641</v>
      </c>
      <c r="L72" s="55" t="str">
        <f t="shared" si="4"/>
        <v>{1},{3}</v>
      </c>
      <c r="M72" s="55" t="s">
        <v>260</v>
      </c>
      <c r="O72" s="54">
        <v>201</v>
      </c>
      <c r="P72" s="54" t="s">
        <v>884</v>
      </c>
      <c r="Q72" s="60">
        <v>2</v>
      </c>
      <c r="R72" s="54" t="s">
        <v>870</v>
      </c>
      <c r="T72" s="55" t="str">
        <f t="shared" si="5"/>
        <v>{201,300},{2,9000}</v>
      </c>
      <c r="U72" s="55" t="s">
        <v>900</v>
      </c>
    </row>
    <row r="73" spans="1:21">
      <c r="A73" s="53">
        <v>69</v>
      </c>
      <c r="B73" s="53">
        <v>1001</v>
      </c>
      <c r="C73" s="53" t="s">
        <v>59</v>
      </c>
      <c r="D73" s="54" t="s">
        <v>858</v>
      </c>
      <c r="E73" s="54" t="s">
        <v>977</v>
      </c>
      <c r="F73" s="54" t="s">
        <v>873</v>
      </c>
      <c r="G73" s="77" t="s">
        <v>1572</v>
      </c>
      <c r="H73" s="77" t="s">
        <v>943</v>
      </c>
      <c r="I73" s="77">
        <v>30</v>
      </c>
      <c r="J73" s="78">
        <f t="shared" si="3"/>
        <v>1671</v>
      </c>
      <c r="L73" s="55" t="str">
        <f t="shared" si="4"/>
        <v>{1},{3}</v>
      </c>
      <c r="M73" s="55" t="s">
        <v>261</v>
      </c>
      <c r="O73" s="54">
        <v>201</v>
      </c>
      <c r="P73" s="54" t="s">
        <v>884</v>
      </c>
      <c r="Q73" s="60">
        <v>2</v>
      </c>
      <c r="R73" s="54" t="s">
        <v>870</v>
      </c>
      <c r="T73" s="55" t="str">
        <f t="shared" si="5"/>
        <v>{201,300},{2,9000}</v>
      </c>
      <c r="U73" s="55" t="s">
        <v>900</v>
      </c>
    </row>
    <row r="74" spans="1:21">
      <c r="A74" s="53">
        <v>70</v>
      </c>
      <c r="B74" s="53">
        <v>1001</v>
      </c>
      <c r="C74" s="53" t="s">
        <v>59</v>
      </c>
      <c r="D74" s="54" t="s">
        <v>858</v>
      </c>
      <c r="E74" s="54" t="s">
        <v>978</v>
      </c>
      <c r="F74" s="54" t="s">
        <v>873</v>
      </c>
      <c r="G74" s="77" t="s">
        <v>1573</v>
      </c>
      <c r="H74" s="77" t="s">
        <v>2041</v>
      </c>
      <c r="I74" s="77">
        <v>35</v>
      </c>
      <c r="J74" s="78">
        <f t="shared" si="3"/>
        <v>1706</v>
      </c>
      <c r="L74" s="55" t="str">
        <f t="shared" si="4"/>
        <v>{1},{3}</v>
      </c>
      <c r="M74" s="55" t="s">
        <v>262</v>
      </c>
      <c r="O74" s="54">
        <v>201</v>
      </c>
      <c r="P74" s="54" t="s">
        <v>884</v>
      </c>
      <c r="Q74" s="60">
        <v>2</v>
      </c>
      <c r="R74" s="54" t="s">
        <v>870</v>
      </c>
      <c r="T74" s="55" t="str">
        <f t="shared" si="5"/>
        <v>{201,300},{2,9000}</v>
      </c>
      <c r="U74" s="55" t="s">
        <v>900</v>
      </c>
    </row>
    <row r="75" spans="1:21">
      <c r="A75" s="53">
        <v>71</v>
      </c>
      <c r="B75" s="53">
        <v>1001</v>
      </c>
      <c r="C75" s="53" t="s">
        <v>59</v>
      </c>
      <c r="D75" s="54" t="s">
        <v>858</v>
      </c>
      <c r="E75" s="54" t="s">
        <v>979</v>
      </c>
      <c r="F75" s="54" t="s">
        <v>873</v>
      </c>
      <c r="G75" s="77" t="s">
        <v>1574</v>
      </c>
      <c r="H75" s="77" t="s">
        <v>944</v>
      </c>
      <c r="I75" s="77">
        <v>35</v>
      </c>
      <c r="J75" s="78">
        <f t="shared" si="3"/>
        <v>1741</v>
      </c>
      <c r="L75" s="55" t="str">
        <f t="shared" si="4"/>
        <v>{1},{3}</v>
      </c>
      <c r="M75" s="55" t="s">
        <v>263</v>
      </c>
      <c r="O75" s="54">
        <v>201</v>
      </c>
      <c r="P75" s="54" t="s">
        <v>884</v>
      </c>
      <c r="Q75" s="60">
        <v>2</v>
      </c>
      <c r="R75" s="54" t="s">
        <v>870</v>
      </c>
      <c r="T75" s="55" t="str">
        <f t="shared" si="5"/>
        <v>{201,300},{2,9000}</v>
      </c>
      <c r="U75" s="55" t="s">
        <v>900</v>
      </c>
    </row>
    <row r="76" spans="1:21">
      <c r="A76" s="53">
        <v>72</v>
      </c>
      <c r="B76" s="53">
        <v>1001</v>
      </c>
      <c r="C76" s="53" t="s">
        <v>59</v>
      </c>
      <c r="D76" s="54" t="s">
        <v>858</v>
      </c>
      <c r="E76" s="54" t="s">
        <v>980</v>
      </c>
      <c r="F76" s="54" t="s">
        <v>873</v>
      </c>
      <c r="G76" s="77" t="s">
        <v>1575</v>
      </c>
      <c r="H76" s="77" t="s">
        <v>2042</v>
      </c>
      <c r="I76" s="77">
        <v>35</v>
      </c>
      <c r="J76" s="78">
        <f t="shared" si="3"/>
        <v>1776</v>
      </c>
      <c r="L76" s="55" t="str">
        <f t="shared" si="4"/>
        <v>{1},{3}</v>
      </c>
      <c r="M76" s="55" t="s">
        <v>264</v>
      </c>
      <c r="O76" s="54">
        <v>201</v>
      </c>
      <c r="P76" s="54" t="s">
        <v>884</v>
      </c>
      <c r="Q76" s="60">
        <v>2</v>
      </c>
      <c r="R76" s="54" t="s">
        <v>870</v>
      </c>
      <c r="T76" s="55" t="str">
        <f t="shared" si="5"/>
        <v>{201,300},{2,9000}</v>
      </c>
      <c r="U76" s="55" t="s">
        <v>900</v>
      </c>
    </row>
    <row r="77" spans="1:21">
      <c r="A77" s="53">
        <v>73</v>
      </c>
      <c r="B77" s="53">
        <v>1001</v>
      </c>
      <c r="C77" s="53" t="s">
        <v>59</v>
      </c>
      <c r="D77" s="54" t="s">
        <v>858</v>
      </c>
      <c r="E77" s="54" t="s">
        <v>981</v>
      </c>
      <c r="F77" s="54" t="s">
        <v>873</v>
      </c>
      <c r="G77" s="77" t="s">
        <v>1576</v>
      </c>
      <c r="H77" s="77" t="s">
        <v>945</v>
      </c>
      <c r="I77" s="77">
        <v>35</v>
      </c>
      <c r="J77" s="78">
        <f t="shared" si="3"/>
        <v>1811</v>
      </c>
      <c r="L77" s="55" t="str">
        <f t="shared" si="4"/>
        <v>{1},{3}</v>
      </c>
      <c r="M77" s="55" t="s">
        <v>265</v>
      </c>
      <c r="O77" s="54">
        <v>201</v>
      </c>
      <c r="P77" s="54" t="s">
        <v>884</v>
      </c>
      <c r="Q77" s="60">
        <v>2</v>
      </c>
      <c r="R77" s="54" t="s">
        <v>870</v>
      </c>
      <c r="T77" s="55" t="str">
        <f t="shared" si="5"/>
        <v>{201,300},{2,9000}</v>
      </c>
      <c r="U77" s="55" t="s">
        <v>900</v>
      </c>
    </row>
    <row r="78" spans="1:21">
      <c r="A78" s="53">
        <v>74</v>
      </c>
      <c r="B78" s="53">
        <v>1001</v>
      </c>
      <c r="C78" s="53" t="s">
        <v>59</v>
      </c>
      <c r="D78" s="54" t="s">
        <v>858</v>
      </c>
      <c r="E78" s="54" t="s">
        <v>982</v>
      </c>
      <c r="F78" s="54" t="s">
        <v>873</v>
      </c>
      <c r="G78" s="77" t="s">
        <v>1577</v>
      </c>
      <c r="H78" s="77" t="s">
        <v>1450</v>
      </c>
      <c r="I78" s="77">
        <v>35</v>
      </c>
      <c r="J78" s="78">
        <f t="shared" si="3"/>
        <v>1846</v>
      </c>
      <c r="L78" s="55" t="str">
        <f t="shared" si="4"/>
        <v>{1},{3}</v>
      </c>
      <c r="M78" s="55" t="s">
        <v>266</v>
      </c>
      <c r="O78" s="54">
        <v>201</v>
      </c>
      <c r="P78" s="54" t="s">
        <v>884</v>
      </c>
      <c r="Q78" s="60">
        <v>2</v>
      </c>
      <c r="R78" s="54" t="s">
        <v>870</v>
      </c>
      <c r="T78" s="55" t="str">
        <f t="shared" si="5"/>
        <v>{201,300},{2,9000}</v>
      </c>
      <c r="U78" s="55" t="s">
        <v>900</v>
      </c>
    </row>
    <row r="79" spans="1:21">
      <c r="A79" s="53">
        <v>75</v>
      </c>
      <c r="B79" s="53">
        <v>1001</v>
      </c>
      <c r="C79" s="53" t="s">
        <v>59</v>
      </c>
      <c r="D79" s="54" t="s">
        <v>858</v>
      </c>
      <c r="E79" s="54" t="s">
        <v>983</v>
      </c>
      <c r="F79" s="54" t="s">
        <v>873</v>
      </c>
      <c r="G79" s="77" t="s">
        <v>1578</v>
      </c>
      <c r="H79" s="77" t="s">
        <v>946</v>
      </c>
      <c r="I79" s="77">
        <v>35</v>
      </c>
      <c r="J79" s="78">
        <f t="shared" si="3"/>
        <v>1881</v>
      </c>
      <c r="L79" s="55" t="str">
        <f t="shared" si="4"/>
        <v>{1},{3}</v>
      </c>
      <c r="M79" s="55" t="s">
        <v>267</v>
      </c>
      <c r="O79" s="54">
        <v>201</v>
      </c>
      <c r="P79" s="54" t="s">
        <v>884</v>
      </c>
      <c r="Q79" s="60">
        <v>2</v>
      </c>
      <c r="R79" s="54" t="s">
        <v>870</v>
      </c>
      <c r="T79" s="55" t="str">
        <f t="shared" si="5"/>
        <v>{201,300},{2,9000}</v>
      </c>
      <c r="U79" s="55" t="s">
        <v>900</v>
      </c>
    </row>
    <row r="80" spans="1:21">
      <c r="A80" s="53">
        <v>76</v>
      </c>
      <c r="B80" s="53">
        <v>1001</v>
      </c>
      <c r="C80" s="53" t="s">
        <v>59</v>
      </c>
      <c r="D80" s="54" t="s">
        <v>858</v>
      </c>
      <c r="E80" s="54" t="s">
        <v>984</v>
      </c>
      <c r="F80" s="54" t="s">
        <v>873</v>
      </c>
      <c r="G80" s="77" t="s">
        <v>1579</v>
      </c>
      <c r="H80" s="77" t="s">
        <v>910</v>
      </c>
      <c r="I80" s="77">
        <v>35</v>
      </c>
      <c r="J80" s="78">
        <f t="shared" si="3"/>
        <v>1916</v>
      </c>
      <c r="L80" s="55" t="str">
        <f t="shared" si="4"/>
        <v>{1},{3}</v>
      </c>
      <c r="M80" s="55" t="s">
        <v>268</v>
      </c>
      <c r="O80" s="54">
        <v>201</v>
      </c>
      <c r="P80" s="54" t="s">
        <v>884</v>
      </c>
      <c r="Q80" s="60">
        <v>2</v>
      </c>
      <c r="R80" s="54" t="s">
        <v>870</v>
      </c>
      <c r="T80" s="55" t="str">
        <f t="shared" si="5"/>
        <v>{201,300},{2,9000}</v>
      </c>
      <c r="U80" s="55" t="s">
        <v>900</v>
      </c>
    </row>
    <row r="81" spans="1:21">
      <c r="A81" s="53">
        <v>77</v>
      </c>
      <c r="B81" s="53">
        <v>1001</v>
      </c>
      <c r="C81" s="53" t="s">
        <v>59</v>
      </c>
      <c r="D81" s="54" t="s">
        <v>858</v>
      </c>
      <c r="E81" s="54" t="s">
        <v>985</v>
      </c>
      <c r="F81" s="54" t="s">
        <v>873</v>
      </c>
      <c r="G81" s="77" t="s">
        <v>1580</v>
      </c>
      <c r="H81" s="77" t="s">
        <v>947</v>
      </c>
      <c r="I81" s="77">
        <v>35</v>
      </c>
      <c r="J81" s="78">
        <f t="shared" si="3"/>
        <v>1951</v>
      </c>
      <c r="L81" s="55" t="str">
        <f t="shared" si="4"/>
        <v>{1},{3}</v>
      </c>
      <c r="M81" s="55" t="s">
        <v>269</v>
      </c>
      <c r="O81" s="54">
        <v>201</v>
      </c>
      <c r="P81" s="54" t="s">
        <v>884</v>
      </c>
      <c r="Q81" s="60">
        <v>2</v>
      </c>
      <c r="R81" s="54" t="s">
        <v>870</v>
      </c>
      <c r="T81" s="55" t="str">
        <f t="shared" si="5"/>
        <v>{201,300},{2,9000}</v>
      </c>
      <c r="U81" s="55" t="s">
        <v>900</v>
      </c>
    </row>
    <row r="82" spans="1:21">
      <c r="A82" s="53">
        <v>78</v>
      </c>
      <c r="B82" s="53">
        <v>1001</v>
      </c>
      <c r="C82" s="53" t="s">
        <v>59</v>
      </c>
      <c r="D82" s="54" t="s">
        <v>858</v>
      </c>
      <c r="E82" s="54" t="s">
        <v>986</v>
      </c>
      <c r="F82" s="54" t="s">
        <v>873</v>
      </c>
      <c r="G82" s="77" t="s">
        <v>1581</v>
      </c>
      <c r="H82" s="77" t="s">
        <v>2043</v>
      </c>
      <c r="I82" s="77">
        <v>35</v>
      </c>
      <c r="J82" s="78">
        <f t="shared" si="3"/>
        <v>1986</v>
      </c>
      <c r="L82" s="55" t="str">
        <f t="shared" si="4"/>
        <v>{1},{3}</v>
      </c>
      <c r="M82" s="55" t="s">
        <v>270</v>
      </c>
      <c r="O82" s="54">
        <v>201</v>
      </c>
      <c r="P82" s="54" t="s">
        <v>884</v>
      </c>
      <c r="Q82" s="60">
        <v>2</v>
      </c>
      <c r="R82" s="54" t="s">
        <v>870</v>
      </c>
      <c r="T82" s="55" t="str">
        <f t="shared" si="5"/>
        <v>{201,300},{2,9000}</v>
      </c>
      <c r="U82" s="55" t="s">
        <v>900</v>
      </c>
    </row>
    <row r="83" spans="1:21">
      <c r="A83" s="53">
        <v>79</v>
      </c>
      <c r="B83" s="53">
        <v>1001</v>
      </c>
      <c r="C83" s="53" t="s">
        <v>59</v>
      </c>
      <c r="D83" s="54" t="s">
        <v>858</v>
      </c>
      <c r="E83" s="54" t="s">
        <v>987</v>
      </c>
      <c r="F83" s="54" t="s">
        <v>873</v>
      </c>
      <c r="G83" s="77" t="s">
        <v>1582</v>
      </c>
      <c r="H83" s="77" t="s">
        <v>2044</v>
      </c>
      <c r="I83" s="77">
        <v>35</v>
      </c>
      <c r="J83" s="78">
        <f t="shared" si="3"/>
        <v>2021</v>
      </c>
      <c r="L83" s="55" t="str">
        <f t="shared" si="4"/>
        <v>{1},{3}</v>
      </c>
      <c r="M83" s="55" t="s">
        <v>271</v>
      </c>
      <c r="O83" s="54">
        <v>201</v>
      </c>
      <c r="P83" s="54" t="s">
        <v>884</v>
      </c>
      <c r="Q83" s="60">
        <v>2</v>
      </c>
      <c r="R83" s="54" t="s">
        <v>870</v>
      </c>
      <c r="T83" s="55" t="str">
        <f t="shared" si="5"/>
        <v>{201,300},{2,9000}</v>
      </c>
      <c r="U83" s="55" t="s">
        <v>900</v>
      </c>
    </row>
    <row r="84" spans="1:21" s="63" customFormat="1">
      <c r="A84" s="61">
        <v>80</v>
      </c>
      <c r="B84" s="61">
        <v>1001</v>
      </c>
      <c r="C84" s="61" t="s">
        <v>60</v>
      </c>
      <c r="D84" s="62" t="s">
        <v>858</v>
      </c>
      <c r="E84" s="62" t="s">
        <v>988</v>
      </c>
      <c r="F84" s="62" t="s">
        <v>873</v>
      </c>
      <c r="G84" s="78" t="s">
        <v>1583</v>
      </c>
      <c r="H84" s="77" t="s">
        <v>1451</v>
      </c>
      <c r="I84" s="78"/>
      <c r="J84" s="78">
        <f t="shared" si="3"/>
        <v>2021</v>
      </c>
      <c r="L84" s="63" t="str">
        <f t="shared" si="4"/>
        <v>{1},{3}</v>
      </c>
      <c r="M84" s="63" t="s">
        <v>272</v>
      </c>
      <c r="O84" s="62" t="s">
        <v>886</v>
      </c>
      <c r="P84" s="62" t="s">
        <v>884</v>
      </c>
      <c r="Q84" s="64">
        <v>2</v>
      </c>
      <c r="R84" s="62" t="s">
        <v>871</v>
      </c>
      <c r="T84" s="55" t="str">
        <f t="shared" si="5"/>
        <v>{301,300},{2,10500}</v>
      </c>
      <c r="U84" s="63" t="s">
        <v>901</v>
      </c>
    </row>
    <row r="85" spans="1:21">
      <c r="A85" s="53">
        <v>81</v>
      </c>
      <c r="B85" s="53">
        <v>1001</v>
      </c>
      <c r="C85" s="53" t="s">
        <v>61</v>
      </c>
      <c r="D85" s="54" t="s">
        <v>858</v>
      </c>
      <c r="E85" s="54" t="s">
        <v>989</v>
      </c>
      <c r="F85" s="54" t="s">
        <v>873</v>
      </c>
      <c r="G85" s="77" t="s">
        <v>1584</v>
      </c>
      <c r="H85" s="77" t="s">
        <v>2026</v>
      </c>
      <c r="I85" s="77">
        <v>40</v>
      </c>
      <c r="J85" s="78">
        <f t="shared" si="3"/>
        <v>2061</v>
      </c>
      <c r="L85" s="55" t="str">
        <f t="shared" si="4"/>
        <v>{1},{3}</v>
      </c>
      <c r="M85" s="55" t="s">
        <v>273</v>
      </c>
      <c r="O85" s="54">
        <v>201</v>
      </c>
      <c r="P85" s="54" t="s">
        <v>885</v>
      </c>
      <c r="Q85" s="60">
        <v>2</v>
      </c>
      <c r="R85" s="54" t="s">
        <v>872</v>
      </c>
      <c r="T85" s="55" t="str">
        <f t="shared" si="5"/>
        <v>{201,450},{2,15750}</v>
      </c>
      <c r="U85" s="55" t="s">
        <v>902</v>
      </c>
    </row>
    <row r="86" spans="1:21">
      <c r="A86" s="53">
        <v>82</v>
      </c>
      <c r="B86" s="53">
        <v>1001</v>
      </c>
      <c r="C86" s="53" t="s">
        <v>61</v>
      </c>
      <c r="D86" s="54" t="s">
        <v>858</v>
      </c>
      <c r="E86" s="54" t="s">
        <v>990</v>
      </c>
      <c r="F86" s="54" t="s">
        <v>873</v>
      </c>
      <c r="G86" s="77" t="s">
        <v>1585</v>
      </c>
      <c r="H86" s="77" t="s">
        <v>1286</v>
      </c>
      <c r="I86" s="77">
        <v>40</v>
      </c>
      <c r="J86" s="78">
        <f t="shared" si="3"/>
        <v>2101</v>
      </c>
      <c r="L86" s="55" t="str">
        <f t="shared" si="4"/>
        <v>{1},{3}</v>
      </c>
      <c r="M86" s="55" t="s">
        <v>274</v>
      </c>
      <c r="O86" s="54">
        <v>201</v>
      </c>
      <c r="P86" s="54" t="s">
        <v>885</v>
      </c>
      <c r="Q86" s="60">
        <v>2</v>
      </c>
      <c r="R86" s="54" t="s">
        <v>872</v>
      </c>
      <c r="T86" s="55" t="str">
        <f t="shared" si="5"/>
        <v>{201,450},{2,15750}</v>
      </c>
      <c r="U86" s="55" t="s">
        <v>902</v>
      </c>
    </row>
    <row r="87" spans="1:21">
      <c r="A87" s="53">
        <v>83</v>
      </c>
      <c r="B87" s="53">
        <v>1001</v>
      </c>
      <c r="C87" s="53" t="s">
        <v>61</v>
      </c>
      <c r="D87" s="54" t="s">
        <v>858</v>
      </c>
      <c r="E87" s="54" t="s">
        <v>991</v>
      </c>
      <c r="F87" s="54" t="s">
        <v>873</v>
      </c>
      <c r="G87" s="77" t="s">
        <v>1586</v>
      </c>
      <c r="H87" s="77" t="s">
        <v>2045</v>
      </c>
      <c r="I87" s="77">
        <v>40</v>
      </c>
      <c r="J87" s="78">
        <f t="shared" si="3"/>
        <v>2141</v>
      </c>
      <c r="L87" s="55" t="str">
        <f t="shared" si="4"/>
        <v>{1},{3}</v>
      </c>
      <c r="M87" s="55" t="s">
        <v>275</v>
      </c>
      <c r="O87" s="54">
        <v>201</v>
      </c>
      <c r="P87" s="54" t="s">
        <v>885</v>
      </c>
      <c r="Q87" s="60">
        <v>2</v>
      </c>
      <c r="R87" s="54" t="s">
        <v>872</v>
      </c>
      <c r="T87" s="55" t="str">
        <f t="shared" si="5"/>
        <v>{201,450},{2,15750}</v>
      </c>
      <c r="U87" s="55" t="s">
        <v>902</v>
      </c>
    </row>
    <row r="88" spans="1:21">
      <c r="A88" s="53">
        <v>84</v>
      </c>
      <c r="B88" s="53">
        <v>1001</v>
      </c>
      <c r="C88" s="53" t="s">
        <v>61</v>
      </c>
      <c r="D88" s="54" t="s">
        <v>858</v>
      </c>
      <c r="E88" s="54" t="s">
        <v>992</v>
      </c>
      <c r="F88" s="54" t="s">
        <v>873</v>
      </c>
      <c r="G88" s="77" t="s">
        <v>1587</v>
      </c>
      <c r="H88" s="77" t="s">
        <v>1211</v>
      </c>
      <c r="I88" s="77">
        <v>40</v>
      </c>
      <c r="J88" s="78">
        <f t="shared" si="3"/>
        <v>2181</v>
      </c>
      <c r="L88" s="55" t="str">
        <f t="shared" si="4"/>
        <v>{1},{3}</v>
      </c>
      <c r="M88" s="55" t="s">
        <v>276</v>
      </c>
      <c r="O88" s="54">
        <v>201</v>
      </c>
      <c r="P88" s="54" t="s">
        <v>885</v>
      </c>
      <c r="Q88" s="60">
        <v>2</v>
      </c>
      <c r="R88" s="54" t="s">
        <v>872</v>
      </c>
      <c r="T88" s="55" t="str">
        <f t="shared" si="5"/>
        <v>{201,450},{2,15750}</v>
      </c>
      <c r="U88" s="55" t="s">
        <v>902</v>
      </c>
    </row>
    <row r="89" spans="1:21">
      <c r="A89" s="53">
        <v>85</v>
      </c>
      <c r="B89" s="53">
        <v>1001</v>
      </c>
      <c r="C89" s="53" t="s">
        <v>61</v>
      </c>
      <c r="D89" s="54" t="s">
        <v>858</v>
      </c>
      <c r="E89" s="54" t="s">
        <v>993</v>
      </c>
      <c r="F89" s="54" t="s">
        <v>873</v>
      </c>
      <c r="G89" s="77" t="s">
        <v>1588</v>
      </c>
      <c r="H89" s="77" t="s">
        <v>2046</v>
      </c>
      <c r="I89" s="77">
        <v>40</v>
      </c>
      <c r="J89" s="78">
        <f t="shared" ref="J89:J103" si="6">J88+I89</f>
        <v>2221</v>
      </c>
      <c r="L89" s="55" t="str">
        <f t="shared" si="4"/>
        <v>{1},{3}</v>
      </c>
      <c r="M89" s="55" t="s">
        <v>277</v>
      </c>
      <c r="O89" s="54">
        <v>201</v>
      </c>
      <c r="P89" s="54" t="s">
        <v>885</v>
      </c>
      <c r="Q89" s="60">
        <v>2</v>
      </c>
      <c r="R89" s="54" t="s">
        <v>872</v>
      </c>
      <c r="T89" s="55" t="str">
        <f t="shared" si="5"/>
        <v>{201,450},{2,15750}</v>
      </c>
      <c r="U89" s="55" t="s">
        <v>902</v>
      </c>
    </row>
    <row r="90" spans="1:21">
      <c r="A90" s="53">
        <v>86</v>
      </c>
      <c r="B90" s="53">
        <v>1001</v>
      </c>
      <c r="C90" s="53" t="s">
        <v>61</v>
      </c>
      <c r="D90" s="54" t="s">
        <v>858</v>
      </c>
      <c r="E90" s="54" t="s">
        <v>994</v>
      </c>
      <c r="F90" s="54" t="s">
        <v>873</v>
      </c>
      <c r="G90" s="77" t="s">
        <v>1589</v>
      </c>
      <c r="H90" s="77" t="s">
        <v>912</v>
      </c>
      <c r="I90" s="77">
        <v>40</v>
      </c>
      <c r="J90" s="78">
        <f t="shared" si="6"/>
        <v>2261</v>
      </c>
      <c r="L90" s="55" t="str">
        <f t="shared" si="4"/>
        <v>{1},{3}</v>
      </c>
      <c r="M90" s="55" t="s">
        <v>278</v>
      </c>
      <c r="O90" s="54">
        <v>201</v>
      </c>
      <c r="P90" s="54" t="s">
        <v>885</v>
      </c>
      <c r="Q90" s="60">
        <v>2</v>
      </c>
      <c r="R90" s="54" t="s">
        <v>872</v>
      </c>
      <c r="T90" s="55" t="str">
        <f t="shared" si="5"/>
        <v>{201,450},{2,15750}</v>
      </c>
      <c r="U90" s="55" t="s">
        <v>902</v>
      </c>
    </row>
    <row r="91" spans="1:21">
      <c r="A91" s="53">
        <v>87</v>
      </c>
      <c r="B91" s="53">
        <v>1001</v>
      </c>
      <c r="C91" s="53" t="s">
        <v>61</v>
      </c>
      <c r="D91" s="54" t="s">
        <v>858</v>
      </c>
      <c r="E91" s="54" t="s">
        <v>995</v>
      </c>
      <c r="F91" s="54" t="s">
        <v>873</v>
      </c>
      <c r="G91" s="77" t="s">
        <v>1590</v>
      </c>
      <c r="H91" s="77" t="s">
        <v>2047</v>
      </c>
      <c r="I91" s="77">
        <v>40</v>
      </c>
      <c r="J91" s="78">
        <f t="shared" si="6"/>
        <v>2301</v>
      </c>
      <c r="L91" s="55" t="str">
        <f t="shared" si="4"/>
        <v>{1},{3}</v>
      </c>
      <c r="M91" s="55" t="s">
        <v>279</v>
      </c>
      <c r="O91" s="54">
        <v>201</v>
      </c>
      <c r="P91" s="54" t="s">
        <v>885</v>
      </c>
      <c r="Q91" s="60">
        <v>2</v>
      </c>
      <c r="R91" s="54" t="s">
        <v>872</v>
      </c>
      <c r="T91" s="55" t="str">
        <f t="shared" si="5"/>
        <v>{201,450},{2,15750}</v>
      </c>
      <c r="U91" s="55" t="s">
        <v>902</v>
      </c>
    </row>
    <row r="92" spans="1:21">
      <c r="A92" s="53">
        <v>88</v>
      </c>
      <c r="B92" s="53">
        <v>1001</v>
      </c>
      <c r="C92" s="53" t="s">
        <v>61</v>
      </c>
      <c r="D92" s="54" t="s">
        <v>858</v>
      </c>
      <c r="E92" s="54" t="s">
        <v>996</v>
      </c>
      <c r="F92" s="54" t="s">
        <v>873</v>
      </c>
      <c r="G92" s="77" t="s">
        <v>1591</v>
      </c>
      <c r="H92" s="77" t="s">
        <v>2048</v>
      </c>
      <c r="I92" s="77">
        <v>40</v>
      </c>
      <c r="J92" s="78">
        <f t="shared" si="6"/>
        <v>2341</v>
      </c>
      <c r="L92" s="55" t="str">
        <f t="shared" si="4"/>
        <v>{1},{3}</v>
      </c>
      <c r="M92" s="55" t="s">
        <v>280</v>
      </c>
      <c r="O92" s="54">
        <v>201</v>
      </c>
      <c r="P92" s="54" t="s">
        <v>885</v>
      </c>
      <c r="Q92" s="60">
        <v>2</v>
      </c>
      <c r="R92" s="54" t="s">
        <v>872</v>
      </c>
      <c r="T92" s="55" t="str">
        <f t="shared" si="5"/>
        <v>{201,450},{2,15750}</v>
      </c>
      <c r="U92" s="55" t="s">
        <v>902</v>
      </c>
    </row>
    <row r="93" spans="1:21">
      <c r="A93" s="53">
        <v>89</v>
      </c>
      <c r="B93" s="53">
        <v>1001</v>
      </c>
      <c r="C93" s="53" t="s">
        <v>61</v>
      </c>
      <c r="D93" s="54" t="s">
        <v>858</v>
      </c>
      <c r="E93" s="54" t="s">
        <v>997</v>
      </c>
      <c r="F93" s="54" t="s">
        <v>873</v>
      </c>
      <c r="G93" s="77" t="s">
        <v>1592</v>
      </c>
      <c r="H93" s="77" t="s">
        <v>2049</v>
      </c>
      <c r="I93" s="77">
        <v>40</v>
      </c>
      <c r="J93" s="78">
        <f t="shared" si="6"/>
        <v>2381</v>
      </c>
      <c r="L93" s="55" t="str">
        <f t="shared" si="4"/>
        <v>{1},{3}</v>
      </c>
      <c r="M93" s="55" t="s">
        <v>281</v>
      </c>
      <c r="O93" s="54">
        <v>201</v>
      </c>
      <c r="P93" s="54" t="s">
        <v>885</v>
      </c>
      <c r="Q93" s="60">
        <v>2</v>
      </c>
      <c r="R93" s="54" t="s">
        <v>872</v>
      </c>
      <c r="T93" s="55" t="str">
        <f t="shared" si="5"/>
        <v>{201,450},{2,15750}</v>
      </c>
      <c r="U93" s="55" t="s">
        <v>902</v>
      </c>
    </row>
    <row r="94" spans="1:21">
      <c r="A94" s="53">
        <v>90</v>
      </c>
      <c r="B94" s="53">
        <v>1001</v>
      </c>
      <c r="C94" s="53" t="s">
        <v>61</v>
      </c>
      <c r="D94" s="54" t="s">
        <v>858</v>
      </c>
      <c r="E94" s="54" t="s">
        <v>998</v>
      </c>
      <c r="F94" s="54" t="s">
        <v>873</v>
      </c>
      <c r="G94" s="77" t="s">
        <v>1593</v>
      </c>
      <c r="H94" s="77" t="s">
        <v>1287</v>
      </c>
      <c r="I94" s="77">
        <v>40</v>
      </c>
      <c r="J94" s="78">
        <f t="shared" si="6"/>
        <v>2421</v>
      </c>
      <c r="L94" s="55" t="str">
        <f t="shared" si="4"/>
        <v>{1},{3}</v>
      </c>
      <c r="M94" s="55" t="s">
        <v>282</v>
      </c>
      <c r="O94" s="54">
        <v>201</v>
      </c>
      <c r="P94" s="54" t="s">
        <v>885</v>
      </c>
      <c r="Q94" s="60">
        <v>2</v>
      </c>
      <c r="R94" s="54" t="s">
        <v>872</v>
      </c>
      <c r="T94" s="55" t="str">
        <f t="shared" si="5"/>
        <v>{201,450},{2,15750}</v>
      </c>
      <c r="U94" s="55" t="s">
        <v>902</v>
      </c>
    </row>
    <row r="95" spans="1:21">
      <c r="A95" s="53">
        <v>91</v>
      </c>
      <c r="B95" s="53">
        <v>1001</v>
      </c>
      <c r="C95" s="53" t="s">
        <v>61</v>
      </c>
      <c r="D95" s="54" t="s">
        <v>858</v>
      </c>
      <c r="E95" s="54" t="s">
        <v>999</v>
      </c>
      <c r="F95" s="54" t="s">
        <v>873</v>
      </c>
      <c r="G95" s="77" t="s">
        <v>1594</v>
      </c>
      <c r="H95" s="77" t="s">
        <v>2027</v>
      </c>
      <c r="I95" s="77">
        <v>40</v>
      </c>
      <c r="J95" s="78">
        <f t="shared" si="6"/>
        <v>2461</v>
      </c>
      <c r="L95" s="55" t="str">
        <f t="shared" si="4"/>
        <v>{1},{3}</v>
      </c>
      <c r="M95" s="55" t="s">
        <v>283</v>
      </c>
      <c r="O95" s="54">
        <v>201</v>
      </c>
      <c r="P95" s="54" t="s">
        <v>885</v>
      </c>
      <c r="Q95" s="60">
        <v>2</v>
      </c>
      <c r="R95" s="54" t="s">
        <v>872</v>
      </c>
      <c r="T95" s="55" t="str">
        <f t="shared" si="5"/>
        <v>{201,450},{2,15750}</v>
      </c>
      <c r="U95" s="55" t="s">
        <v>902</v>
      </c>
    </row>
    <row r="96" spans="1:21">
      <c r="A96" s="53">
        <v>92</v>
      </c>
      <c r="B96" s="53">
        <v>1001</v>
      </c>
      <c r="C96" s="53" t="s">
        <v>61</v>
      </c>
      <c r="D96" s="54" t="s">
        <v>858</v>
      </c>
      <c r="E96" s="54" t="s">
        <v>1000</v>
      </c>
      <c r="F96" s="54" t="s">
        <v>873</v>
      </c>
      <c r="G96" s="77" t="s">
        <v>1595</v>
      </c>
      <c r="H96" s="77" t="s">
        <v>1525</v>
      </c>
      <c r="I96" s="77">
        <v>40</v>
      </c>
      <c r="J96" s="78">
        <f t="shared" si="6"/>
        <v>2501</v>
      </c>
      <c r="L96" s="55" t="str">
        <f t="shared" si="4"/>
        <v>{1},{3}</v>
      </c>
      <c r="M96" s="55" t="s">
        <v>284</v>
      </c>
      <c r="O96" s="54">
        <v>201</v>
      </c>
      <c r="P96" s="54" t="s">
        <v>885</v>
      </c>
      <c r="Q96" s="60">
        <v>2</v>
      </c>
      <c r="R96" s="54" t="s">
        <v>872</v>
      </c>
      <c r="T96" s="55" t="str">
        <f t="shared" si="5"/>
        <v>{201,450},{2,15750}</v>
      </c>
      <c r="U96" s="55" t="s">
        <v>902</v>
      </c>
    </row>
    <row r="97" spans="1:21">
      <c r="A97" s="53">
        <v>93</v>
      </c>
      <c r="B97" s="53">
        <v>1001</v>
      </c>
      <c r="C97" s="53" t="s">
        <v>61</v>
      </c>
      <c r="D97" s="54" t="s">
        <v>858</v>
      </c>
      <c r="E97" s="54" t="s">
        <v>1001</v>
      </c>
      <c r="F97" s="54" t="s">
        <v>873</v>
      </c>
      <c r="G97" s="77" t="s">
        <v>1596</v>
      </c>
      <c r="H97" s="77" t="s">
        <v>2050</v>
      </c>
      <c r="I97" s="77">
        <v>40</v>
      </c>
      <c r="J97" s="78">
        <f t="shared" si="6"/>
        <v>2541</v>
      </c>
      <c r="L97" s="55" t="str">
        <f t="shared" si="4"/>
        <v>{1},{3}</v>
      </c>
      <c r="M97" s="55" t="s">
        <v>285</v>
      </c>
      <c r="O97" s="54">
        <v>201</v>
      </c>
      <c r="P97" s="54" t="s">
        <v>885</v>
      </c>
      <c r="Q97" s="60">
        <v>2</v>
      </c>
      <c r="R97" s="54" t="s">
        <v>872</v>
      </c>
      <c r="T97" s="55" t="str">
        <f t="shared" si="5"/>
        <v>{201,450},{2,15750}</v>
      </c>
      <c r="U97" s="55" t="s">
        <v>902</v>
      </c>
    </row>
    <row r="98" spans="1:21">
      <c r="A98" s="53">
        <v>94</v>
      </c>
      <c r="B98" s="53">
        <v>1001</v>
      </c>
      <c r="C98" s="53" t="s">
        <v>61</v>
      </c>
      <c r="D98" s="54" t="s">
        <v>858</v>
      </c>
      <c r="E98" s="54" t="s">
        <v>1002</v>
      </c>
      <c r="F98" s="54" t="s">
        <v>873</v>
      </c>
      <c r="G98" s="77" t="s">
        <v>1597</v>
      </c>
      <c r="H98" s="77" t="s">
        <v>1288</v>
      </c>
      <c r="I98" s="77">
        <v>40</v>
      </c>
      <c r="J98" s="78">
        <f t="shared" si="6"/>
        <v>2581</v>
      </c>
      <c r="L98" s="55" t="str">
        <f t="shared" si="4"/>
        <v>{1},{3}</v>
      </c>
      <c r="M98" s="55" t="s">
        <v>286</v>
      </c>
      <c r="O98" s="54">
        <v>201</v>
      </c>
      <c r="P98" s="54" t="s">
        <v>885</v>
      </c>
      <c r="Q98" s="60">
        <v>2</v>
      </c>
      <c r="R98" s="54" t="s">
        <v>872</v>
      </c>
      <c r="T98" s="55" t="str">
        <f t="shared" si="5"/>
        <v>{201,450},{2,15750}</v>
      </c>
      <c r="U98" s="55" t="s">
        <v>902</v>
      </c>
    </row>
    <row r="99" spans="1:21">
      <c r="A99" s="53">
        <v>95</v>
      </c>
      <c r="B99" s="53">
        <v>1001</v>
      </c>
      <c r="C99" s="53" t="s">
        <v>61</v>
      </c>
      <c r="D99" s="54" t="s">
        <v>858</v>
      </c>
      <c r="E99" s="54" t="s">
        <v>1003</v>
      </c>
      <c r="F99" s="54" t="s">
        <v>873</v>
      </c>
      <c r="G99" s="77" t="s">
        <v>1598</v>
      </c>
      <c r="H99" s="77" t="s">
        <v>1604</v>
      </c>
      <c r="I99" s="77">
        <v>40</v>
      </c>
      <c r="J99" s="78">
        <f t="shared" si="6"/>
        <v>2621</v>
      </c>
      <c r="L99" s="55" t="str">
        <f t="shared" si="4"/>
        <v>{1},{3}</v>
      </c>
      <c r="M99" s="55" t="s">
        <v>287</v>
      </c>
      <c r="O99" s="54">
        <v>201</v>
      </c>
      <c r="P99" s="54" t="s">
        <v>885</v>
      </c>
      <c r="Q99" s="60">
        <v>2</v>
      </c>
      <c r="R99" s="54" t="s">
        <v>872</v>
      </c>
      <c r="T99" s="55" t="str">
        <f t="shared" si="5"/>
        <v>{201,450},{2,15750}</v>
      </c>
      <c r="U99" s="55" t="s">
        <v>902</v>
      </c>
    </row>
    <row r="100" spans="1:21">
      <c r="A100" s="53">
        <v>96</v>
      </c>
      <c r="B100" s="53">
        <v>1001</v>
      </c>
      <c r="C100" s="53" t="s">
        <v>61</v>
      </c>
      <c r="D100" s="54" t="s">
        <v>858</v>
      </c>
      <c r="E100" s="54" t="s">
        <v>1004</v>
      </c>
      <c r="F100" s="54" t="s">
        <v>873</v>
      </c>
      <c r="G100" s="77" t="s">
        <v>1599</v>
      </c>
      <c r="H100" s="77" t="s">
        <v>867</v>
      </c>
      <c r="I100" s="77">
        <v>40</v>
      </c>
      <c r="J100" s="78">
        <f t="shared" si="6"/>
        <v>2661</v>
      </c>
      <c r="L100" s="55" t="str">
        <f t="shared" si="4"/>
        <v>{1},{3}</v>
      </c>
      <c r="M100" s="55" t="s">
        <v>288</v>
      </c>
      <c r="O100" s="54">
        <v>201</v>
      </c>
      <c r="P100" s="54" t="s">
        <v>885</v>
      </c>
      <c r="Q100" s="60">
        <v>2</v>
      </c>
      <c r="R100" s="54" t="s">
        <v>872</v>
      </c>
      <c r="T100" s="55" t="str">
        <f t="shared" si="5"/>
        <v>{201,450},{2,15750}</v>
      </c>
      <c r="U100" s="55" t="s">
        <v>902</v>
      </c>
    </row>
    <row r="101" spans="1:21">
      <c r="A101" s="53">
        <v>97</v>
      </c>
      <c r="B101" s="53">
        <v>1001</v>
      </c>
      <c r="C101" s="53" t="s">
        <v>61</v>
      </c>
      <c r="D101" s="54" t="s">
        <v>858</v>
      </c>
      <c r="E101" s="54" t="s">
        <v>1005</v>
      </c>
      <c r="F101" s="54" t="s">
        <v>873</v>
      </c>
      <c r="G101" s="77" t="s">
        <v>1600</v>
      </c>
      <c r="H101" s="77" t="s">
        <v>2051</v>
      </c>
      <c r="I101" s="77">
        <v>40</v>
      </c>
      <c r="J101" s="78">
        <f t="shared" si="6"/>
        <v>2701</v>
      </c>
      <c r="L101" s="55" t="str">
        <f t="shared" si="4"/>
        <v>{1},{3}</v>
      </c>
      <c r="M101" s="55" t="s">
        <v>289</v>
      </c>
      <c r="O101" s="54">
        <v>201</v>
      </c>
      <c r="P101" s="54" t="s">
        <v>885</v>
      </c>
      <c r="Q101" s="60">
        <v>2</v>
      </c>
      <c r="R101" s="54" t="s">
        <v>872</v>
      </c>
      <c r="T101" s="55" t="str">
        <f t="shared" si="5"/>
        <v>{201,450},{2,15750}</v>
      </c>
      <c r="U101" s="55" t="s">
        <v>902</v>
      </c>
    </row>
    <row r="102" spans="1:21">
      <c r="A102" s="53">
        <v>98</v>
      </c>
      <c r="B102" s="53">
        <v>1001</v>
      </c>
      <c r="C102" s="53" t="s">
        <v>61</v>
      </c>
      <c r="D102" s="54" t="s">
        <v>858</v>
      </c>
      <c r="E102" s="54" t="s">
        <v>1006</v>
      </c>
      <c r="F102" s="54" t="s">
        <v>873</v>
      </c>
      <c r="G102" s="77" t="s">
        <v>1601</v>
      </c>
      <c r="H102" s="77" t="s">
        <v>1289</v>
      </c>
      <c r="I102" s="77">
        <v>40</v>
      </c>
      <c r="J102" s="78">
        <f t="shared" si="6"/>
        <v>2741</v>
      </c>
      <c r="L102" s="55" t="str">
        <f t="shared" si="4"/>
        <v>{1},{3}</v>
      </c>
      <c r="M102" s="55" t="s">
        <v>290</v>
      </c>
      <c r="O102" s="54">
        <v>201</v>
      </c>
      <c r="P102" s="54" t="s">
        <v>885</v>
      </c>
      <c r="Q102" s="60">
        <v>2</v>
      </c>
      <c r="R102" s="54" t="s">
        <v>872</v>
      </c>
      <c r="T102" s="55" t="str">
        <f t="shared" si="5"/>
        <v>{201,450},{2,15750}</v>
      </c>
      <c r="U102" s="55" t="s">
        <v>902</v>
      </c>
    </row>
    <row r="103" spans="1:21">
      <c r="A103" s="53">
        <v>99</v>
      </c>
      <c r="B103" s="53">
        <v>1001</v>
      </c>
      <c r="C103" s="53" t="s">
        <v>61</v>
      </c>
      <c r="D103" s="54" t="s">
        <v>858</v>
      </c>
      <c r="E103" s="54" t="s">
        <v>1007</v>
      </c>
      <c r="F103" s="54" t="s">
        <v>873</v>
      </c>
      <c r="G103" s="77" t="s">
        <v>1602</v>
      </c>
      <c r="H103" s="77" t="s">
        <v>2052</v>
      </c>
      <c r="I103" s="77">
        <v>40</v>
      </c>
      <c r="J103" s="78">
        <f t="shared" si="6"/>
        <v>2781</v>
      </c>
      <c r="L103" s="55" t="str">
        <f t="shared" si="4"/>
        <v>{1},{3}</v>
      </c>
      <c r="M103" s="55" t="s">
        <v>291</v>
      </c>
      <c r="O103" s="54">
        <v>201</v>
      </c>
      <c r="P103" s="54" t="s">
        <v>885</v>
      </c>
      <c r="Q103" s="60">
        <v>2</v>
      </c>
      <c r="R103" s="54" t="s">
        <v>872</v>
      </c>
      <c r="T103" s="55" t="str">
        <f t="shared" si="5"/>
        <v>{201,450},{2,15750}</v>
      </c>
      <c r="U103" s="55" t="s">
        <v>902</v>
      </c>
    </row>
    <row r="104" spans="1:21" s="57" customFormat="1">
      <c r="A104" s="56">
        <v>100</v>
      </c>
      <c r="B104" s="56">
        <v>1001</v>
      </c>
      <c r="C104" s="53"/>
      <c r="D104" s="54" t="s">
        <v>858</v>
      </c>
      <c r="E104" s="54" t="s">
        <v>1008</v>
      </c>
      <c r="F104" s="54" t="s">
        <v>873</v>
      </c>
      <c r="G104" s="77" t="s">
        <v>1603</v>
      </c>
      <c r="H104" s="77" t="s">
        <v>1216</v>
      </c>
      <c r="I104" s="77"/>
      <c r="J104" s="77"/>
      <c r="L104" s="55" t="str">
        <f t="shared" si="4"/>
        <v>{1},{3}</v>
      </c>
      <c r="M104" s="57" t="s">
        <v>292</v>
      </c>
      <c r="Q104" s="60"/>
      <c r="T104" s="55" t="str">
        <f t="shared" si="5"/>
        <v>{,},{,}</v>
      </c>
      <c r="U104" s="57" t="s">
        <v>903</v>
      </c>
    </row>
    <row r="105" spans="1:21">
      <c r="A105" s="53">
        <v>1</v>
      </c>
      <c r="B105" s="53">
        <v>1002</v>
      </c>
      <c r="C105" s="53" t="s">
        <v>46</v>
      </c>
      <c r="D105" s="54" t="s">
        <v>858</v>
      </c>
      <c r="E105" s="54" t="s">
        <v>884</v>
      </c>
      <c r="F105" s="54" t="s">
        <v>873</v>
      </c>
      <c r="G105" s="77" t="s">
        <v>912</v>
      </c>
      <c r="H105" s="77" t="s">
        <v>2028</v>
      </c>
      <c r="L105" s="55" t="str">
        <f t="shared" si="4"/>
        <v>{1},{3}</v>
      </c>
      <c r="M105" s="55" t="s">
        <v>198</v>
      </c>
      <c r="O105" s="54">
        <v>201</v>
      </c>
      <c r="P105" s="54" t="s">
        <v>874</v>
      </c>
      <c r="Q105" s="60">
        <v>2</v>
      </c>
      <c r="R105" s="54" t="s">
        <v>859</v>
      </c>
      <c r="T105" s="55" t="str">
        <f t="shared" si="5"/>
        <v>{201,20},{2,400}</v>
      </c>
      <c r="U105" s="55" t="s">
        <v>887</v>
      </c>
    </row>
    <row r="106" spans="1:21">
      <c r="A106" s="53">
        <v>2</v>
      </c>
      <c r="B106" s="53">
        <v>1002</v>
      </c>
      <c r="C106" s="53" t="s">
        <v>47</v>
      </c>
      <c r="D106" s="54" t="s">
        <v>858</v>
      </c>
      <c r="E106" s="54" t="s">
        <v>1009</v>
      </c>
      <c r="F106" s="54" t="s">
        <v>873</v>
      </c>
      <c r="G106" s="77" t="s">
        <v>1604</v>
      </c>
      <c r="H106" s="77" t="s">
        <v>1290</v>
      </c>
      <c r="L106" s="55" t="str">
        <f t="shared" si="4"/>
        <v>{1},{3}</v>
      </c>
      <c r="M106" s="55" t="s">
        <v>293</v>
      </c>
      <c r="O106" s="54">
        <v>201</v>
      </c>
      <c r="P106" s="54" t="s">
        <v>875</v>
      </c>
      <c r="Q106" s="60">
        <v>2</v>
      </c>
      <c r="R106" s="54" t="s">
        <v>860</v>
      </c>
      <c r="T106" s="55" t="str">
        <f t="shared" si="5"/>
        <v>{201,22},{2,440}</v>
      </c>
      <c r="U106" s="55" t="s">
        <v>888</v>
      </c>
    </row>
    <row r="107" spans="1:21">
      <c r="A107" s="53">
        <v>3</v>
      </c>
      <c r="B107" s="53">
        <v>1002</v>
      </c>
      <c r="C107" s="53" t="s">
        <v>48</v>
      </c>
      <c r="D107" s="54" t="s">
        <v>858</v>
      </c>
      <c r="E107" s="54" t="s">
        <v>922</v>
      </c>
      <c r="F107" s="54" t="s">
        <v>873</v>
      </c>
      <c r="G107" s="77" t="s">
        <v>1112</v>
      </c>
      <c r="H107" s="77" t="s">
        <v>2053</v>
      </c>
      <c r="L107" s="55" t="str">
        <f t="shared" si="4"/>
        <v>{1},{3}</v>
      </c>
      <c r="M107" s="55" t="s">
        <v>201</v>
      </c>
      <c r="O107" s="54">
        <v>201</v>
      </c>
      <c r="P107" s="54" t="s">
        <v>876</v>
      </c>
      <c r="Q107" s="60">
        <v>2</v>
      </c>
      <c r="R107" s="54" t="s">
        <v>861</v>
      </c>
      <c r="T107" s="55" t="str">
        <f t="shared" si="5"/>
        <v>{201,24},{2,480}</v>
      </c>
      <c r="U107" s="55" t="s">
        <v>889</v>
      </c>
    </row>
    <row r="108" spans="1:21">
      <c r="A108" s="53">
        <v>4</v>
      </c>
      <c r="B108" s="53">
        <v>1002</v>
      </c>
      <c r="C108" s="53" t="s">
        <v>49</v>
      </c>
      <c r="D108" s="54" t="s">
        <v>858</v>
      </c>
      <c r="E108" s="54" t="s">
        <v>1010</v>
      </c>
      <c r="F108" s="54" t="s">
        <v>873</v>
      </c>
      <c r="G108" s="77" t="s">
        <v>1605</v>
      </c>
      <c r="H108" s="77" t="s">
        <v>1112</v>
      </c>
      <c r="L108" s="55" t="str">
        <f t="shared" si="4"/>
        <v>{1},{3}</v>
      </c>
      <c r="M108" s="55" t="s">
        <v>294</v>
      </c>
      <c r="O108" s="54">
        <v>201</v>
      </c>
      <c r="P108" s="54" t="s">
        <v>877</v>
      </c>
      <c r="Q108" s="60">
        <v>2</v>
      </c>
      <c r="R108" s="54" t="s">
        <v>862</v>
      </c>
      <c r="T108" s="55" t="str">
        <f t="shared" si="5"/>
        <v>{201,25},{2,500}</v>
      </c>
      <c r="U108" s="55" t="s">
        <v>890</v>
      </c>
    </row>
    <row r="109" spans="1:21">
      <c r="A109" s="53">
        <v>5</v>
      </c>
      <c r="B109" s="53">
        <v>1002</v>
      </c>
      <c r="C109" s="53" t="s">
        <v>50</v>
      </c>
      <c r="D109" s="54" t="s">
        <v>858</v>
      </c>
      <c r="E109" s="54" t="s">
        <v>924</v>
      </c>
      <c r="F109" s="54" t="s">
        <v>873</v>
      </c>
      <c r="G109" s="77" t="s">
        <v>1295</v>
      </c>
      <c r="H109" s="77" t="s">
        <v>2054</v>
      </c>
      <c r="L109" s="55" t="str">
        <f t="shared" si="4"/>
        <v>{1},{3}</v>
      </c>
      <c r="M109" s="55" t="s">
        <v>204</v>
      </c>
      <c r="O109" s="54">
        <v>201</v>
      </c>
      <c r="P109" s="54" t="s">
        <v>878</v>
      </c>
      <c r="Q109" s="60">
        <v>2</v>
      </c>
      <c r="R109" s="54" t="s">
        <v>863</v>
      </c>
      <c r="T109" s="55" t="str">
        <f t="shared" si="5"/>
        <v>{201,27},{2,540}</v>
      </c>
      <c r="U109" s="55" t="s">
        <v>891</v>
      </c>
    </row>
    <row r="110" spans="1:21">
      <c r="A110" s="53">
        <v>6</v>
      </c>
      <c r="B110" s="53">
        <v>1002</v>
      </c>
      <c r="C110" s="53" t="s">
        <v>51</v>
      </c>
      <c r="D110" s="54" t="s">
        <v>858</v>
      </c>
      <c r="E110" s="54" t="s">
        <v>885</v>
      </c>
      <c r="F110" s="54" t="s">
        <v>873</v>
      </c>
      <c r="G110" s="77" t="s">
        <v>1453</v>
      </c>
      <c r="H110" s="77" t="s">
        <v>1291</v>
      </c>
      <c r="L110" s="55" t="str">
        <f t="shared" si="4"/>
        <v>{1},{3}</v>
      </c>
      <c r="M110" s="55" t="s">
        <v>295</v>
      </c>
      <c r="O110" s="54">
        <v>201</v>
      </c>
      <c r="P110" s="54" t="s">
        <v>879</v>
      </c>
      <c r="Q110" s="60">
        <v>2</v>
      </c>
      <c r="R110" s="54" t="s">
        <v>864</v>
      </c>
      <c r="T110" s="55" t="str">
        <f t="shared" si="5"/>
        <v>{201,29},{2,580}</v>
      </c>
      <c r="U110" s="55" t="s">
        <v>892</v>
      </c>
    </row>
    <row r="111" spans="1:21">
      <c r="A111" s="53">
        <v>7</v>
      </c>
      <c r="B111" s="53">
        <v>1002</v>
      </c>
      <c r="C111" s="53" t="s">
        <v>52</v>
      </c>
      <c r="D111" s="54" t="s">
        <v>858</v>
      </c>
      <c r="E111" s="54" t="s">
        <v>861</v>
      </c>
      <c r="F111" s="54" t="s">
        <v>873</v>
      </c>
      <c r="G111" s="77" t="s">
        <v>1526</v>
      </c>
      <c r="H111" s="77" t="s">
        <v>2055</v>
      </c>
      <c r="L111" s="55" t="str">
        <f t="shared" si="4"/>
        <v>{1},{3}</v>
      </c>
      <c r="M111" s="55" t="s">
        <v>207</v>
      </c>
      <c r="O111" s="54">
        <v>201</v>
      </c>
      <c r="P111" s="54" t="s">
        <v>880</v>
      </c>
      <c r="Q111" s="60">
        <v>2</v>
      </c>
      <c r="R111" s="54" t="s">
        <v>865</v>
      </c>
      <c r="T111" s="55" t="str">
        <f t="shared" si="5"/>
        <v>{201,30},{2,600}</v>
      </c>
      <c r="U111" s="55" t="s">
        <v>893</v>
      </c>
    </row>
    <row r="112" spans="1:21">
      <c r="A112" s="53">
        <v>8</v>
      </c>
      <c r="B112" s="53">
        <v>1002</v>
      </c>
      <c r="C112" s="53" t="s">
        <v>53</v>
      </c>
      <c r="D112" s="54" t="s">
        <v>858</v>
      </c>
      <c r="E112" s="54" t="s">
        <v>1011</v>
      </c>
      <c r="F112" s="54" t="s">
        <v>873</v>
      </c>
      <c r="G112" s="77" t="s">
        <v>1456</v>
      </c>
      <c r="H112" s="77" t="s">
        <v>2056</v>
      </c>
      <c r="L112" s="55" t="str">
        <f t="shared" si="4"/>
        <v>{1},{3}</v>
      </c>
      <c r="M112" s="55" t="s">
        <v>296</v>
      </c>
      <c r="O112" s="54">
        <v>201</v>
      </c>
      <c r="P112" s="54" t="s">
        <v>881</v>
      </c>
      <c r="Q112" s="60">
        <v>2</v>
      </c>
      <c r="R112" s="54" t="s">
        <v>866</v>
      </c>
      <c r="T112" s="55" t="str">
        <f t="shared" si="5"/>
        <v>{201,50},{2,1000}</v>
      </c>
      <c r="U112" s="55" t="s">
        <v>894</v>
      </c>
    </row>
    <row r="113" spans="1:21">
      <c r="A113" s="53">
        <v>9</v>
      </c>
      <c r="B113" s="53">
        <v>1002</v>
      </c>
      <c r="C113" s="53" t="s">
        <v>53</v>
      </c>
      <c r="D113" s="54" t="s">
        <v>858</v>
      </c>
      <c r="E113" s="54" t="s">
        <v>863</v>
      </c>
      <c r="F113" s="54" t="s">
        <v>873</v>
      </c>
      <c r="G113" s="77" t="s">
        <v>1304</v>
      </c>
      <c r="H113" s="77" t="s">
        <v>2057</v>
      </c>
      <c r="L113" s="55" t="str">
        <f t="shared" si="4"/>
        <v>{1},{3}</v>
      </c>
      <c r="M113" s="55" t="s">
        <v>210</v>
      </c>
      <c r="O113" s="54">
        <v>201</v>
      </c>
      <c r="P113" s="54" t="s">
        <v>881</v>
      </c>
      <c r="Q113" s="60">
        <v>2</v>
      </c>
      <c r="R113" s="54" t="s">
        <v>866</v>
      </c>
      <c r="T113" s="55" t="str">
        <f t="shared" si="5"/>
        <v>{201,50},{2,1000}</v>
      </c>
      <c r="U113" s="55" t="s">
        <v>894</v>
      </c>
    </row>
    <row r="114" spans="1:21">
      <c r="A114" s="53">
        <v>10</v>
      </c>
      <c r="B114" s="53">
        <v>1002</v>
      </c>
      <c r="C114" s="53" t="s">
        <v>53</v>
      </c>
      <c r="D114" s="54" t="s">
        <v>858</v>
      </c>
      <c r="E114" s="54" t="s">
        <v>1012</v>
      </c>
      <c r="F114" s="54" t="s">
        <v>873</v>
      </c>
      <c r="G114" s="77" t="s">
        <v>1459</v>
      </c>
      <c r="H114" s="77" t="s">
        <v>1292</v>
      </c>
      <c r="L114" s="55" t="str">
        <f t="shared" si="4"/>
        <v>{1},{3}</v>
      </c>
      <c r="M114" s="55" t="s">
        <v>297</v>
      </c>
      <c r="O114" s="54">
        <v>201</v>
      </c>
      <c r="P114" s="54" t="s">
        <v>881</v>
      </c>
      <c r="Q114" s="60">
        <v>2</v>
      </c>
      <c r="R114" s="54" t="s">
        <v>866</v>
      </c>
      <c r="T114" s="55" t="str">
        <f t="shared" si="5"/>
        <v>{201,50},{2,1000}</v>
      </c>
      <c r="U114" s="55" t="s">
        <v>894</v>
      </c>
    </row>
    <row r="115" spans="1:21">
      <c r="A115" s="53">
        <v>11</v>
      </c>
      <c r="B115" s="53">
        <v>1002</v>
      </c>
      <c r="C115" s="53" t="s">
        <v>53</v>
      </c>
      <c r="D115" s="54" t="s">
        <v>858</v>
      </c>
      <c r="E115" s="54" t="s">
        <v>865</v>
      </c>
      <c r="F115" s="54" t="s">
        <v>873</v>
      </c>
      <c r="G115" s="77" t="s">
        <v>1127</v>
      </c>
      <c r="H115" s="77" t="s">
        <v>2029</v>
      </c>
      <c r="L115" s="55" t="str">
        <f t="shared" si="4"/>
        <v>{1},{3}</v>
      </c>
      <c r="M115" s="55" t="s">
        <v>298</v>
      </c>
      <c r="O115" s="54">
        <v>201</v>
      </c>
      <c r="P115" s="54" t="s">
        <v>881</v>
      </c>
      <c r="Q115" s="60">
        <v>2</v>
      </c>
      <c r="R115" s="54" t="s">
        <v>866</v>
      </c>
      <c r="T115" s="55" t="str">
        <f t="shared" si="5"/>
        <v>{201,50},{2,1000}</v>
      </c>
      <c r="U115" s="55" t="s">
        <v>894</v>
      </c>
    </row>
    <row r="116" spans="1:21">
      <c r="A116" s="53">
        <v>12</v>
      </c>
      <c r="B116" s="53">
        <v>1002</v>
      </c>
      <c r="C116" s="53" t="s">
        <v>53</v>
      </c>
      <c r="D116" s="54" t="s">
        <v>858</v>
      </c>
      <c r="E116" s="54" t="s">
        <v>1013</v>
      </c>
      <c r="F116" s="54" t="s">
        <v>873</v>
      </c>
      <c r="G116" s="77" t="s">
        <v>1462</v>
      </c>
      <c r="H116" s="77" t="s">
        <v>2058</v>
      </c>
      <c r="L116" s="55" t="str">
        <f t="shared" si="4"/>
        <v>{1},{3}</v>
      </c>
      <c r="M116" s="55" t="s">
        <v>299</v>
      </c>
      <c r="O116" s="54">
        <v>201</v>
      </c>
      <c r="P116" s="54" t="s">
        <v>881</v>
      </c>
      <c r="Q116" s="60">
        <v>2</v>
      </c>
      <c r="R116" s="54" t="s">
        <v>866</v>
      </c>
      <c r="T116" s="55" t="str">
        <f t="shared" si="5"/>
        <v>{201,50},{2,1000}</v>
      </c>
      <c r="U116" s="55" t="s">
        <v>894</v>
      </c>
    </row>
    <row r="117" spans="1:21">
      <c r="A117" s="53">
        <v>13</v>
      </c>
      <c r="B117" s="53">
        <v>1002</v>
      </c>
      <c r="C117" s="53" t="s">
        <v>53</v>
      </c>
      <c r="D117" s="54" t="s">
        <v>858</v>
      </c>
      <c r="E117" s="54" t="s">
        <v>1014</v>
      </c>
      <c r="F117" s="54" t="s">
        <v>873</v>
      </c>
      <c r="G117" s="77" t="s">
        <v>1606</v>
      </c>
      <c r="H117" s="77" t="s">
        <v>1605</v>
      </c>
      <c r="L117" s="55" t="str">
        <f t="shared" si="4"/>
        <v>{1},{3}</v>
      </c>
      <c r="M117" s="55" t="s">
        <v>300</v>
      </c>
      <c r="O117" s="54">
        <v>201</v>
      </c>
      <c r="P117" s="54" t="s">
        <v>881</v>
      </c>
      <c r="Q117" s="60">
        <v>2</v>
      </c>
      <c r="R117" s="54" t="s">
        <v>866</v>
      </c>
      <c r="T117" s="55" t="str">
        <f t="shared" si="5"/>
        <v>{201,50},{2,1000}</v>
      </c>
      <c r="U117" s="55" t="s">
        <v>894</v>
      </c>
    </row>
    <row r="118" spans="1:21">
      <c r="A118" s="53">
        <v>14</v>
      </c>
      <c r="B118" s="53">
        <v>1002</v>
      </c>
      <c r="C118" s="53" t="s">
        <v>53</v>
      </c>
      <c r="D118" s="54" t="s">
        <v>858</v>
      </c>
      <c r="E118" s="54" t="s">
        <v>1015</v>
      </c>
      <c r="F118" s="54" t="s">
        <v>873</v>
      </c>
      <c r="G118" s="77" t="s">
        <v>1305</v>
      </c>
      <c r="H118" s="77" t="s">
        <v>1293</v>
      </c>
      <c r="L118" s="55" t="str">
        <f t="shared" si="4"/>
        <v>{1},{3}</v>
      </c>
      <c r="M118" s="55" t="s">
        <v>301</v>
      </c>
      <c r="O118" s="54">
        <v>201</v>
      </c>
      <c r="P118" s="54" t="s">
        <v>881</v>
      </c>
      <c r="Q118" s="60">
        <v>2</v>
      </c>
      <c r="R118" s="54" t="s">
        <v>866</v>
      </c>
      <c r="T118" s="55" t="str">
        <f t="shared" si="5"/>
        <v>{201,50},{2,1000}</v>
      </c>
      <c r="U118" s="55" t="s">
        <v>894</v>
      </c>
    </row>
    <row r="119" spans="1:21">
      <c r="A119" s="53">
        <v>15</v>
      </c>
      <c r="B119" s="53">
        <v>1002</v>
      </c>
      <c r="C119" s="53" t="s">
        <v>53</v>
      </c>
      <c r="D119" s="54" t="s">
        <v>858</v>
      </c>
      <c r="E119" s="54" t="s">
        <v>1016</v>
      </c>
      <c r="F119" s="54" t="s">
        <v>873</v>
      </c>
      <c r="G119" s="77" t="s">
        <v>1607</v>
      </c>
      <c r="H119" s="77" t="s">
        <v>2059</v>
      </c>
      <c r="L119" s="55" t="str">
        <f t="shared" si="4"/>
        <v>{1},{3}</v>
      </c>
      <c r="M119" s="55" t="s">
        <v>302</v>
      </c>
      <c r="O119" s="54">
        <v>201</v>
      </c>
      <c r="P119" s="54" t="s">
        <v>881</v>
      </c>
      <c r="Q119" s="60">
        <v>2</v>
      </c>
      <c r="R119" s="54" t="s">
        <v>866</v>
      </c>
      <c r="T119" s="55" t="str">
        <f t="shared" si="5"/>
        <v>{201,50},{2,1000}</v>
      </c>
      <c r="U119" s="55" t="s">
        <v>894</v>
      </c>
    </row>
    <row r="120" spans="1:21">
      <c r="A120" s="53">
        <v>16</v>
      </c>
      <c r="B120" s="53">
        <v>1002</v>
      </c>
      <c r="C120" s="53" t="s">
        <v>53</v>
      </c>
      <c r="D120" s="54" t="s">
        <v>858</v>
      </c>
      <c r="E120" s="54" t="s">
        <v>1017</v>
      </c>
      <c r="F120" s="54" t="s">
        <v>873</v>
      </c>
      <c r="G120" s="77" t="s">
        <v>869</v>
      </c>
      <c r="H120" s="77" t="s">
        <v>1221</v>
      </c>
      <c r="L120" s="55" t="str">
        <f t="shared" si="4"/>
        <v>{1},{3}</v>
      </c>
      <c r="M120" s="55" t="s">
        <v>303</v>
      </c>
      <c r="O120" s="54">
        <v>201</v>
      </c>
      <c r="P120" s="54" t="s">
        <v>881</v>
      </c>
      <c r="Q120" s="60">
        <v>2</v>
      </c>
      <c r="R120" s="54" t="s">
        <v>866</v>
      </c>
      <c r="T120" s="55" t="str">
        <f t="shared" si="5"/>
        <v>{201,50},{2,1000}</v>
      </c>
      <c r="U120" s="55" t="s">
        <v>894</v>
      </c>
    </row>
    <row r="121" spans="1:21">
      <c r="A121" s="53">
        <v>17</v>
      </c>
      <c r="B121" s="53">
        <v>1002</v>
      </c>
      <c r="C121" s="53" t="s">
        <v>53</v>
      </c>
      <c r="D121" s="54" t="s">
        <v>858</v>
      </c>
      <c r="E121" s="54" t="s">
        <v>1018</v>
      </c>
      <c r="F121" s="54" t="s">
        <v>873</v>
      </c>
      <c r="G121" s="77" t="s">
        <v>1608</v>
      </c>
      <c r="H121" s="77" t="s">
        <v>2060</v>
      </c>
      <c r="L121" s="55" t="str">
        <f t="shared" si="4"/>
        <v>{1},{3}</v>
      </c>
      <c r="M121" s="55" t="s">
        <v>304</v>
      </c>
      <c r="O121" s="54">
        <v>201</v>
      </c>
      <c r="P121" s="54" t="s">
        <v>881</v>
      </c>
      <c r="Q121" s="60">
        <v>2</v>
      </c>
      <c r="R121" s="54" t="s">
        <v>866</v>
      </c>
      <c r="T121" s="55" t="str">
        <f t="shared" si="5"/>
        <v>{201,50},{2,1000}</v>
      </c>
      <c r="U121" s="55" t="s">
        <v>894</v>
      </c>
    </row>
    <row r="122" spans="1:21">
      <c r="A122" s="53">
        <v>18</v>
      </c>
      <c r="B122" s="53">
        <v>1002</v>
      </c>
      <c r="C122" s="53" t="s">
        <v>53</v>
      </c>
      <c r="D122" s="54" t="s">
        <v>858</v>
      </c>
      <c r="E122" s="54" t="s">
        <v>1019</v>
      </c>
      <c r="F122" s="54" t="s">
        <v>873</v>
      </c>
      <c r="G122" s="77" t="s">
        <v>1310</v>
      </c>
      <c r="H122" s="77" t="s">
        <v>1294</v>
      </c>
      <c r="L122" s="55" t="str">
        <f t="shared" si="4"/>
        <v>{1},{3}</v>
      </c>
      <c r="M122" s="55" t="s">
        <v>305</v>
      </c>
      <c r="O122" s="54">
        <v>201</v>
      </c>
      <c r="P122" s="54" t="s">
        <v>881</v>
      </c>
      <c r="Q122" s="60">
        <v>2</v>
      </c>
      <c r="R122" s="54" t="s">
        <v>866</v>
      </c>
      <c r="T122" s="55" t="str">
        <f t="shared" si="5"/>
        <v>{201,50},{2,1000}</v>
      </c>
      <c r="U122" s="55" t="s">
        <v>894</v>
      </c>
    </row>
    <row r="123" spans="1:21">
      <c r="A123" s="53">
        <v>19</v>
      </c>
      <c r="B123" s="53">
        <v>1002</v>
      </c>
      <c r="C123" s="53" t="s">
        <v>53</v>
      </c>
      <c r="D123" s="54" t="s">
        <v>858</v>
      </c>
      <c r="E123" s="54" t="s">
        <v>1020</v>
      </c>
      <c r="F123" s="54" t="s">
        <v>873</v>
      </c>
      <c r="G123" s="77" t="s">
        <v>1236</v>
      </c>
      <c r="H123" s="77" t="s">
        <v>2061</v>
      </c>
      <c r="L123" s="55" t="str">
        <f t="shared" si="4"/>
        <v>{1},{3}</v>
      </c>
      <c r="M123" s="55" t="s">
        <v>306</v>
      </c>
      <c r="O123" s="54">
        <v>201</v>
      </c>
      <c r="P123" s="54" t="s">
        <v>881</v>
      </c>
      <c r="Q123" s="60">
        <v>2</v>
      </c>
      <c r="R123" s="54" t="s">
        <v>866</v>
      </c>
      <c r="T123" s="55" t="str">
        <f t="shared" si="5"/>
        <v>{201,50},{2,1000}</v>
      </c>
      <c r="U123" s="55" t="s">
        <v>894</v>
      </c>
    </row>
    <row r="124" spans="1:21" s="63" customFormat="1">
      <c r="A124" s="61">
        <v>20</v>
      </c>
      <c r="B124" s="61">
        <v>1002</v>
      </c>
      <c r="C124" s="61" t="s">
        <v>54</v>
      </c>
      <c r="D124" s="62" t="s">
        <v>858</v>
      </c>
      <c r="E124" s="62" t="s">
        <v>1021</v>
      </c>
      <c r="F124" s="62" t="s">
        <v>873</v>
      </c>
      <c r="G124" s="78" t="s">
        <v>1609</v>
      </c>
      <c r="H124" s="77" t="s">
        <v>2062</v>
      </c>
      <c r="I124" s="78"/>
      <c r="J124" s="78"/>
      <c r="L124" s="63" t="str">
        <f t="shared" si="4"/>
        <v>{1},{3}</v>
      </c>
      <c r="M124" s="63" t="s">
        <v>307</v>
      </c>
      <c r="O124" s="62" t="s">
        <v>886</v>
      </c>
      <c r="P124" s="62" t="s">
        <v>881</v>
      </c>
      <c r="Q124" s="64">
        <v>2</v>
      </c>
      <c r="R124" s="62" t="s">
        <v>866</v>
      </c>
      <c r="T124" s="55" t="str">
        <f t="shared" si="5"/>
        <v>{301,50},{2,1000}</v>
      </c>
      <c r="U124" s="63" t="s">
        <v>895</v>
      </c>
    </row>
    <row r="125" spans="1:21">
      <c r="A125" s="53">
        <v>21</v>
      </c>
      <c r="B125" s="53">
        <v>1002</v>
      </c>
      <c r="C125" s="53" t="s">
        <v>55</v>
      </c>
      <c r="D125" s="54" t="s">
        <v>858</v>
      </c>
      <c r="E125" s="54" t="s">
        <v>1022</v>
      </c>
      <c r="F125" s="54" t="s">
        <v>873</v>
      </c>
      <c r="G125" s="77" t="s">
        <v>1610</v>
      </c>
      <c r="H125" s="77" t="s">
        <v>1937</v>
      </c>
      <c r="L125" s="55" t="str">
        <f t="shared" si="4"/>
        <v>{1},{3}</v>
      </c>
      <c r="M125" s="55" t="s">
        <v>308</v>
      </c>
      <c r="O125" s="54">
        <v>201</v>
      </c>
      <c r="P125" s="54" t="s">
        <v>882</v>
      </c>
      <c r="Q125" s="60">
        <v>2</v>
      </c>
      <c r="R125" s="54" t="s">
        <v>867</v>
      </c>
      <c r="T125" s="55" t="str">
        <f t="shared" si="5"/>
        <v>{201,100},{2,2000}</v>
      </c>
      <c r="U125" s="55" t="s">
        <v>896</v>
      </c>
    </row>
    <row r="126" spans="1:21">
      <c r="A126" s="53">
        <v>22</v>
      </c>
      <c r="B126" s="53">
        <v>1002</v>
      </c>
      <c r="C126" s="53" t="s">
        <v>55</v>
      </c>
      <c r="D126" s="54" t="s">
        <v>858</v>
      </c>
      <c r="E126" s="54" t="s">
        <v>1023</v>
      </c>
      <c r="F126" s="54" t="s">
        <v>873</v>
      </c>
      <c r="G126" s="77" t="s">
        <v>1611</v>
      </c>
      <c r="H126" s="77" t="s">
        <v>1295</v>
      </c>
      <c r="L126" s="55" t="str">
        <f t="shared" si="4"/>
        <v>{1},{3}</v>
      </c>
      <c r="M126" s="55" t="s">
        <v>309</v>
      </c>
      <c r="O126" s="54">
        <v>201</v>
      </c>
      <c r="P126" s="54" t="s">
        <v>882</v>
      </c>
      <c r="Q126" s="60">
        <v>2</v>
      </c>
      <c r="R126" s="54" t="s">
        <v>867</v>
      </c>
      <c r="T126" s="55" t="str">
        <f t="shared" si="5"/>
        <v>{201,100},{2,2000}</v>
      </c>
      <c r="U126" s="55" t="s">
        <v>896</v>
      </c>
    </row>
    <row r="127" spans="1:21">
      <c r="A127" s="53">
        <v>23</v>
      </c>
      <c r="B127" s="53">
        <v>1002</v>
      </c>
      <c r="C127" s="53" t="s">
        <v>55</v>
      </c>
      <c r="D127" s="54" t="s">
        <v>858</v>
      </c>
      <c r="E127" s="54" t="s">
        <v>1024</v>
      </c>
      <c r="F127" s="54" t="s">
        <v>873</v>
      </c>
      <c r="G127" s="77" t="s">
        <v>1612</v>
      </c>
      <c r="H127" s="77" t="s">
        <v>2063</v>
      </c>
      <c r="L127" s="55" t="str">
        <f t="shared" si="4"/>
        <v>{1},{3}</v>
      </c>
      <c r="M127" s="55" t="s">
        <v>310</v>
      </c>
      <c r="O127" s="54">
        <v>201</v>
      </c>
      <c r="P127" s="54" t="s">
        <v>882</v>
      </c>
      <c r="Q127" s="60">
        <v>2</v>
      </c>
      <c r="R127" s="54" t="s">
        <v>867</v>
      </c>
      <c r="T127" s="55" t="str">
        <f t="shared" si="5"/>
        <v>{201,100},{2,2000}</v>
      </c>
      <c r="U127" s="55" t="s">
        <v>896</v>
      </c>
    </row>
    <row r="128" spans="1:21">
      <c r="A128" s="53">
        <v>24</v>
      </c>
      <c r="B128" s="53">
        <v>1002</v>
      </c>
      <c r="C128" s="53" t="s">
        <v>55</v>
      </c>
      <c r="D128" s="54" t="s">
        <v>858</v>
      </c>
      <c r="E128" s="54" t="s">
        <v>1025</v>
      </c>
      <c r="F128" s="54" t="s">
        <v>873</v>
      </c>
      <c r="G128" s="77" t="s">
        <v>1613</v>
      </c>
      <c r="H128" s="77" t="s">
        <v>2064</v>
      </c>
      <c r="L128" s="55" t="str">
        <f t="shared" si="4"/>
        <v>{1},{3}</v>
      </c>
      <c r="M128" s="55" t="s">
        <v>311</v>
      </c>
      <c r="O128" s="54">
        <v>201</v>
      </c>
      <c r="P128" s="54" t="s">
        <v>882</v>
      </c>
      <c r="Q128" s="60">
        <v>2</v>
      </c>
      <c r="R128" s="54" t="s">
        <v>867</v>
      </c>
      <c r="T128" s="55" t="str">
        <f t="shared" si="5"/>
        <v>{201,100},{2,2000}</v>
      </c>
      <c r="U128" s="55" t="s">
        <v>896</v>
      </c>
    </row>
    <row r="129" spans="1:21">
      <c r="A129" s="53">
        <v>25</v>
      </c>
      <c r="B129" s="53">
        <v>1002</v>
      </c>
      <c r="C129" s="53" t="s">
        <v>55</v>
      </c>
      <c r="D129" s="54" t="s">
        <v>858</v>
      </c>
      <c r="E129" s="54" t="s">
        <v>1026</v>
      </c>
      <c r="F129" s="54" t="s">
        <v>873</v>
      </c>
      <c r="G129" s="77" t="s">
        <v>1614</v>
      </c>
      <c r="H129" s="77" t="s">
        <v>1452</v>
      </c>
      <c r="L129" s="55" t="str">
        <f t="shared" si="4"/>
        <v>{1},{3}</v>
      </c>
      <c r="M129" s="55" t="s">
        <v>312</v>
      </c>
      <c r="O129" s="54">
        <v>201</v>
      </c>
      <c r="P129" s="54" t="s">
        <v>882</v>
      </c>
      <c r="Q129" s="60">
        <v>2</v>
      </c>
      <c r="R129" s="54" t="s">
        <v>867</v>
      </c>
      <c r="T129" s="55" t="str">
        <f t="shared" si="5"/>
        <v>{201,100},{2,2000}</v>
      </c>
      <c r="U129" s="55" t="s">
        <v>896</v>
      </c>
    </row>
    <row r="130" spans="1:21">
      <c r="A130" s="53">
        <v>26</v>
      </c>
      <c r="B130" s="53">
        <v>1002</v>
      </c>
      <c r="C130" s="53" t="s">
        <v>55</v>
      </c>
      <c r="D130" s="54" t="s">
        <v>858</v>
      </c>
      <c r="E130" s="54" t="s">
        <v>1027</v>
      </c>
      <c r="F130" s="54" t="s">
        <v>873</v>
      </c>
      <c r="G130" s="77" t="s">
        <v>1615</v>
      </c>
      <c r="H130" s="77" t="s">
        <v>1296</v>
      </c>
      <c r="L130" s="55" t="str">
        <f t="shared" si="4"/>
        <v>{1},{3}</v>
      </c>
      <c r="M130" s="55" t="s">
        <v>313</v>
      </c>
      <c r="O130" s="54">
        <v>201</v>
      </c>
      <c r="P130" s="54" t="s">
        <v>882</v>
      </c>
      <c r="Q130" s="60">
        <v>2</v>
      </c>
      <c r="R130" s="54" t="s">
        <v>867</v>
      </c>
      <c r="T130" s="55" t="str">
        <f t="shared" si="5"/>
        <v>{201,100},{2,2000}</v>
      </c>
      <c r="U130" s="55" t="s">
        <v>896</v>
      </c>
    </row>
    <row r="131" spans="1:21">
      <c r="A131" s="53">
        <v>27</v>
      </c>
      <c r="B131" s="53">
        <v>1002</v>
      </c>
      <c r="C131" s="53" t="s">
        <v>55</v>
      </c>
      <c r="D131" s="54" t="s">
        <v>858</v>
      </c>
      <c r="E131" s="54" t="s">
        <v>1028</v>
      </c>
      <c r="F131" s="54" t="s">
        <v>873</v>
      </c>
      <c r="G131" s="77" t="s">
        <v>1616</v>
      </c>
      <c r="H131" s="77" t="s">
        <v>2065</v>
      </c>
      <c r="L131" s="55" t="str">
        <f t="shared" si="4"/>
        <v>{1},{3}</v>
      </c>
      <c r="M131" s="55" t="s">
        <v>314</v>
      </c>
      <c r="O131" s="54">
        <v>201</v>
      </c>
      <c r="P131" s="54" t="s">
        <v>882</v>
      </c>
      <c r="Q131" s="60">
        <v>2</v>
      </c>
      <c r="R131" s="54" t="s">
        <v>867</v>
      </c>
      <c r="T131" s="55" t="str">
        <f t="shared" si="5"/>
        <v>{201,100},{2,2000}</v>
      </c>
      <c r="U131" s="55" t="s">
        <v>896</v>
      </c>
    </row>
    <row r="132" spans="1:21">
      <c r="A132" s="53">
        <v>28</v>
      </c>
      <c r="B132" s="53">
        <v>1002</v>
      </c>
      <c r="C132" s="53" t="s">
        <v>55</v>
      </c>
      <c r="D132" s="54" t="s">
        <v>858</v>
      </c>
      <c r="E132" s="54" t="s">
        <v>1029</v>
      </c>
      <c r="F132" s="54" t="s">
        <v>873</v>
      </c>
      <c r="G132" s="77" t="s">
        <v>1617</v>
      </c>
      <c r="H132" s="77" t="s">
        <v>1117</v>
      </c>
      <c r="L132" s="55" t="str">
        <f t="shared" si="4"/>
        <v>{1},{3}</v>
      </c>
      <c r="M132" s="55" t="s">
        <v>315</v>
      </c>
      <c r="O132" s="54">
        <v>201</v>
      </c>
      <c r="P132" s="54" t="s">
        <v>882</v>
      </c>
      <c r="Q132" s="60">
        <v>2</v>
      </c>
      <c r="R132" s="54" t="s">
        <v>867</v>
      </c>
      <c r="T132" s="55" t="str">
        <f t="shared" si="5"/>
        <v>{201,100},{2,2000}</v>
      </c>
      <c r="U132" s="55" t="s">
        <v>896</v>
      </c>
    </row>
    <row r="133" spans="1:21">
      <c r="A133" s="53">
        <v>29</v>
      </c>
      <c r="B133" s="53">
        <v>1002</v>
      </c>
      <c r="C133" s="53" t="s">
        <v>55</v>
      </c>
      <c r="D133" s="54" t="s">
        <v>858</v>
      </c>
      <c r="E133" s="54" t="s">
        <v>1030</v>
      </c>
      <c r="F133" s="54" t="s">
        <v>873</v>
      </c>
      <c r="G133" s="77" t="s">
        <v>1618</v>
      </c>
      <c r="H133" s="77" t="s">
        <v>2066</v>
      </c>
      <c r="L133" s="55" t="str">
        <f t="shared" si="4"/>
        <v>{1},{3}</v>
      </c>
      <c r="M133" s="55" t="s">
        <v>316</v>
      </c>
      <c r="O133" s="54">
        <v>201</v>
      </c>
      <c r="P133" s="54" t="s">
        <v>882</v>
      </c>
      <c r="Q133" s="60">
        <v>2</v>
      </c>
      <c r="R133" s="54" t="s">
        <v>867</v>
      </c>
      <c r="T133" s="55" t="str">
        <f t="shared" si="5"/>
        <v>{201,100},{2,2000}</v>
      </c>
      <c r="U133" s="55" t="s">
        <v>896</v>
      </c>
    </row>
    <row r="134" spans="1:21">
      <c r="A134" s="53">
        <v>30</v>
      </c>
      <c r="B134" s="53">
        <v>1002</v>
      </c>
      <c r="C134" s="53" t="s">
        <v>55</v>
      </c>
      <c r="D134" s="54" t="s">
        <v>858</v>
      </c>
      <c r="E134" s="54" t="s">
        <v>1031</v>
      </c>
      <c r="F134" s="54" t="s">
        <v>873</v>
      </c>
      <c r="G134" s="77" t="s">
        <v>1619</v>
      </c>
      <c r="H134" s="77" t="s">
        <v>1297</v>
      </c>
      <c r="L134" s="55" t="str">
        <f t="shared" ref="L134:L197" si="7">"{"&amp;D134&amp;"}"&amp;","&amp;"{"&amp;F134&amp;"}"</f>
        <v>{1},{3}</v>
      </c>
      <c r="M134" s="55" t="s">
        <v>317</v>
      </c>
      <c r="O134" s="54">
        <v>201</v>
      </c>
      <c r="P134" s="54" t="s">
        <v>882</v>
      </c>
      <c r="Q134" s="60">
        <v>2</v>
      </c>
      <c r="R134" s="54" t="s">
        <v>867</v>
      </c>
      <c r="T134" s="55" t="str">
        <f t="shared" ref="T134:T197" si="8">"{"&amp;O134&amp;","&amp;P134&amp;"}"&amp;","&amp;"{"&amp;Q134&amp;","&amp;R134&amp;"}"</f>
        <v>{201,100},{2,2000}</v>
      </c>
      <c r="U134" s="55" t="s">
        <v>896</v>
      </c>
    </row>
    <row r="135" spans="1:21">
      <c r="A135" s="53">
        <v>31</v>
      </c>
      <c r="B135" s="53">
        <v>1002</v>
      </c>
      <c r="C135" s="53" t="s">
        <v>55</v>
      </c>
      <c r="D135" s="54" t="s">
        <v>858</v>
      </c>
      <c r="E135" s="54" t="s">
        <v>1032</v>
      </c>
      <c r="F135" s="54" t="s">
        <v>873</v>
      </c>
      <c r="G135" s="77" t="s">
        <v>1620</v>
      </c>
      <c r="H135" s="77" t="s">
        <v>1453</v>
      </c>
      <c r="L135" s="55" t="str">
        <f t="shared" si="7"/>
        <v>{1},{3}</v>
      </c>
      <c r="M135" s="55" t="s">
        <v>318</v>
      </c>
      <c r="O135" s="54">
        <v>201</v>
      </c>
      <c r="P135" s="54" t="s">
        <v>882</v>
      </c>
      <c r="Q135" s="60">
        <v>2</v>
      </c>
      <c r="R135" s="54" t="s">
        <v>867</v>
      </c>
      <c r="T135" s="55" t="str">
        <f t="shared" si="8"/>
        <v>{201,100},{2,2000}</v>
      </c>
      <c r="U135" s="55" t="s">
        <v>896</v>
      </c>
    </row>
    <row r="136" spans="1:21">
      <c r="A136" s="53">
        <v>32</v>
      </c>
      <c r="B136" s="53">
        <v>1002</v>
      </c>
      <c r="C136" s="53" t="s">
        <v>55</v>
      </c>
      <c r="D136" s="54" t="s">
        <v>858</v>
      </c>
      <c r="E136" s="54" t="s">
        <v>1033</v>
      </c>
      <c r="F136" s="54" t="s">
        <v>873</v>
      </c>
      <c r="G136" s="77" t="s">
        <v>1621</v>
      </c>
      <c r="H136" s="77" t="s">
        <v>2067</v>
      </c>
      <c r="L136" s="55" t="str">
        <f t="shared" si="7"/>
        <v>{1},{3}</v>
      </c>
      <c r="M136" s="55" t="s">
        <v>319</v>
      </c>
      <c r="O136" s="54">
        <v>201</v>
      </c>
      <c r="P136" s="54" t="s">
        <v>882</v>
      </c>
      <c r="Q136" s="60">
        <v>2</v>
      </c>
      <c r="R136" s="54" t="s">
        <v>867</v>
      </c>
      <c r="T136" s="55" t="str">
        <f t="shared" si="8"/>
        <v>{201,100},{2,2000}</v>
      </c>
      <c r="U136" s="55" t="s">
        <v>896</v>
      </c>
    </row>
    <row r="137" spans="1:21">
      <c r="A137" s="53">
        <v>33</v>
      </c>
      <c r="B137" s="53">
        <v>1002</v>
      </c>
      <c r="C137" s="53" t="s">
        <v>55</v>
      </c>
      <c r="D137" s="54" t="s">
        <v>858</v>
      </c>
      <c r="E137" s="54" t="s">
        <v>948</v>
      </c>
      <c r="F137" s="54" t="s">
        <v>873</v>
      </c>
      <c r="G137" s="77" t="s">
        <v>1543</v>
      </c>
      <c r="H137" s="77" t="s">
        <v>2068</v>
      </c>
      <c r="L137" s="55" t="str">
        <f t="shared" si="7"/>
        <v>{1},{3}</v>
      </c>
      <c r="M137" s="55" t="s">
        <v>232</v>
      </c>
      <c r="O137" s="54">
        <v>201</v>
      </c>
      <c r="P137" s="54" t="s">
        <v>882</v>
      </c>
      <c r="Q137" s="60">
        <v>2</v>
      </c>
      <c r="R137" s="54" t="s">
        <v>867</v>
      </c>
      <c r="T137" s="55" t="str">
        <f t="shared" si="8"/>
        <v>{201,100},{2,2000}</v>
      </c>
      <c r="U137" s="55" t="s">
        <v>896</v>
      </c>
    </row>
    <row r="138" spans="1:21">
      <c r="A138" s="53">
        <v>34</v>
      </c>
      <c r="B138" s="53">
        <v>1002</v>
      </c>
      <c r="C138" s="53" t="s">
        <v>55</v>
      </c>
      <c r="D138" s="54" t="s">
        <v>858</v>
      </c>
      <c r="E138" s="54" t="s">
        <v>949</v>
      </c>
      <c r="F138" s="54" t="s">
        <v>873</v>
      </c>
      <c r="G138" s="77" t="s">
        <v>1544</v>
      </c>
      <c r="H138" s="77" t="s">
        <v>1298</v>
      </c>
      <c r="L138" s="55" t="str">
        <f t="shared" si="7"/>
        <v>{1},{3}</v>
      </c>
      <c r="M138" s="55" t="s">
        <v>233</v>
      </c>
      <c r="O138" s="54">
        <v>201</v>
      </c>
      <c r="P138" s="54" t="s">
        <v>882</v>
      </c>
      <c r="Q138" s="60">
        <v>2</v>
      </c>
      <c r="R138" s="54" t="s">
        <v>867</v>
      </c>
      <c r="T138" s="55" t="str">
        <f t="shared" si="8"/>
        <v>{201,100},{2,2000}</v>
      </c>
      <c r="U138" s="55" t="s">
        <v>896</v>
      </c>
    </row>
    <row r="139" spans="1:21">
      <c r="A139" s="53">
        <v>35</v>
      </c>
      <c r="B139" s="53">
        <v>1002</v>
      </c>
      <c r="C139" s="53" t="s">
        <v>55</v>
      </c>
      <c r="D139" s="54" t="s">
        <v>858</v>
      </c>
      <c r="E139" s="54" t="s">
        <v>950</v>
      </c>
      <c r="F139" s="54" t="s">
        <v>873</v>
      </c>
      <c r="G139" s="77" t="s">
        <v>1545</v>
      </c>
      <c r="H139" s="77" t="s">
        <v>2069</v>
      </c>
      <c r="L139" s="55" t="str">
        <f t="shared" si="7"/>
        <v>{1},{3}</v>
      </c>
      <c r="M139" s="55" t="s">
        <v>234</v>
      </c>
      <c r="O139" s="54">
        <v>201</v>
      </c>
      <c r="P139" s="54" t="s">
        <v>882</v>
      </c>
      <c r="Q139" s="60">
        <v>2</v>
      </c>
      <c r="R139" s="54" t="s">
        <v>867</v>
      </c>
      <c r="T139" s="55" t="str">
        <f t="shared" si="8"/>
        <v>{201,100},{2,2000}</v>
      </c>
      <c r="U139" s="55" t="s">
        <v>896</v>
      </c>
    </row>
    <row r="140" spans="1:21">
      <c r="A140" s="53">
        <v>36</v>
      </c>
      <c r="B140" s="53">
        <v>1002</v>
      </c>
      <c r="C140" s="53" t="s">
        <v>55</v>
      </c>
      <c r="D140" s="54" t="s">
        <v>858</v>
      </c>
      <c r="E140" s="54" t="s">
        <v>951</v>
      </c>
      <c r="F140" s="54" t="s">
        <v>873</v>
      </c>
      <c r="G140" s="77" t="s">
        <v>1546</v>
      </c>
      <c r="H140" s="77" t="s">
        <v>1682</v>
      </c>
      <c r="L140" s="55" t="str">
        <f t="shared" si="7"/>
        <v>{1},{3}</v>
      </c>
      <c r="M140" s="55" t="s">
        <v>235</v>
      </c>
      <c r="O140" s="54">
        <v>201</v>
      </c>
      <c r="P140" s="54" t="s">
        <v>882</v>
      </c>
      <c r="Q140" s="60">
        <v>2</v>
      </c>
      <c r="R140" s="54" t="s">
        <v>867</v>
      </c>
      <c r="T140" s="55" t="str">
        <f t="shared" si="8"/>
        <v>{201,100},{2,2000}</v>
      </c>
      <c r="U140" s="55" t="s">
        <v>896</v>
      </c>
    </row>
    <row r="141" spans="1:21">
      <c r="A141" s="53">
        <v>37</v>
      </c>
      <c r="B141" s="53">
        <v>1002</v>
      </c>
      <c r="C141" s="53" t="s">
        <v>55</v>
      </c>
      <c r="D141" s="54" t="s">
        <v>858</v>
      </c>
      <c r="E141" s="54" t="s">
        <v>952</v>
      </c>
      <c r="F141" s="54" t="s">
        <v>873</v>
      </c>
      <c r="G141" s="77" t="s">
        <v>1547</v>
      </c>
      <c r="H141" s="77" t="s">
        <v>1454</v>
      </c>
      <c r="L141" s="55" t="str">
        <f t="shared" si="7"/>
        <v>{1},{3}</v>
      </c>
      <c r="M141" s="55" t="s">
        <v>236</v>
      </c>
      <c r="O141" s="54">
        <v>201</v>
      </c>
      <c r="P141" s="54" t="s">
        <v>882</v>
      </c>
      <c r="Q141" s="60">
        <v>2</v>
      </c>
      <c r="R141" s="54" t="s">
        <v>867</v>
      </c>
      <c r="T141" s="55" t="str">
        <f t="shared" si="8"/>
        <v>{201,100},{2,2000}</v>
      </c>
      <c r="U141" s="55" t="s">
        <v>896</v>
      </c>
    </row>
    <row r="142" spans="1:21">
      <c r="A142" s="53">
        <v>38</v>
      </c>
      <c r="B142" s="53">
        <v>1002</v>
      </c>
      <c r="C142" s="53" t="s">
        <v>55</v>
      </c>
      <c r="D142" s="54" t="s">
        <v>858</v>
      </c>
      <c r="E142" s="54" t="s">
        <v>953</v>
      </c>
      <c r="F142" s="54" t="s">
        <v>873</v>
      </c>
      <c r="G142" s="77" t="s">
        <v>1548</v>
      </c>
      <c r="H142" s="77" t="s">
        <v>1299</v>
      </c>
      <c r="L142" s="55" t="str">
        <f t="shared" si="7"/>
        <v>{1},{3}</v>
      </c>
      <c r="M142" s="55" t="s">
        <v>237</v>
      </c>
      <c r="O142" s="54">
        <v>201</v>
      </c>
      <c r="P142" s="54" t="s">
        <v>882</v>
      </c>
      <c r="Q142" s="60">
        <v>2</v>
      </c>
      <c r="R142" s="54" t="s">
        <v>867</v>
      </c>
      <c r="T142" s="55" t="str">
        <f t="shared" si="8"/>
        <v>{201,100},{2,2000}</v>
      </c>
      <c r="U142" s="55" t="s">
        <v>896</v>
      </c>
    </row>
    <row r="143" spans="1:21">
      <c r="A143" s="53">
        <v>39</v>
      </c>
      <c r="B143" s="53">
        <v>1002</v>
      </c>
      <c r="C143" s="53" t="s">
        <v>55</v>
      </c>
      <c r="D143" s="54" t="s">
        <v>858</v>
      </c>
      <c r="E143" s="54" t="s">
        <v>954</v>
      </c>
      <c r="F143" s="54" t="s">
        <v>873</v>
      </c>
      <c r="G143" s="77" t="s">
        <v>1549</v>
      </c>
      <c r="H143" s="77" t="s">
        <v>2070</v>
      </c>
      <c r="L143" s="55" t="str">
        <f t="shared" si="7"/>
        <v>{1},{3}</v>
      </c>
      <c r="M143" s="55" t="s">
        <v>238</v>
      </c>
      <c r="O143" s="54">
        <v>201</v>
      </c>
      <c r="P143" s="54" t="s">
        <v>882</v>
      </c>
      <c r="Q143" s="60">
        <v>2</v>
      </c>
      <c r="R143" s="54" t="s">
        <v>867</v>
      </c>
      <c r="T143" s="55" t="str">
        <f t="shared" si="8"/>
        <v>{201,100},{2,2000}</v>
      </c>
      <c r="U143" s="55" t="s">
        <v>896</v>
      </c>
    </row>
    <row r="144" spans="1:21" s="63" customFormat="1">
      <c r="A144" s="61">
        <v>40</v>
      </c>
      <c r="B144" s="61">
        <v>1002</v>
      </c>
      <c r="C144" s="61" t="s">
        <v>56</v>
      </c>
      <c r="D144" s="62" t="s">
        <v>858</v>
      </c>
      <c r="E144" s="62" t="s">
        <v>1034</v>
      </c>
      <c r="F144" s="62" t="s">
        <v>873</v>
      </c>
      <c r="G144" s="78" t="s">
        <v>1622</v>
      </c>
      <c r="H144" s="77" t="s">
        <v>1526</v>
      </c>
      <c r="I144" s="78"/>
      <c r="J144" s="78"/>
      <c r="L144" s="63" t="str">
        <f t="shared" si="7"/>
        <v>{1},{3}</v>
      </c>
      <c r="M144" s="63" t="s">
        <v>320</v>
      </c>
      <c r="O144" s="62" t="s">
        <v>886</v>
      </c>
      <c r="P144" s="62" t="s">
        <v>882</v>
      </c>
      <c r="Q144" s="64">
        <v>2</v>
      </c>
      <c r="R144" s="62" t="s">
        <v>867</v>
      </c>
      <c r="T144" s="55" t="str">
        <f t="shared" si="8"/>
        <v>{301,100},{2,2000}</v>
      </c>
      <c r="U144" s="63" t="s">
        <v>897</v>
      </c>
    </row>
    <row r="145" spans="1:21">
      <c r="A145" s="53">
        <v>41</v>
      </c>
      <c r="B145" s="53">
        <v>1002</v>
      </c>
      <c r="C145" s="53" t="s">
        <v>57</v>
      </c>
      <c r="D145" s="54" t="s">
        <v>858</v>
      </c>
      <c r="E145" s="54" t="s">
        <v>1035</v>
      </c>
      <c r="F145" s="54" t="s">
        <v>873</v>
      </c>
      <c r="G145" s="77" t="s">
        <v>1623</v>
      </c>
      <c r="H145" s="77" t="s">
        <v>2071</v>
      </c>
      <c r="L145" s="55" t="str">
        <f t="shared" si="7"/>
        <v>{1},{3}</v>
      </c>
      <c r="M145" s="55" t="s">
        <v>321</v>
      </c>
      <c r="O145" s="54">
        <v>201</v>
      </c>
      <c r="P145" s="54" t="s">
        <v>883</v>
      </c>
      <c r="Q145" s="60">
        <v>2</v>
      </c>
      <c r="R145" s="54" t="s">
        <v>868</v>
      </c>
      <c r="T145" s="55" t="str">
        <f t="shared" si="8"/>
        <v>{201,150},{2,3750}</v>
      </c>
      <c r="U145" s="55" t="s">
        <v>898</v>
      </c>
    </row>
    <row r="146" spans="1:21">
      <c r="A146" s="53">
        <v>42</v>
      </c>
      <c r="B146" s="53">
        <v>1002</v>
      </c>
      <c r="C146" s="53" t="s">
        <v>57</v>
      </c>
      <c r="D146" s="54" t="s">
        <v>858</v>
      </c>
      <c r="E146" s="54" t="s">
        <v>1036</v>
      </c>
      <c r="F146" s="54" t="s">
        <v>873</v>
      </c>
      <c r="G146" s="77" t="s">
        <v>1624</v>
      </c>
      <c r="H146" s="77" t="s">
        <v>1300</v>
      </c>
      <c r="L146" s="55" t="str">
        <f t="shared" si="7"/>
        <v>{1},{3}</v>
      </c>
      <c r="M146" s="55" t="s">
        <v>322</v>
      </c>
      <c r="O146" s="54">
        <v>201</v>
      </c>
      <c r="P146" s="54" t="s">
        <v>883</v>
      </c>
      <c r="Q146" s="60">
        <v>2</v>
      </c>
      <c r="R146" s="54" t="s">
        <v>868</v>
      </c>
      <c r="T146" s="55" t="str">
        <f t="shared" si="8"/>
        <v>{201,150},{2,3750}</v>
      </c>
      <c r="U146" s="55" t="s">
        <v>898</v>
      </c>
    </row>
    <row r="147" spans="1:21">
      <c r="A147" s="53">
        <v>43</v>
      </c>
      <c r="B147" s="53">
        <v>1002</v>
      </c>
      <c r="C147" s="53" t="s">
        <v>57</v>
      </c>
      <c r="D147" s="54" t="s">
        <v>858</v>
      </c>
      <c r="E147" s="54" t="s">
        <v>1037</v>
      </c>
      <c r="F147" s="54" t="s">
        <v>873</v>
      </c>
      <c r="G147" s="77" t="s">
        <v>1625</v>
      </c>
      <c r="H147" s="77" t="s">
        <v>1455</v>
      </c>
      <c r="L147" s="55" t="str">
        <f t="shared" si="7"/>
        <v>{1},{3}</v>
      </c>
      <c r="M147" s="55" t="s">
        <v>323</v>
      </c>
      <c r="O147" s="54">
        <v>201</v>
      </c>
      <c r="P147" s="54" t="s">
        <v>883</v>
      </c>
      <c r="Q147" s="60">
        <v>2</v>
      </c>
      <c r="R147" s="54" t="s">
        <v>868</v>
      </c>
      <c r="T147" s="55" t="str">
        <f t="shared" si="8"/>
        <v>{201,150},{2,3750}</v>
      </c>
      <c r="U147" s="55" t="s">
        <v>898</v>
      </c>
    </row>
    <row r="148" spans="1:21">
      <c r="A148" s="53">
        <v>44</v>
      </c>
      <c r="B148" s="53">
        <v>1002</v>
      </c>
      <c r="C148" s="53" t="s">
        <v>57</v>
      </c>
      <c r="D148" s="54" t="s">
        <v>858</v>
      </c>
      <c r="E148" s="54" t="s">
        <v>1038</v>
      </c>
      <c r="F148" s="54" t="s">
        <v>873</v>
      </c>
      <c r="G148" s="77" t="s">
        <v>1626</v>
      </c>
      <c r="H148" s="77" t="s">
        <v>2072</v>
      </c>
      <c r="L148" s="55" t="str">
        <f t="shared" si="7"/>
        <v>{1},{3}</v>
      </c>
      <c r="M148" s="55" t="s">
        <v>324</v>
      </c>
      <c r="O148" s="54">
        <v>201</v>
      </c>
      <c r="P148" s="54" t="s">
        <v>883</v>
      </c>
      <c r="Q148" s="60">
        <v>2</v>
      </c>
      <c r="R148" s="54" t="s">
        <v>868</v>
      </c>
      <c r="T148" s="55" t="str">
        <f t="shared" si="8"/>
        <v>{201,150},{2,3750}</v>
      </c>
      <c r="U148" s="55" t="s">
        <v>898</v>
      </c>
    </row>
    <row r="149" spans="1:21">
      <c r="A149" s="53">
        <v>45</v>
      </c>
      <c r="B149" s="53">
        <v>1002</v>
      </c>
      <c r="C149" s="53" t="s">
        <v>57</v>
      </c>
      <c r="D149" s="54" t="s">
        <v>858</v>
      </c>
      <c r="E149" s="54" t="s">
        <v>1039</v>
      </c>
      <c r="F149" s="54" t="s">
        <v>873</v>
      </c>
      <c r="G149" s="77" t="s">
        <v>1627</v>
      </c>
      <c r="H149" s="77" t="s">
        <v>2073</v>
      </c>
      <c r="L149" s="55" t="str">
        <f t="shared" si="7"/>
        <v>{1},{3}</v>
      </c>
      <c r="M149" s="55" t="s">
        <v>325</v>
      </c>
      <c r="O149" s="54">
        <v>201</v>
      </c>
      <c r="P149" s="54" t="s">
        <v>883</v>
      </c>
      <c r="Q149" s="60">
        <v>2</v>
      </c>
      <c r="R149" s="54" t="s">
        <v>868</v>
      </c>
      <c r="T149" s="55" t="str">
        <f t="shared" si="8"/>
        <v>{201,150},{2,3750}</v>
      </c>
      <c r="U149" s="55" t="s">
        <v>898</v>
      </c>
    </row>
    <row r="150" spans="1:21">
      <c r="A150" s="53">
        <v>46</v>
      </c>
      <c r="B150" s="53">
        <v>1002</v>
      </c>
      <c r="C150" s="53" t="s">
        <v>57</v>
      </c>
      <c r="D150" s="54" t="s">
        <v>858</v>
      </c>
      <c r="E150" s="54" t="s">
        <v>1040</v>
      </c>
      <c r="F150" s="54" t="s">
        <v>873</v>
      </c>
      <c r="G150" s="77" t="s">
        <v>1628</v>
      </c>
      <c r="H150" s="77" t="s">
        <v>1301</v>
      </c>
      <c r="L150" s="55" t="str">
        <f t="shared" si="7"/>
        <v>{1},{3}</v>
      </c>
      <c r="M150" s="55" t="s">
        <v>326</v>
      </c>
      <c r="O150" s="54">
        <v>201</v>
      </c>
      <c r="P150" s="54" t="s">
        <v>883</v>
      </c>
      <c r="Q150" s="60">
        <v>2</v>
      </c>
      <c r="R150" s="54" t="s">
        <v>868</v>
      </c>
      <c r="T150" s="55" t="str">
        <f t="shared" si="8"/>
        <v>{201,150},{2,3750}</v>
      </c>
      <c r="U150" s="55" t="s">
        <v>898</v>
      </c>
    </row>
    <row r="151" spans="1:21">
      <c r="A151" s="53">
        <v>47</v>
      </c>
      <c r="B151" s="53">
        <v>1002</v>
      </c>
      <c r="C151" s="53" t="s">
        <v>57</v>
      </c>
      <c r="D151" s="54" t="s">
        <v>858</v>
      </c>
      <c r="E151" s="54" t="s">
        <v>1041</v>
      </c>
      <c r="F151" s="54" t="s">
        <v>873</v>
      </c>
      <c r="G151" s="77" t="s">
        <v>1629</v>
      </c>
      <c r="H151" s="77" t="s">
        <v>2074</v>
      </c>
      <c r="L151" s="55" t="str">
        <f t="shared" si="7"/>
        <v>{1},{3}</v>
      </c>
      <c r="M151" s="55" t="s">
        <v>327</v>
      </c>
      <c r="O151" s="54">
        <v>201</v>
      </c>
      <c r="P151" s="54" t="s">
        <v>883</v>
      </c>
      <c r="Q151" s="60">
        <v>2</v>
      </c>
      <c r="R151" s="54" t="s">
        <v>868</v>
      </c>
      <c r="T151" s="55" t="str">
        <f t="shared" si="8"/>
        <v>{201,150},{2,3750}</v>
      </c>
      <c r="U151" s="55" t="s">
        <v>898</v>
      </c>
    </row>
    <row r="152" spans="1:21">
      <c r="A152" s="53">
        <v>48</v>
      </c>
      <c r="B152" s="53">
        <v>1002</v>
      </c>
      <c r="C152" s="53" t="s">
        <v>57</v>
      </c>
      <c r="D152" s="54" t="s">
        <v>858</v>
      </c>
      <c r="E152" s="54" t="s">
        <v>1042</v>
      </c>
      <c r="F152" s="54" t="s">
        <v>873</v>
      </c>
      <c r="G152" s="77" t="s">
        <v>1630</v>
      </c>
      <c r="H152" s="77" t="s">
        <v>2075</v>
      </c>
      <c r="L152" s="55" t="str">
        <f t="shared" si="7"/>
        <v>{1},{3}</v>
      </c>
      <c r="M152" s="55" t="s">
        <v>328</v>
      </c>
      <c r="O152" s="54">
        <v>201</v>
      </c>
      <c r="P152" s="54" t="s">
        <v>883</v>
      </c>
      <c r="Q152" s="60">
        <v>2</v>
      </c>
      <c r="R152" s="54" t="s">
        <v>868</v>
      </c>
      <c r="T152" s="55" t="str">
        <f t="shared" si="8"/>
        <v>{201,150},{2,3750}</v>
      </c>
      <c r="U152" s="55" t="s">
        <v>898</v>
      </c>
    </row>
    <row r="153" spans="1:21">
      <c r="A153" s="53">
        <v>49</v>
      </c>
      <c r="B153" s="53">
        <v>1002</v>
      </c>
      <c r="C153" s="53" t="s">
        <v>57</v>
      </c>
      <c r="D153" s="54" t="s">
        <v>858</v>
      </c>
      <c r="E153" s="54" t="s">
        <v>1043</v>
      </c>
      <c r="F153" s="54" t="s">
        <v>873</v>
      </c>
      <c r="G153" s="77" t="s">
        <v>1631</v>
      </c>
      <c r="H153" s="77" t="s">
        <v>1456</v>
      </c>
      <c r="L153" s="55" t="str">
        <f t="shared" si="7"/>
        <v>{1},{3}</v>
      </c>
      <c r="M153" s="55" t="s">
        <v>329</v>
      </c>
      <c r="O153" s="54">
        <v>201</v>
      </c>
      <c r="P153" s="54" t="s">
        <v>883</v>
      </c>
      <c r="Q153" s="60">
        <v>2</v>
      </c>
      <c r="R153" s="54" t="s">
        <v>868</v>
      </c>
      <c r="T153" s="55" t="str">
        <f t="shared" si="8"/>
        <v>{201,150},{2,3750}</v>
      </c>
      <c r="U153" s="55" t="s">
        <v>898</v>
      </c>
    </row>
    <row r="154" spans="1:21">
      <c r="A154" s="53">
        <v>50</v>
      </c>
      <c r="B154" s="53">
        <v>1002</v>
      </c>
      <c r="C154" s="53" t="s">
        <v>57</v>
      </c>
      <c r="D154" s="54" t="s">
        <v>858</v>
      </c>
      <c r="E154" s="54" t="s">
        <v>1044</v>
      </c>
      <c r="F154" s="54" t="s">
        <v>873</v>
      </c>
      <c r="G154" s="77" t="s">
        <v>1632</v>
      </c>
      <c r="H154" s="77" t="s">
        <v>1302</v>
      </c>
      <c r="L154" s="55" t="str">
        <f t="shared" si="7"/>
        <v>{1},{3}</v>
      </c>
      <c r="M154" s="55" t="s">
        <v>330</v>
      </c>
      <c r="O154" s="54">
        <v>201</v>
      </c>
      <c r="P154" s="54" t="s">
        <v>883</v>
      </c>
      <c r="Q154" s="60">
        <v>2</v>
      </c>
      <c r="R154" s="54" t="s">
        <v>868</v>
      </c>
      <c r="T154" s="55" t="str">
        <f t="shared" si="8"/>
        <v>{201,150},{2,3750}</v>
      </c>
      <c r="U154" s="55" t="s">
        <v>898</v>
      </c>
    </row>
    <row r="155" spans="1:21">
      <c r="A155" s="53">
        <v>51</v>
      </c>
      <c r="B155" s="53">
        <v>1002</v>
      </c>
      <c r="C155" s="53" t="s">
        <v>57</v>
      </c>
      <c r="D155" s="54" t="s">
        <v>858</v>
      </c>
      <c r="E155" s="54" t="s">
        <v>1045</v>
      </c>
      <c r="F155" s="54" t="s">
        <v>873</v>
      </c>
      <c r="G155" s="77" t="s">
        <v>1448</v>
      </c>
      <c r="H155" s="77" t="s">
        <v>2076</v>
      </c>
      <c r="L155" s="55" t="str">
        <f t="shared" si="7"/>
        <v>{1},{3}</v>
      </c>
      <c r="M155" s="55" t="s">
        <v>331</v>
      </c>
      <c r="O155" s="54">
        <v>201</v>
      </c>
      <c r="P155" s="54" t="s">
        <v>883</v>
      </c>
      <c r="Q155" s="60">
        <v>2</v>
      </c>
      <c r="R155" s="54" t="s">
        <v>868</v>
      </c>
      <c r="T155" s="55" t="str">
        <f t="shared" si="8"/>
        <v>{201,150},{2,3750}</v>
      </c>
      <c r="U155" s="55" t="s">
        <v>898</v>
      </c>
    </row>
    <row r="156" spans="1:21">
      <c r="A156" s="53">
        <v>52</v>
      </c>
      <c r="B156" s="53">
        <v>1002</v>
      </c>
      <c r="C156" s="53" t="s">
        <v>57</v>
      </c>
      <c r="D156" s="54" t="s">
        <v>858</v>
      </c>
      <c r="E156" s="54" t="s">
        <v>1046</v>
      </c>
      <c r="F156" s="54" t="s">
        <v>873</v>
      </c>
      <c r="G156" s="77" t="s">
        <v>1633</v>
      </c>
      <c r="H156" s="77" t="s">
        <v>1122</v>
      </c>
      <c r="L156" s="55" t="str">
        <f t="shared" si="7"/>
        <v>{1},{3}</v>
      </c>
      <c r="M156" s="55" t="s">
        <v>332</v>
      </c>
      <c r="O156" s="54">
        <v>201</v>
      </c>
      <c r="P156" s="54" t="s">
        <v>883</v>
      </c>
      <c r="Q156" s="60">
        <v>2</v>
      </c>
      <c r="R156" s="54" t="s">
        <v>868</v>
      </c>
      <c r="T156" s="55" t="str">
        <f t="shared" si="8"/>
        <v>{201,150},{2,3750}</v>
      </c>
      <c r="U156" s="55" t="s">
        <v>898</v>
      </c>
    </row>
    <row r="157" spans="1:21">
      <c r="A157" s="53">
        <v>53</v>
      </c>
      <c r="B157" s="53">
        <v>1002</v>
      </c>
      <c r="C157" s="53" t="s">
        <v>57</v>
      </c>
      <c r="D157" s="54" t="s">
        <v>858</v>
      </c>
      <c r="E157" s="54" t="s">
        <v>1047</v>
      </c>
      <c r="F157" s="54" t="s">
        <v>873</v>
      </c>
      <c r="G157" s="77" t="s">
        <v>1634</v>
      </c>
      <c r="H157" s="77" t="s">
        <v>2077</v>
      </c>
      <c r="L157" s="55" t="str">
        <f t="shared" si="7"/>
        <v>{1},{3}</v>
      </c>
      <c r="M157" s="55" t="s">
        <v>333</v>
      </c>
      <c r="O157" s="54">
        <v>201</v>
      </c>
      <c r="P157" s="54" t="s">
        <v>883</v>
      </c>
      <c r="Q157" s="60">
        <v>2</v>
      </c>
      <c r="R157" s="54" t="s">
        <v>868</v>
      </c>
      <c r="T157" s="55" t="str">
        <f t="shared" si="8"/>
        <v>{201,150},{2,3750}</v>
      </c>
      <c r="U157" s="55" t="s">
        <v>898</v>
      </c>
    </row>
    <row r="158" spans="1:21">
      <c r="A158" s="53">
        <v>54</v>
      </c>
      <c r="B158" s="53">
        <v>1002</v>
      </c>
      <c r="C158" s="53" t="s">
        <v>57</v>
      </c>
      <c r="D158" s="54" t="s">
        <v>858</v>
      </c>
      <c r="E158" s="54" t="s">
        <v>1048</v>
      </c>
      <c r="F158" s="54" t="s">
        <v>873</v>
      </c>
      <c r="G158" s="77" t="s">
        <v>1635</v>
      </c>
      <c r="H158" s="77" t="s">
        <v>1303</v>
      </c>
      <c r="L158" s="55" t="str">
        <f t="shared" si="7"/>
        <v>{1},{3}</v>
      </c>
      <c r="M158" s="55" t="s">
        <v>334</v>
      </c>
      <c r="O158" s="54">
        <v>201</v>
      </c>
      <c r="P158" s="54" t="s">
        <v>883</v>
      </c>
      <c r="Q158" s="60">
        <v>2</v>
      </c>
      <c r="R158" s="54" t="s">
        <v>868</v>
      </c>
      <c r="T158" s="55" t="str">
        <f t="shared" si="8"/>
        <v>{201,150},{2,3750}</v>
      </c>
      <c r="U158" s="55" t="s">
        <v>898</v>
      </c>
    </row>
    <row r="159" spans="1:21">
      <c r="A159" s="53">
        <v>55</v>
      </c>
      <c r="B159" s="53">
        <v>1002</v>
      </c>
      <c r="C159" s="53" t="s">
        <v>57</v>
      </c>
      <c r="D159" s="54" t="s">
        <v>858</v>
      </c>
      <c r="E159" s="54" t="s">
        <v>1049</v>
      </c>
      <c r="F159" s="54" t="s">
        <v>873</v>
      </c>
      <c r="G159" s="77" t="s">
        <v>1636</v>
      </c>
      <c r="H159" s="77" t="s">
        <v>1457</v>
      </c>
      <c r="L159" s="55" t="str">
        <f t="shared" si="7"/>
        <v>{1},{3}</v>
      </c>
      <c r="M159" s="55" t="s">
        <v>335</v>
      </c>
      <c r="O159" s="54">
        <v>201</v>
      </c>
      <c r="P159" s="54" t="s">
        <v>883</v>
      </c>
      <c r="Q159" s="60">
        <v>2</v>
      </c>
      <c r="R159" s="54" t="s">
        <v>868</v>
      </c>
      <c r="T159" s="55" t="str">
        <f t="shared" si="8"/>
        <v>{201,150},{2,3750}</v>
      </c>
      <c r="U159" s="55" t="s">
        <v>898</v>
      </c>
    </row>
    <row r="160" spans="1:21">
      <c r="A160" s="53">
        <v>56</v>
      </c>
      <c r="B160" s="53">
        <v>1002</v>
      </c>
      <c r="C160" s="53" t="s">
        <v>57</v>
      </c>
      <c r="D160" s="54" t="s">
        <v>858</v>
      </c>
      <c r="E160" s="54" t="s">
        <v>1050</v>
      </c>
      <c r="F160" s="54" t="s">
        <v>873</v>
      </c>
      <c r="G160" s="77" t="s">
        <v>1637</v>
      </c>
      <c r="H160" s="77" t="s">
        <v>1683</v>
      </c>
      <c r="L160" s="55" t="str">
        <f t="shared" si="7"/>
        <v>{1},{3}</v>
      </c>
      <c r="M160" s="55" t="s">
        <v>336</v>
      </c>
      <c r="O160" s="54">
        <v>201</v>
      </c>
      <c r="P160" s="54" t="s">
        <v>883</v>
      </c>
      <c r="Q160" s="60">
        <v>2</v>
      </c>
      <c r="R160" s="54" t="s">
        <v>868</v>
      </c>
      <c r="T160" s="55" t="str">
        <f t="shared" si="8"/>
        <v>{201,150},{2,3750}</v>
      </c>
      <c r="U160" s="55" t="s">
        <v>898</v>
      </c>
    </row>
    <row r="161" spans="1:21">
      <c r="A161" s="53">
        <v>57</v>
      </c>
      <c r="B161" s="53">
        <v>1002</v>
      </c>
      <c r="C161" s="53" t="s">
        <v>57</v>
      </c>
      <c r="D161" s="54" t="s">
        <v>858</v>
      </c>
      <c r="E161" s="54" t="s">
        <v>1051</v>
      </c>
      <c r="F161" s="54" t="s">
        <v>873</v>
      </c>
      <c r="G161" s="77" t="s">
        <v>1638</v>
      </c>
      <c r="H161" s="77" t="s">
        <v>2078</v>
      </c>
      <c r="L161" s="55" t="str">
        <f t="shared" si="7"/>
        <v>{1},{3}</v>
      </c>
      <c r="M161" s="55" t="s">
        <v>337</v>
      </c>
      <c r="O161" s="54">
        <v>201</v>
      </c>
      <c r="P161" s="54" t="s">
        <v>883</v>
      </c>
      <c r="Q161" s="60">
        <v>2</v>
      </c>
      <c r="R161" s="54" t="s">
        <v>868</v>
      </c>
      <c r="T161" s="55" t="str">
        <f t="shared" si="8"/>
        <v>{201,150},{2,3750}</v>
      </c>
      <c r="U161" s="55" t="s">
        <v>898</v>
      </c>
    </row>
    <row r="162" spans="1:21">
      <c r="A162" s="53">
        <v>58</v>
      </c>
      <c r="B162" s="53">
        <v>1002</v>
      </c>
      <c r="C162" s="53" t="s">
        <v>57</v>
      </c>
      <c r="D162" s="54" t="s">
        <v>858</v>
      </c>
      <c r="E162" s="54" t="s">
        <v>1052</v>
      </c>
      <c r="F162" s="54" t="s">
        <v>873</v>
      </c>
      <c r="G162" s="77" t="s">
        <v>1639</v>
      </c>
      <c r="H162" s="77" t="s">
        <v>1304</v>
      </c>
      <c r="L162" s="55" t="str">
        <f t="shared" si="7"/>
        <v>{1},{3}</v>
      </c>
      <c r="M162" s="55" t="s">
        <v>338</v>
      </c>
      <c r="O162" s="54">
        <v>201</v>
      </c>
      <c r="P162" s="54" t="s">
        <v>883</v>
      </c>
      <c r="Q162" s="60">
        <v>2</v>
      </c>
      <c r="R162" s="54" t="s">
        <v>868</v>
      </c>
      <c r="T162" s="55" t="str">
        <f t="shared" si="8"/>
        <v>{201,150},{2,3750}</v>
      </c>
      <c r="U162" s="55" t="s">
        <v>898</v>
      </c>
    </row>
    <row r="163" spans="1:21">
      <c r="A163" s="53">
        <v>59</v>
      </c>
      <c r="B163" s="53">
        <v>1002</v>
      </c>
      <c r="C163" s="53" t="s">
        <v>57</v>
      </c>
      <c r="D163" s="54" t="s">
        <v>858</v>
      </c>
      <c r="E163" s="54" t="s">
        <v>1053</v>
      </c>
      <c r="F163" s="54" t="s">
        <v>873</v>
      </c>
      <c r="G163" s="77" t="s">
        <v>1640</v>
      </c>
      <c r="H163" s="77" t="s">
        <v>2079</v>
      </c>
      <c r="L163" s="55" t="str">
        <f t="shared" si="7"/>
        <v>{1},{3}</v>
      </c>
      <c r="M163" s="55" t="s">
        <v>339</v>
      </c>
      <c r="O163" s="54">
        <v>201</v>
      </c>
      <c r="P163" s="54" t="s">
        <v>883</v>
      </c>
      <c r="Q163" s="60">
        <v>2</v>
      </c>
      <c r="R163" s="54" t="s">
        <v>868</v>
      </c>
      <c r="T163" s="55" t="str">
        <f t="shared" si="8"/>
        <v>{201,150},{2,3750}</v>
      </c>
      <c r="U163" s="55" t="s">
        <v>898</v>
      </c>
    </row>
    <row r="164" spans="1:21" s="63" customFormat="1">
      <c r="A164" s="61">
        <v>60</v>
      </c>
      <c r="B164" s="61">
        <v>1002</v>
      </c>
      <c r="C164" s="61" t="s">
        <v>58</v>
      </c>
      <c r="D164" s="62" t="s">
        <v>858</v>
      </c>
      <c r="E164" s="62" t="s">
        <v>1054</v>
      </c>
      <c r="F164" s="62" t="s">
        <v>873</v>
      </c>
      <c r="G164" s="78" t="s">
        <v>1641</v>
      </c>
      <c r="H164" s="77" t="s">
        <v>2080</v>
      </c>
      <c r="I164" s="78"/>
      <c r="J164" s="78"/>
      <c r="L164" s="63" t="str">
        <f t="shared" si="7"/>
        <v>{1},{3}</v>
      </c>
      <c r="M164" s="63" t="s">
        <v>340</v>
      </c>
      <c r="O164" s="62" t="s">
        <v>886</v>
      </c>
      <c r="P164" s="62" t="s">
        <v>883</v>
      </c>
      <c r="Q164" s="64">
        <v>2</v>
      </c>
      <c r="R164" s="62" t="s">
        <v>869</v>
      </c>
      <c r="T164" s="55" t="str">
        <f t="shared" si="8"/>
        <v>{301,150},{2,4500}</v>
      </c>
      <c r="U164" s="63" t="s">
        <v>899</v>
      </c>
    </row>
    <row r="165" spans="1:21">
      <c r="A165" s="53">
        <v>61</v>
      </c>
      <c r="B165" s="53">
        <v>1002</v>
      </c>
      <c r="C165" s="53" t="s">
        <v>59</v>
      </c>
      <c r="D165" s="54" t="s">
        <v>858</v>
      </c>
      <c r="E165" s="54" t="s">
        <v>1055</v>
      </c>
      <c r="F165" s="54" t="s">
        <v>873</v>
      </c>
      <c r="G165" s="77" t="s">
        <v>1642</v>
      </c>
      <c r="H165" s="77" t="s">
        <v>1458</v>
      </c>
      <c r="L165" s="55" t="str">
        <f t="shared" si="7"/>
        <v>{1},{3}</v>
      </c>
      <c r="M165" s="55" t="s">
        <v>341</v>
      </c>
      <c r="O165" s="54">
        <v>201</v>
      </c>
      <c r="P165" s="54" t="s">
        <v>884</v>
      </c>
      <c r="Q165" s="60">
        <v>2</v>
      </c>
      <c r="R165" s="54" t="s">
        <v>870</v>
      </c>
      <c r="T165" s="55" t="str">
        <f t="shared" si="8"/>
        <v>{201,300},{2,9000}</v>
      </c>
      <c r="U165" s="55" t="s">
        <v>900</v>
      </c>
    </row>
    <row r="166" spans="1:21">
      <c r="A166" s="53">
        <v>62</v>
      </c>
      <c r="B166" s="53">
        <v>1002</v>
      </c>
      <c r="C166" s="53" t="s">
        <v>59</v>
      </c>
      <c r="D166" s="54" t="s">
        <v>858</v>
      </c>
      <c r="E166" s="54" t="s">
        <v>1056</v>
      </c>
      <c r="F166" s="54" t="s">
        <v>873</v>
      </c>
      <c r="G166" s="77" t="s">
        <v>1643</v>
      </c>
      <c r="H166" s="77" t="s">
        <v>2081</v>
      </c>
      <c r="L166" s="55" t="str">
        <f t="shared" si="7"/>
        <v>{1},{3}</v>
      </c>
      <c r="M166" s="55" t="s">
        <v>342</v>
      </c>
      <c r="O166" s="54">
        <v>201</v>
      </c>
      <c r="P166" s="54" t="s">
        <v>884</v>
      </c>
      <c r="Q166" s="60">
        <v>2</v>
      </c>
      <c r="R166" s="54" t="s">
        <v>870</v>
      </c>
      <c r="T166" s="55" t="str">
        <f t="shared" si="8"/>
        <v>{201,300},{2,9000}</v>
      </c>
      <c r="U166" s="55" t="s">
        <v>900</v>
      </c>
    </row>
    <row r="167" spans="1:21">
      <c r="A167" s="53">
        <v>63</v>
      </c>
      <c r="B167" s="53">
        <v>1002</v>
      </c>
      <c r="C167" s="53" t="s">
        <v>59</v>
      </c>
      <c r="D167" s="54" t="s">
        <v>858</v>
      </c>
      <c r="E167" s="54" t="s">
        <v>1057</v>
      </c>
      <c r="F167" s="54" t="s">
        <v>873</v>
      </c>
      <c r="G167" s="77" t="s">
        <v>1644</v>
      </c>
      <c r="H167" s="77" t="s">
        <v>2082</v>
      </c>
      <c r="L167" s="55" t="str">
        <f t="shared" si="7"/>
        <v>{1},{3}</v>
      </c>
      <c r="M167" s="55" t="s">
        <v>343</v>
      </c>
      <c r="O167" s="54">
        <v>201</v>
      </c>
      <c r="P167" s="54" t="s">
        <v>884</v>
      </c>
      <c r="Q167" s="60">
        <v>2</v>
      </c>
      <c r="R167" s="54" t="s">
        <v>870</v>
      </c>
      <c r="T167" s="55" t="str">
        <f t="shared" si="8"/>
        <v>{201,300},{2,9000}</v>
      </c>
      <c r="U167" s="55" t="s">
        <v>900</v>
      </c>
    </row>
    <row r="168" spans="1:21">
      <c r="A168" s="53">
        <v>64</v>
      </c>
      <c r="B168" s="53">
        <v>1002</v>
      </c>
      <c r="C168" s="53" t="s">
        <v>59</v>
      </c>
      <c r="D168" s="54" t="s">
        <v>858</v>
      </c>
      <c r="E168" s="54" t="s">
        <v>1058</v>
      </c>
      <c r="F168" s="54" t="s">
        <v>873</v>
      </c>
      <c r="G168" s="77" t="s">
        <v>1645</v>
      </c>
      <c r="H168" s="77" t="s">
        <v>1527</v>
      </c>
      <c r="L168" s="55" t="str">
        <f t="shared" si="7"/>
        <v>{1},{3}</v>
      </c>
      <c r="M168" s="55" t="s">
        <v>344</v>
      </c>
      <c r="O168" s="54">
        <v>201</v>
      </c>
      <c r="P168" s="54" t="s">
        <v>884</v>
      </c>
      <c r="Q168" s="60">
        <v>2</v>
      </c>
      <c r="R168" s="54" t="s">
        <v>870</v>
      </c>
      <c r="T168" s="55" t="str">
        <f t="shared" si="8"/>
        <v>{201,300},{2,9000}</v>
      </c>
      <c r="U168" s="55" t="s">
        <v>900</v>
      </c>
    </row>
    <row r="169" spans="1:21">
      <c r="A169" s="53">
        <v>65</v>
      </c>
      <c r="B169" s="53">
        <v>1002</v>
      </c>
      <c r="C169" s="53" t="s">
        <v>59</v>
      </c>
      <c r="D169" s="54" t="s">
        <v>858</v>
      </c>
      <c r="E169" s="54" t="s">
        <v>1059</v>
      </c>
      <c r="F169" s="54" t="s">
        <v>873</v>
      </c>
      <c r="G169" s="77" t="s">
        <v>1646</v>
      </c>
      <c r="H169" s="77" t="s">
        <v>2083</v>
      </c>
      <c r="L169" s="55" t="str">
        <f t="shared" si="7"/>
        <v>{1},{3}</v>
      </c>
      <c r="M169" s="55" t="s">
        <v>345</v>
      </c>
      <c r="O169" s="54">
        <v>201</v>
      </c>
      <c r="P169" s="54" t="s">
        <v>884</v>
      </c>
      <c r="Q169" s="60">
        <v>2</v>
      </c>
      <c r="R169" s="54" t="s">
        <v>870</v>
      </c>
      <c r="T169" s="55" t="str">
        <f t="shared" si="8"/>
        <v>{201,300},{2,9000}</v>
      </c>
      <c r="U169" s="55" t="s">
        <v>900</v>
      </c>
    </row>
    <row r="170" spans="1:21">
      <c r="A170" s="53">
        <v>66</v>
      </c>
      <c r="B170" s="53">
        <v>1002</v>
      </c>
      <c r="C170" s="53" t="s">
        <v>59</v>
      </c>
      <c r="D170" s="54" t="s">
        <v>858</v>
      </c>
      <c r="E170" s="54" t="s">
        <v>1060</v>
      </c>
      <c r="F170" s="54" t="s">
        <v>873</v>
      </c>
      <c r="G170" s="77" t="s">
        <v>1647</v>
      </c>
      <c r="H170" s="77" t="s">
        <v>1684</v>
      </c>
      <c r="L170" s="55" t="str">
        <f t="shared" si="7"/>
        <v>{1},{3}</v>
      </c>
      <c r="M170" s="55" t="s">
        <v>346</v>
      </c>
      <c r="O170" s="54">
        <v>201</v>
      </c>
      <c r="P170" s="54" t="s">
        <v>884</v>
      </c>
      <c r="Q170" s="60">
        <v>2</v>
      </c>
      <c r="R170" s="54" t="s">
        <v>870</v>
      </c>
      <c r="T170" s="55" t="str">
        <f t="shared" si="8"/>
        <v>{201,300},{2,9000}</v>
      </c>
      <c r="U170" s="55" t="s">
        <v>900</v>
      </c>
    </row>
    <row r="171" spans="1:21">
      <c r="A171" s="53">
        <v>67</v>
      </c>
      <c r="B171" s="53">
        <v>1002</v>
      </c>
      <c r="C171" s="53" t="s">
        <v>59</v>
      </c>
      <c r="D171" s="54" t="s">
        <v>858</v>
      </c>
      <c r="E171" s="54" t="s">
        <v>1061</v>
      </c>
      <c r="F171" s="54" t="s">
        <v>873</v>
      </c>
      <c r="G171" s="77" t="s">
        <v>1648</v>
      </c>
      <c r="H171" s="77" t="s">
        <v>1459</v>
      </c>
      <c r="L171" s="55" t="str">
        <f t="shared" si="7"/>
        <v>{1},{3}</v>
      </c>
      <c r="M171" s="55" t="s">
        <v>347</v>
      </c>
      <c r="O171" s="54">
        <v>201</v>
      </c>
      <c r="P171" s="54" t="s">
        <v>884</v>
      </c>
      <c r="Q171" s="60">
        <v>2</v>
      </c>
      <c r="R171" s="54" t="s">
        <v>870</v>
      </c>
      <c r="T171" s="55" t="str">
        <f t="shared" si="8"/>
        <v>{201,300},{2,9000}</v>
      </c>
      <c r="U171" s="55" t="s">
        <v>900</v>
      </c>
    </row>
    <row r="172" spans="1:21">
      <c r="A172" s="53">
        <v>68</v>
      </c>
      <c r="B172" s="53">
        <v>1002</v>
      </c>
      <c r="C172" s="53" t="s">
        <v>59</v>
      </c>
      <c r="D172" s="54" t="s">
        <v>858</v>
      </c>
      <c r="E172" s="54" t="s">
        <v>1062</v>
      </c>
      <c r="F172" s="54" t="s">
        <v>873</v>
      </c>
      <c r="G172" s="77" t="s">
        <v>1649</v>
      </c>
      <c r="H172" s="77" t="s">
        <v>2084</v>
      </c>
      <c r="L172" s="55" t="str">
        <f t="shared" si="7"/>
        <v>{1},{3}</v>
      </c>
      <c r="M172" s="55" t="s">
        <v>348</v>
      </c>
      <c r="O172" s="54">
        <v>201</v>
      </c>
      <c r="P172" s="54" t="s">
        <v>884</v>
      </c>
      <c r="Q172" s="60">
        <v>2</v>
      </c>
      <c r="R172" s="54" t="s">
        <v>870</v>
      </c>
      <c r="T172" s="55" t="str">
        <f t="shared" si="8"/>
        <v>{201,300},{2,9000}</v>
      </c>
      <c r="U172" s="55" t="s">
        <v>900</v>
      </c>
    </row>
    <row r="173" spans="1:21">
      <c r="A173" s="53">
        <v>69</v>
      </c>
      <c r="B173" s="53">
        <v>1002</v>
      </c>
      <c r="C173" s="53" t="s">
        <v>59</v>
      </c>
      <c r="D173" s="54" t="s">
        <v>858</v>
      </c>
      <c r="E173" s="54" t="s">
        <v>1063</v>
      </c>
      <c r="F173" s="54" t="s">
        <v>873</v>
      </c>
      <c r="G173" s="77" t="s">
        <v>1650</v>
      </c>
      <c r="H173" s="77" t="s">
        <v>2085</v>
      </c>
      <c r="L173" s="55" t="str">
        <f t="shared" si="7"/>
        <v>{1},{3}</v>
      </c>
      <c r="M173" s="55" t="s">
        <v>349</v>
      </c>
      <c r="O173" s="54">
        <v>201</v>
      </c>
      <c r="P173" s="54" t="s">
        <v>884</v>
      </c>
      <c r="Q173" s="60">
        <v>2</v>
      </c>
      <c r="R173" s="54" t="s">
        <v>870</v>
      </c>
      <c r="T173" s="55" t="str">
        <f t="shared" si="8"/>
        <v>{201,300},{2,9000}</v>
      </c>
      <c r="U173" s="55" t="s">
        <v>900</v>
      </c>
    </row>
    <row r="174" spans="1:21">
      <c r="A174" s="53">
        <v>70</v>
      </c>
      <c r="B174" s="53">
        <v>1002</v>
      </c>
      <c r="C174" s="53" t="s">
        <v>59</v>
      </c>
      <c r="D174" s="54" t="s">
        <v>858</v>
      </c>
      <c r="E174" s="54" t="s">
        <v>1064</v>
      </c>
      <c r="F174" s="54" t="s">
        <v>873</v>
      </c>
      <c r="G174" s="77" t="s">
        <v>1651</v>
      </c>
      <c r="H174" s="77" t="s">
        <v>2086</v>
      </c>
      <c r="L174" s="55" t="str">
        <f t="shared" si="7"/>
        <v>{1},{3}</v>
      </c>
      <c r="M174" s="55" t="s">
        <v>350</v>
      </c>
      <c r="O174" s="54">
        <v>201</v>
      </c>
      <c r="P174" s="54" t="s">
        <v>884</v>
      </c>
      <c r="Q174" s="60">
        <v>2</v>
      </c>
      <c r="R174" s="54" t="s">
        <v>870</v>
      </c>
      <c r="T174" s="55" t="str">
        <f t="shared" si="8"/>
        <v>{201,300},{2,9000}</v>
      </c>
      <c r="U174" s="55" t="s">
        <v>900</v>
      </c>
    </row>
    <row r="175" spans="1:21">
      <c r="A175" s="53">
        <v>71</v>
      </c>
      <c r="B175" s="53">
        <v>1002</v>
      </c>
      <c r="C175" s="53" t="s">
        <v>59</v>
      </c>
      <c r="D175" s="54" t="s">
        <v>858</v>
      </c>
      <c r="E175" s="54" t="s">
        <v>1065</v>
      </c>
      <c r="F175" s="54" t="s">
        <v>873</v>
      </c>
      <c r="G175" s="77" t="s">
        <v>1652</v>
      </c>
      <c r="H175" s="77" t="s">
        <v>1938</v>
      </c>
      <c r="L175" s="55" t="str">
        <f t="shared" si="7"/>
        <v>{1},{3}</v>
      </c>
      <c r="M175" s="55" t="s">
        <v>351</v>
      </c>
      <c r="O175" s="54">
        <v>201</v>
      </c>
      <c r="P175" s="54" t="s">
        <v>884</v>
      </c>
      <c r="Q175" s="60">
        <v>2</v>
      </c>
      <c r="R175" s="54" t="s">
        <v>870</v>
      </c>
      <c r="T175" s="55" t="str">
        <f t="shared" si="8"/>
        <v>{201,300},{2,9000}</v>
      </c>
      <c r="U175" s="55" t="s">
        <v>900</v>
      </c>
    </row>
    <row r="176" spans="1:21">
      <c r="A176" s="53">
        <v>72</v>
      </c>
      <c r="B176" s="53">
        <v>1002</v>
      </c>
      <c r="C176" s="53" t="s">
        <v>59</v>
      </c>
      <c r="D176" s="54" t="s">
        <v>858</v>
      </c>
      <c r="E176" s="54" t="s">
        <v>1066</v>
      </c>
      <c r="F176" s="54" t="s">
        <v>873</v>
      </c>
      <c r="G176" s="77" t="s">
        <v>1653</v>
      </c>
      <c r="H176" s="77" t="s">
        <v>2087</v>
      </c>
      <c r="L176" s="55" t="str">
        <f t="shared" si="7"/>
        <v>{1},{3}</v>
      </c>
      <c r="M176" s="55" t="s">
        <v>352</v>
      </c>
      <c r="O176" s="54">
        <v>201</v>
      </c>
      <c r="P176" s="54" t="s">
        <v>884</v>
      </c>
      <c r="Q176" s="60">
        <v>2</v>
      </c>
      <c r="R176" s="54" t="s">
        <v>870</v>
      </c>
      <c r="T176" s="55" t="str">
        <f t="shared" si="8"/>
        <v>{201,300},{2,9000}</v>
      </c>
      <c r="U176" s="55" t="s">
        <v>900</v>
      </c>
    </row>
    <row r="177" spans="1:21">
      <c r="A177" s="53">
        <v>73</v>
      </c>
      <c r="B177" s="53">
        <v>1002</v>
      </c>
      <c r="C177" s="53" t="s">
        <v>59</v>
      </c>
      <c r="D177" s="54" t="s">
        <v>858</v>
      </c>
      <c r="E177" s="54" t="s">
        <v>1067</v>
      </c>
      <c r="F177" s="54" t="s">
        <v>873</v>
      </c>
      <c r="G177" s="77" t="s">
        <v>1654</v>
      </c>
      <c r="H177" s="77" t="s">
        <v>1460</v>
      </c>
      <c r="L177" s="55" t="str">
        <f t="shared" si="7"/>
        <v>{1},{3}</v>
      </c>
      <c r="M177" s="55" t="s">
        <v>353</v>
      </c>
      <c r="O177" s="54">
        <v>201</v>
      </c>
      <c r="P177" s="54" t="s">
        <v>884</v>
      </c>
      <c r="Q177" s="60">
        <v>2</v>
      </c>
      <c r="R177" s="54" t="s">
        <v>870</v>
      </c>
      <c r="T177" s="55" t="str">
        <f t="shared" si="8"/>
        <v>{201,300},{2,9000}</v>
      </c>
      <c r="U177" s="55" t="s">
        <v>900</v>
      </c>
    </row>
    <row r="178" spans="1:21">
      <c r="A178" s="53">
        <v>74</v>
      </c>
      <c r="B178" s="53">
        <v>1002</v>
      </c>
      <c r="C178" s="53" t="s">
        <v>59</v>
      </c>
      <c r="D178" s="54" t="s">
        <v>858</v>
      </c>
      <c r="E178" s="54" t="s">
        <v>1068</v>
      </c>
      <c r="F178" s="54" t="s">
        <v>873</v>
      </c>
      <c r="G178" s="77" t="s">
        <v>1655</v>
      </c>
      <c r="H178" s="77" t="s">
        <v>2088</v>
      </c>
      <c r="L178" s="55" t="str">
        <f t="shared" si="7"/>
        <v>{1},{3}</v>
      </c>
      <c r="M178" s="55" t="s">
        <v>354</v>
      </c>
      <c r="O178" s="54">
        <v>201</v>
      </c>
      <c r="P178" s="54" t="s">
        <v>884</v>
      </c>
      <c r="Q178" s="60">
        <v>2</v>
      </c>
      <c r="R178" s="54" t="s">
        <v>870</v>
      </c>
      <c r="T178" s="55" t="str">
        <f t="shared" si="8"/>
        <v>{201,300},{2,9000}</v>
      </c>
      <c r="U178" s="55" t="s">
        <v>900</v>
      </c>
    </row>
    <row r="179" spans="1:21">
      <c r="A179" s="53">
        <v>75</v>
      </c>
      <c r="B179" s="53">
        <v>1002</v>
      </c>
      <c r="C179" s="53" t="s">
        <v>59</v>
      </c>
      <c r="D179" s="54" t="s">
        <v>858</v>
      </c>
      <c r="E179" s="54" t="s">
        <v>1069</v>
      </c>
      <c r="F179" s="54" t="s">
        <v>873</v>
      </c>
      <c r="G179" s="77" t="s">
        <v>1656</v>
      </c>
      <c r="H179" s="77" t="s">
        <v>2089</v>
      </c>
      <c r="L179" s="55" t="str">
        <f t="shared" si="7"/>
        <v>{1},{3}</v>
      </c>
      <c r="M179" s="55" t="s">
        <v>355</v>
      </c>
      <c r="O179" s="54">
        <v>201</v>
      </c>
      <c r="P179" s="54" t="s">
        <v>884</v>
      </c>
      <c r="Q179" s="60">
        <v>2</v>
      </c>
      <c r="R179" s="54" t="s">
        <v>870</v>
      </c>
      <c r="T179" s="55" t="str">
        <f t="shared" si="8"/>
        <v>{201,300},{2,9000}</v>
      </c>
      <c r="U179" s="55" t="s">
        <v>900</v>
      </c>
    </row>
    <row r="180" spans="1:21">
      <c r="A180" s="53">
        <v>76</v>
      </c>
      <c r="B180" s="53">
        <v>1002</v>
      </c>
      <c r="C180" s="53" t="s">
        <v>59</v>
      </c>
      <c r="D180" s="54" t="s">
        <v>858</v>
      </c>
      <c r="E180" s="54" t="s">
        <v>1070</v>
      </c>
      <c r="F180" s="54" t="s">
        <v>873</v>
      </c>
      <c r="G180" s="77" t="s">
        <v>1657</v>
      </c>
      <c r="H180" s="77" t="s">
        <v>1127</v>
      </c>
      <c r="L180" s="55" t="str">
        <f t="shared" si="7"/>
        <v>{1},{3}</v>
      </c>
      <c r="M180" s="55" t="s">
        <v>356</v>
      </c>
      <c r="O180" s="54">
        <v>201</v>
      </c>
      <c r="P180" s="54" t="s">
        <v>884</v>
      </c>
      <c r="Q180" s="60">
        <v>2</v>
      </c>
      <c r="R180" s="54" t="s">
        <v>870</v>
      </c>
      <c r="T180" s="55" t="str">
        <f t="shared" si="8"/>
        <v>{201,300},{2,9000}</v>
      </c>
      <c r="U180" s="55" t="s">
        <v>900</v>
      </c>
    </row>
    <row r="181" spans="1:21">
      <c r="A181" s="53">
        <v>77</v>
      </c>
      <c r="B181" s="53">
        <v>1002</v>
      </c>
      <c r="C181" s="53" t="s">
        <v>59</v>
      </c>
      <c r="D181" s="54" t="s">
        <v>858</v>
      </c>
      <c r="E181" s="54" t="s">
        <v>1071</v>
      </c>
      <c r="F181" s="54" t="s">
        <v>873</v>
      </c>
      <c r="G181" s="77" t="s">
        <v>1658</v>
      </c>
      <c r="H181" s="77" t="s">
        <v>2090</v>
      </c>
      <c r="L181" s="55" t="str">
        <f t="shared" si="7"/>
        <v>{1},{3}</v>
      </c>
      <c r="M181" s="55" t="s">
        <v>357</v>
      </c>
      <c r="O181" s="54">
        <v>201</v>
      </c>
      <c r="P181" s="54" t="s">
        <v>884</v>
      </c>
      <c r="Q181" s="60">
        <v>2</v>
      </c>
      <c r="R181" s="54" t="s">
        <v>870</v>
      </c>
      <c r="T181" s="55" t="str">
        <f t="shared" si="8"/>
        <v>{201,300},{2,9000}</v>
      </c>
      <c r="U181" s="55" t="s">
        <v>900</v>
      </c>
    </row>
    <row r="182" spans="1:21">
      <c r="A182" s="53">
        <v>78</v>
      </c>
      <c r="B182" s="53">
        <v>1002</v>
      </c>
      <c r="C182" s="53" t="s">
        <v>59</v>
      </c>
      <c r="D182" s="54" t="s">
        <v>858</v>
      </c>
      <c r="E182" s="54" t="s">
        <v>1072</v>
      </c>
      <c r="F182" s="54" t="s">
        <v>873</v>
      </c>
      <c r="G182" s="77" t="s">
        <v>1659</v>
      </c>
      <c r="H182" s="77" t="s">
        <v>2091</v>
      </c>
      <c r="L182" s="55" t="str">
        <f t="shared" si="7"/>
        <v>{1},{3}</v>
      </c>
      <c r="M182" s="55" t="s">
        <v>358</v>
      </c>
      <c r="O182" s="54">
        <v>201</v>
      </c>
      <c r="P182" s="54" t="s">
        <v>884</v>
      </c>
      <c r="Q182" s="60">
        <v>2</v>
      </c>
      <c r="R182" s="54" t="s">
        <v>870</v>
      </c>
      <c r="T182" s="55" t="str">
        <f t="shared" si="8"/>
        <v>{201,300},{2,9000}</v>
      </c>
      <c r="U182" s="55" t="s">
        <v>900</v>
      </c>
    </row>
    <row r="183" spans="1:21">
      <c r="A183" s="53">
        <v>79</v>
      </c>
      <c r="B183" s="53">
        <v>1002</v>
      </c>
      <c r="C183" s="53" t="s">
        <v>59</v>
      </c>
      <c r="D183" s="54" t="s">
        <v>858</v>
      </c>
      <c r="E183" s="54" t="s">
        <v>1073</v>
      </c>
      <c r="F183" s="54" t="s">
        <v>873</v>
      </c>
      <c r="G183" s="77" t="s">
        <v>1660</v>
      </c>
      <c r="H183" s="77" t="s">
        <v>1461</v>
      </c>
      <c r="L183" s="55" t="str">
        <f t="shared" si="7"/>
        <v>{1},{3}</v>
      </c>
      <c r="M183" s="55" t="s">
        <v>359</v>
      </c>
      <c r="O183" s="54">
        <v>201</v>
      </c>
      <c r="P183" s="54" t="s">
        <v>884</v>
      </c>
      <c r="Q183" s="60">
        <v>2</v>
      </c>
      <c r="R183" s="54" t="s">
        <v>870</v>
      </c>
      <c r="T183" s="55" t="str">
        <f t="shared" si="8"/>
        <v>{201,300},{2,9000}</v>
      </c>
      <c r="U183" s="55" t="s">
        <v>900</v>
      </c>
    </row>
    <row r="184" spans="1:21" s="63" customFormat="1">
      <c r="A184" s="61">
        <v>80</v>
      </c>
      <c r="B184" s="61">
        <v>1002</v>
      </c>
      <c r="C184" s="61" t="s">
        <v>60</v>
      </c>
      <c r="D184" s="62" t="s">
        <v>858</v>
      </c>
      <c r="E184" s="62" t="s">
        <v>1074</v>
      </c>
      <c r="F184" s="62" t="s">
        <v>873</v>
      </c>
      <c r="G184" s="78" t="s">
        <v>1661</v>
      </c>
      <c r="H184" s="77" t="s">
        <v>2092</v>
      </c>
      <c r="I184" s="78"/>
      <c r="J184" s="78"/>
      <c r="L184" s="63" t="str">
        <f t="shared" si="7"/>
        <v>{1},{3}</v>
      </c>
      <c r="M184" s="63" t="s">
        <v>360</v>
      </c>
      <c r="O184" s="62" t="s">
        <v>886</v>
      </c>
      <c r="P184" s="62" t="s">
        <v>884</v>
      </c>
      <c r="Q184" s="64">
        <v>2</v>
      </c>
      <c r="R184" s="62" t="s">
        <v>871</v>
      </c>
      <c r="T184" s="55" t="str">
        <f t="shared" si="8"/>
        <v>{301,300},{2,10500}</v>
      </c>
      <c r="U184" s="63" t="s">
        <v>901</v>
      </c>
    </row>
    <row r="185" spans="1:21">
      <c r="A185" s="53">
        <v>81</v>
      </c>
      <c r="B185" s="53">
        <v>1002</v>
      </c>
      <c r="C185" s="53" t="s">
        <v>61</v>
      </c>
      <c r="D185" s="54" t="s">
        <v>858</v>
      </c>
      <c r="E185" s="54" t="s">
        <v>1075</v>
      </c>
      <c r="F185" s="54" t="s">
        <v>873</v>
      </c>
      <c r="G185" s="77" t="s">
        <v>1662</v>
      </c>
      <c r="H185" s="77" t="s">
        <v>2093</v>
      </c>
      <c r="L185" s="55" t="str">
        <f t="shared" si="7"/>
        <v>{1},{3}</v>
      </c>
      <c r="M185" s="55" t="s">
        <v>361</v>
      </c>
      <c r="O185" s="54">
        <v>201</v>
      </c>
      <c r="P185" s="54" t="s">
        <v>885</v>
      </c>
      <c r="Q185" s="60">
        <v>2</v>
      </c>
      <c r="R185" s="54" t="s">
        <v>872</v>
      </c>
      <c r="T185" s="55" t="str">
        <f t="shared" si="8"/>
        <v>{201,450},{2,15750}</v>
      </c>
      <c r="U185" s="55" t="s">
        <v>902</v>
      </c>
    </row>
    <row r="186" spans="1:21">
      <c r="A186" s="53">
        <v>82</v>
      </c>
      <c r="B186" s="53">
        <v>1002</v>
      </c>
      <c r="C186" s="53" t="s">
        <v>61</v>
      </c>
      <c r="D186" s="54" t="s">
        <v>858</v>
      </c>
      <c r="E186" s="54" t="s">
        <v>1076</v>
      </c>
      <c r="F186" s="54" t="s">
        <v>873</v>
      </c>
      <c r="G186" s="77" t="s">
        <v>1663</v>
      </c>
      <c r="H186" s="77" t="s">
        <v>2094</v>
      </c>
      <c r="L186" s="55" t="str">
        <f t="shared" si="7"/>
        <v>{1},{3}</v>
      </c>
      <c r="M186" s="55" t="s">
        <v>362</v>
      </c>
      <c r="O186" s="54">
        <v>201</v>
      </c>
      <c r="P186" s="54" t="s">
        <v>885</v>
      </c>
      <c r="Q186" s="60">
        <v>2</v>
      </c>
      <c r="R186" s="54" t="s">
        <v>872</v>
      </c>
      <c r="T186" s="55" t="str">
        <f t="shared" si="8"/>
        <v>{201,450},{2,15750}</v>
      </c>
      <c r="U186" s="55" t="s">
        <v>902</v>
      </c>
    </row>
    <row r="187" spans="1:21">
      <c r="A187" s="53">
        <v>83</v>
      </c>
      <c r="B187" s="53">
        <v>1002</v>
      </c>
      <c r="C187" s="53" t="s">
        <v>61</v>
      </c>
      <c r="D187" s="54" t="s">
        <v>858</v>
      </c>
      <c r="E187" s="54" t="s">
        <v>1077</v>
      </c>
      <c r="F187" s="54" t="s">
        <v>873</v>
      </c>
      <c r="G187" s="77" t="s">
        <v>1664</v>
      </c>
      <c r="H187" s="77" t="s">
        <v>2095</v>
      </c>
      <c r="L187" s="55" t="str">
        <f t="shared" si="7"/>
        <v>{1},{3}</v>
      </c>
      <c r="M187" s="55" t="s">
        <v>363</v>
      </c>
      <c r="O187" s="54">
        <v>201</v>
      </c>
      <c r="P187" s="54" t="s">
        <v>885</v>
      </c>
      <c r="Q187" s="60">
        <v>2</v>
      </c>
      <c r="R187" s="54" t="s">
        <v>872</v>
      </c>
      <c r="T187" s="55" t="str">
        <f t="shared" si="8"/>
        <v>{201,450},{2,15750}</v>
      </c>
      <c r="U187" s="55" t="s">
        <v>902</v>
      </c>
    </row>
    <row r="188" spans="1:21">
      <c r="A188" s="53">
        <v>84</v>
      </c>
      <c r="B188" s="53">
        <v>1002</v>
      </c>
      <c r="C188" s="53" t="s">
        <v>61</v>
      </c>
      <c r="D188" s="54" t="s">
        <v>858</v>
      </c>
      <c r="E188" s="54" t="s">
        <v>1078</v>
      </c>
      <c r="F188" s="54" t="s">
        <v>873</v>
      </c>
      <c r="G188" s="77" t="s">
        <v>1665</v>
      </c>
      <c r="H188" s="77" t="s">
        <v>2096</v>
      </c>
      <c r="L188" s="55" t="str">
        <f t="shared" si="7"/>
        <v>{1},{3}</v>
      </c>
      <c r="M188" s="55" t="s">
        <v>364</v>
      </c>
      <c r="O188" s="54">
        <v>201</v>
      </c>
      <c r="P188" s="54" t="s">
        <v>885</v>
      </c>
      <c r="Q188" s="60">
        <v>2</v>
      </c>
      <c r="R188" s="54" t="s">
        <v>872</v>
      </c>
      <c r="T188" s="55" t="str">
        <f t="shared" si="8"/>
        <v>{201,450},{2,15750}</v>
      </c>
      <c r="U188" s="55" t="s">
        <v>902</v>
      </c>
    </row>
    <row r="189" spans="1:21">
      <c r="A189" s="53">
        <v>85</v>
      </c>
      <c r="B189" s="53">
        <v>1002</v>
      </c>
      <c r="C189" s="53" t="s">
        <v>61</v>
      </c>
      <c r="D189" s="54" t="s">
        <v>858</v>
      </c>
      <c r="E189" s="54" t="s">
        <v>1079</v>
      </c>
      <c r="F189" s="54" t="s">
        <v>873</v>
      </c>
      <c r="G189" s="77" t="s">
        <v>1666</v>
      </c>
      <c r="H189" s="77" t="s">
        <v>1462</v>
      </c>
      <c r="L189" s="55" t="str">
        <f t="shared" si="7"/>
        <v>{1},{3}</v>
      </c>
      <c r="M189" s="55" t="s">
        <v>365</v>
      </c>
      <c r="O189" s="54">
        <v>201</v>
      </c>
      <c r="P189" s="54" t="s">
        <v>885</v>
      </c>
      <c r="Q189" s="60">
        <v>2</v>
      </c>
      <c r="R189" s="54" t="s">
        <v>872</v>
      </c>
      <c r="T189" s="55" t="str">
        <f t="shared" si="8"/>
        <v>{201,450},{2,15750}</v>
      </c>
      <c r="U189" s="55" t="s">
        <v>902</v>
      </c>
    </row>
    <row r="190" spans="1:21">
      <c r="A190" s="53">
        <v>86</v>
      </c>
      <c r="B190" s="53">
        <v>1002</v>
      </c>
      <c r="C190" s="53" t="s">
        <v>61</v>
      </c>
      <c r="D190" s="54" t="s">
        <v>858</v>
      </c>
      <c r="E190" s="54" t="s">
        <v>1080</v>
      </c>
      <c r="F190" s="54" t="s">
        <v>873</v>
      </c>
      <c r="G190" s="77" t="s">
        <v>1667</v>
      </c>
      <c r="H190" s="77" t="s">
        <v>1685</v>
      </c>
      <c r="L190" s="55" t="str">
        <f t="shared" si="7"/>
        <v>{1},{3}</v>
      </c>
      <c r="M190" s="55" t="s">
        <v>366</v>
      </c>
      <c r="O190" s="54">
        <v>201</v>
      </c>
      <c r="P190" s="54" t="s">
        <v>885</v>
      </c>
      <c r="Q190" s="60">
        <v>2</v>
      </c>
      <c r="R190" s="54" t="s">
        <v>872</v>
      </c>
      <c r="T190" s="55" t="str">
        <f t="shared" si="8"/>
        <v>{201,450},{2,15750}</v>
      </c>
      <c r="U190" s="55" t="s">
        <v>902</v>
      </c>
    </row>
    <row r="191" spans="1:21">
      <c r="A191" s="53">
        <v>87</v>
      </c>
      <c r="B191" s="53">
        <v>1002</v>
      </c>
      <c r="C191" s="53" t="s">
        <v>61</v>
      </c>
      <c r="D191" s="54" t="s">
        <v>858</v>
      </c>
      <c r="E191" s="54" t="s">
        <v>1081</v>
      </c>
      <c r="F191" s="54" t="s">
        <v>873</v>
      </c>
      <c r="G191" s="77" t="s">
        <v>1668</v>
      </c>
      <c r="H191" s="77" t="s">
        <v>2097</v>
      </c>
      <c r="L191" s="55" t="str">
        <f t="shared" si="7"/>
        <v>{1},{3}</v>
      </c>
      <c r="M191" s="55" t="s">
        <v>367</v>
      </c>
      <c r="O191" s="54">
        <v>201</v>
      </c>
      <c r="P191" s="54" t="s">
        <v>885</v>
      </c>
      <c r="Q191" s="60">
        <v>2</v>
      </c>
      <c r="R191" s="54" t="s">
        <v>872</v>
      </c>
      <c r="T191" s="55" t="str">
        <f t="shared" si="8"/>
        <v>{201,450},{2,15750}</v>
      </c>
      <c r="U191" s="55" t="s">
        <v>902</v>
      </c>
    </row>
    <row r="192" spans="1:21">
      <c r="A192" s="53">
        <v>88</v>
      </c>
      <c r="B192" s="53">
        <v>1002</v>
      </c>
      <c r="C192" s="53" t="s">
        <v>61</v>
      </c>
      <c r="D192" s="54" t="s">
        <v>858</v>
      </c>
      <c r="E192" s="54" t="s">
        <v>1082</v>
      </c>
      <c r="F192" s="54" t="s">
        <v>873</v>
      </c>
      <c r="G192" s="77" t="s">
        <v>1669</v>
      </c>
      <c r="H192" s="77" t="s">
        <v>1849</v>
      </c>
      <c r="L192" s="55" t="str">
        <f t="shared" si="7"/>
        <v>{1},{3}</v>
      </c>
      <c r="M192" s="55" t="s">
        <v>368</v>
      </c>
      <c r="O192" s="54">
        <v>201</v>
      </c>
      <c r="P192" s="54" t="s">
        <v>885</v>
      </c>
      <c r="Q192" s="60">
        <v>2</v>
      </c>
      <c r="R192" s="54" t="s">
        <v>872</v>
      </c>
      <c r="T192" s="55" t="str">
        <f t="shared" si="8"/>
        <v>{201,450},{2,15750}</v>
      </c>
      <c r="U192" s="55" t="s">
        <v>902</v>
      </c>
    </row>
    <row r="193" spans="1:21">
      <c r="A193" s="53">
        <v>89</v>
      </c>
      <c r="B193" s="53">
        <v>1002</v>
      </c>
      <c r="C193" s="53" t="s">
        <v>61</v>
      </c>
      <c r="D193" s="54" t="s">
        <v>858</v>
      </c>
      <c r="E193" s="54" t="s">
        <v>1083</v>
      </c>
      <c r="F193" s="54" t="s">
        <v>873</v>
      </c>
      <c r="G193" s="77" t="s">
        <v>1670</v>
      </c>
      <c r="H193" s="77" t="s">
        <v>2098</v>
      </c>
      <c r="L193" s="55" t="str">
        <f t="shared" si="7"/>
        <v>{1},{3}</v>
      </c>
      <c r="M193" s="55" t="s">
        <v>369</v>
      </c>
      <c r="O193" s="54">
        <v>201</v>
      </c>
      <c r="P193" s="54" t="s">
        <v>885</v>
      </c>
      <c r="Q193" s="60">
        <v>2</v>
      </c>
      <c r="R193" s="54" t="s">
        <v>872</v>
      </c>
      <c r="T193" s="55" t="str">
        <f t="shared" si="8"/>
        <v>{201,450},{2,15750}</v>
      </c>
      <c r="U193" s="55" t="s">
        <v>902</v>
      </c>
    </row>
    <row r="194" spans="1:21">
      <c r="A194" s="53">
        <v>90</v>
      </c>
      <c r="B194" s="53">
        <v>1002</v>
      </c>
      <c r="C194" s="53" t="s">
        <v>61</v>
      </c>
      <c r="D194" s="54" t="s">
        <v>858</v>
      </c>
      <c r="E194" s="54" t="s">
        <v>1084</v>
      </c>
      <c r="F194" s="54" t="s">
        <v>873</v>
      </c>
      <c r="G194" s="77" t="s">
        <v>1671</v>
      </c>
      <c r="H194" s="77" t="s">
        <v>2099</v>
      </c>
      <c r="L194" s="55" t="str">
        <f t="shared" si="7"/>
        <v>{1},{3}</v>
      </c>
      <c r="M194" s="55" t="s">
        <v>370</v>
      </c>
      <c r="O194" s="54">
        <v>201</v>
      </c>
      <c r="P194" s="54" t="s">
        <v>885</v>
      </c>
      <c r="Q194" s="60">
        <v>2</v>
      </c>
      <c r="R194" s="54" t="s">
        <v>872</v>
      </c>
      <c r="T194" s="55" t="str">
        <f t="shared" si="8"/>
        <v>{201,450},{2,15750}</v>
      </c>
      <c r="U194" s="55" t="s">
        <v>902</v>
      </c>
    </row>
    <row r="195" spans="1:21">
      <c r="A195" s="53">
        <v>91</v>
      </c>
      <c r="B195" s="53">
        <v>1002</v>
      </c>
      <c r="C195" s="53" t="s">
        <v>61</v>
      </c>
      <c r="D195" s="54" t="s">
        <v>858</v>
      </c>
      <c r="E195" s="54" t="s">
        <v>1085</v>
      </c>
      <c r="F195" s="54" t="s">
        <v>873</v>
      </c>
      <c r="G195" s="77" t="s">
        <v>1672</v>
      </c>
      <c r="H195" s="77" t="s">
        <v>1463</v>
      </c>
      <c r="L195" s="55" t="str">
        <f t="shared" si="7"/>
        <v>{1},{3}</v>
      </c>
      <c r="M195" s="55" t="s">
        <v>371</v>
      </c>
      <c r="O195" s="54">
        <v>201</v>
      </c>
      <c r="P195" s="54" t="s">
        <v>885</v>
      </c>
      <c r="Q195" s="60">
        <v>2</v>
      </c>
      <c r="R195" s="54" t="s">
        <v>872</v>
      </c>
      <c r="T195" s="55" t="str">
        <f t="shared" si="8"/>
        <v>{201,450},{2,15750}</v>
      </c>
      <c r="U195" s="55" t="s">
        <v>902</v>
      </c>
    </row>
    <row r="196" spans="1:21">
      <c r="A196" s="53">
        <v>92</v>
      </c>
      <c r="B196" s="53">
        <v>1002</v>
      </c>
      <c r="C196" s="53" t="s">
        <v>61</v>
      </c>
      <c r="D196" s="54" t="s">
        <v>858</v>
      </c>
      <c r="E196" s="54" t="s">
        <v>1086</v>
      </c>
      <c r="F196" s="54" t="s">
        <v>873</v>
      </c>
      <c r="G196" s="77" t="s">
        <v>1673</v>
      </c>
      <c r="H196" s="77" t="s">
        <v>2100</v>
      </c>
      <c r="L196" s="55" t="str">
        <f t="shared" si="7"/>
        <v>{1},{3}</v>
      </c>
      <c r="M196" s="55" t="s">
        <v>372</v>
      </c>
      <c r="O196" s="54">
        <v>201</v>
      </c>
      <c r="P196" s="54" t="s">
        <v>885</v>
      </c>
      <c r="Q196" s="60">
        <v>2</v>
      </c>
      <c r="R196" s="54" t="s">
        <v>872</v>
      </c>
      <c r="T196" s="55" t="str">
        <f t="shared" si="8"/>
        <v>{201,450},{2,15750}</v>
      </c>
      <c r="U196" s="55" t="s">
        <v>902</v>
      </c>
    </row>
    <row r="197" spans="1:21">
      <c r="A197" s="53">
        <v>93</v>
      </c>
      <c r="B197" s="53">
        <v>1002</v>
      </c>
      <c r="C197" s="53" t="s">
        <v>61</v>
      </c>
      <c r="D197" s="54" t="s">
        <v>858</v>
      </c>
      <c r="E197" s="54" t="s">
        <v>1087</v>
      </c>
      <c r="F197" s="54" t="s">
        <v>873</v>
      </c>
      <c r="G197" s="77" t="s">
        <v>1674</v>
      </c>
      <c r="H197" s="77" t="s">
        <v>2101</v>
      </c>
      <c r="L197" s="55" t="str">
        <f t="shared" si="7"/>
        <v>{1},{3}</v>
      </c>
      <c r="M197" s="55" t="s">
        <v>373</v>
      </c>
      <c r="O197" s="54">
        <v>201</v>
      </c>
      <c r="P197" s="54" t="s">
        <v>885</v>
      </c>
      <c r="Q197" s="60">
        <v>2</v>
      </c>
      <c r="R197" s="54" t="s">
        <v>872</v>
      </c>
      <c r="T197" s="55" t="str">
        <f t="shared" si="8"/>
        <v>{201,450},{2,15750}</v>
      </c>
      <c r="U197" s="55" t="s">
        <v>902</v>
      </c>
    </row>
    <row r="198" spans="1:21">
      <c r="A198" s="53">
        <v>94</v>
      </c>
      <c r="B198" s="53">
        <v>1002</v>
      </c>
      <c r="C198" s="53" t="s">
        <v>61</v>
      </c>
      <c r="D198" s="54" t="s">
        <v>858</v>
      </c>
      <c r="E198" s="54" t="s">
        <v>1088</v>
      </c>
      <c r="F198" s="54" t="s">
        <v>873</v>
      </c>
      <c r="G198" s="77" t="s">
        <v>1675</v>
      </c>
      <c r="H198" s="77" t="s">
        <v>1606</v>
      </c>
      <c r="L198" s="55" t="str">
        <f t="shared" ref="L198:L261" si="9">"{"&amp;D198&amp;"}"&amp;","&amp;"{"&amp;F198&amp;"}"</f>
        <v>{1},{3}</v>
      </c>
      <c r="M198" s="55" t="s">
        <v>374</v>
      </c>
      <c r="O198" s="54">
        <v>201</v>
      </c>
      <c r="P198" s="54" t="s">
        <v>885</v>
      </c>
      <c r="Q198" s="60">
        <v>2</v>
      </c>
      <c r="R198" s="54" t="s">
        <v>872</v>
      </c>
      <c r="T198" s="55" t="str">
        <f t="shared" ref="T198:T261" si="10">"{"&amp;O198&amp;","&amp;P198&amp;"}"&amp;","&amp;"{"&amp;Q198&amp;","&amp;R198&amp;"}"</f>
        <v>{201,450},{2,15750}</v>
      </c>
      <c r="U198" s="55" t="s">
        <v>902</v>
      </c>
    </row>
    <row r="199" spans="1:21">
      <c r="A199" s="53">
        <v>95</v>
      </c>
      <c r="B199" s="53">
        <v>1002</v>
      </c>
      <c r="C199" s="53" t="s">
        <v>61</v>
      </c>
      <c r="D199" s="54" t="s">
        <v>858</v>
      </c>
      <c r="E199" s="54" t="s">
        <v>1089</v>
      </c>
      <c r="F199" s="54" t="s">
        <v>873</v>
      </c>
      <c r="G199" s="77" t="s">
        <v>1676</v>
      </c>
      <c r="H199" s="77" t="s">
        <v>2102</v>
      </c>
      <c r="L199" s="55" t="str">
        <f t="shared" si="9"/>
        <v>{1},{3}</v>
      </c>
      <c r="M199" s="55" t="s">
        <v>375</v>
      </c>
      <c r="O199" s="54">
        <v>201</v>
      </c>
      <c r="P199" s="54" t="s">
        <v>885</v>
      </c>
      <c r="Q199" s="60">
        <v>2</v>
      </c>
      <c r="R199" s="54" t="s">
        <v>872</v>
      </c>
      <c r="T199" s="55" t="str">
        <f t="shared" si="10"/>
        <v>{201,450},{2,15750}</v>
      </c>
      <c r="U199" s="55" t="s">
        <v>902</v>
      </c>
    </row>
    <row r="200" spans="1:21">
      <c r="A200" s="53">
        <v>96</v>
      </c>
      <c r="B200" s="53">
        <v>1002</v>
      </c>
      <c r="C200" s="53" t="s">
        <v>61</v>
      </c>
      <c r="D200" s="54" t="s">
        <v>858</v>
      </c>
      <c r="E200" s="54" t="s">
        <v>1090</v>
      </c>
      <c r="F200" s="54" t="s">
        <v>873</v>
      </c>
      <c r="G200" s="77" t="s">
        <v>1677</v>
      </c>
      <c r="H200" s="77" t="s">
        <v>1686</v>
      </c>
      <c r="L200" s="55" t="str">
        <f t="shared" si="9"/>
        <v>{1},{3}</v>
      </c>
      <c r="M200" s="55" t="s">
        <v>376</v>
      </c>
      <c r="O200" s="54">
        <v>201</v>
      </c>
      <c r="P200" s="54" t="s">
        <v>885</v>
      </c>
      <c r="Q200" s="60">
        <v>2</v>
      </c>
      <c r="R200" s="54" t="s">
        <v>872</v>
      </c>
      <c r="T200" s="55" t="str">
        <f t="shared" si="10"/>
        <v>{201,450},{2,15750}</v>
      </c>
      <c r="U200" s="55" t="s">
        <v>902</v>
      </c>
    </row>
    <row r="201" spans="1:21">
      <c r="A201" s="53">
        <v>97</v>
      </c>
      <c r="B201" s="53">
        <v>1002</v>
      </c>
      <c r="C201" s="53" t="s">
        <v>61</v>
      </c>
      <c r="D201" s="54" t="s">
        <v>858</v>
      </c>
      <c r="E201" s="54" t="s">
        <v>1091</v>
      </c>
      <c r="F201" s="54" t="s">
        <v>873</v>
      </c>
      <c r="G201" s="77" t="s">
        <v>1678</v>
      </c>
      <c r="H201" s="77" t="s">
        <v>1464</v>
      </c>
      <c r="L201" s="55" t="str">
        <f t="shared" si="9"/>
        <v>{1},{3}</v>
      </c>
      <c r="M201" s="55" t="s">
        <v>377</v>
      </c>
      <c r="O201" s="54">
        <v>201</v>
      </c>
      <c r="P201" s="54" t="s">
        <v>885</v>
      </c>
      <c r="Q201" s="60">
        <v>2</v>
      </c>
      <c r="R201" s="54" t="s">
        <v>872</v>
      </c>
      <c r="T201" s="55" t="str">
        <f t="shared" si="10"/>
        <v>{201,450},{2,15750}</v>
      </c>
      <c r="U201" s="55" t="s">
        <v>902</v>
      </c>
    </row>
    <row r="202" spans="1:21">
      <c r="A202" s="53">
        <v>98</v>
      </c>
      <c r="B202" s="53">
        <v>1002</v>
      </c>
      <c r="C202" s="53" t="s">
        <v>61</v>
      </c>
      <c r="D202" s="54" t="s">
        <v>858</v>
      </c>
      <c r="E202" s="54" t="s">
        <v>1092</v>
      </c>
      <c r="F202" s="54" t="s">
        <v>873</v>
      </c>
      <c r="G202" s="77" t="s">
        <v>1679</v>
      </c>
      <c r="H202" s="77" t="s">
        <v>2103</v>
      </c>
      <c r="L202" s="55" t="str">
        <f t="shared" si="9"/>
        <v>{1},{3}</v>
      </c>
      <c r="M202" s="55" t="s">
        <v>378</v>
      </c>
      <c r="O202" s="54">
        <v>201</v>
      </c>
      <c r="P202" s="54" t="s">
        <v>885</v>
      </c>
      <c r="Q202" s="60">
        <v>2</v>
      </c>
      <c r="R202" s="54" t="s">
        <v>872</v>
      </c>
      <c r="T202" s="55" t="str">
        <f t="shared" si="10"/>
        <v>{201,450},{2,15750}</v>
      </c>
      <c r="U202" s="55" t="s">
        <v>902</v>
      </c>
    </row>
    <row r="203" spans="1:21">
      <c r="A203" s="53">
        <v>99</v>
      </c>
      <c r="B203" s="53">
        <v>1002</v>
      </c>
      <c r="C203" s="53" t="s">
        <v>61</v>
      </c>
      <c r="D203" s="54" t="s">
        <v>858</v>
      </c>
      <c r="E203" s="54" t="s">
        <v>1093</v>
      </c>
      <c r="F203" s="54" t="s">
        <v>873</v>
      </c>
      <c r="G203" s="77" t="s">
        <v>1680</v>
      </c>
      <c r="H203" s="77" t="s">
        <v>2104</v>
      </c>
      <c r="L203" s="55" t="str">
        <f t="shared" si="9"/>
        <v>{1},{3}</v>
      </c>
      <c r="M203" s="55" t="s">
        <v>379</v>
      </c>
      <c r="O203" s="54">
        <v>201</v>
      </c>
      <c r="P203" s="54" t="s">
        <v>885</v>
      </c>
      <c r="Q203" s="60">
        <v>2</v>
      </c>
      <c r="R203" s="54" t="s">
        <v>872</v>
      </c>
      <c r="T203" s="55" t="str">
        <f t="shared" si="10"/>
        <v>{201,450},{2,15750}</v>
      </c>
      <c r="U203" s="55" t="s">
        <v>902</v>
      </c>
    </row>
    <row r="204" spans="1:21" s="57" customFormat="1">
      <c r="A204" s="56">
        <v>100</v>
      </c>
      <c r="B204" s="56">
        <v>1002</v>
      </c>
      <c r="C204" s="53"/>
      <c r="D204" s="54" t="s">
        <v>858</v>
      </c>
      <c r="E204" s="54" t="s">
        <v>1094</v>
      </c>
      <c r="F204" s="58" t="s">
        <v>873</v>
      </c>
      <c r="G204" s="79" t="s">
        <v>1681</v>
      </c>
      <c r="H204" s="77" t="s">
        <v>1226</v>
      </c>
      <c r="I204" s="79"/>
      <c r="J204" s="79"/>
      <c r="L204" s="55" t="str">
        <f t="shared" si="9"/>
        <v>{1},{3}</v>
      </c>
      <c r="M204" s="57" t="s">
        <v>380</v>
      </c>
      <c r="Q204" s="60"/>
      <c r="T204" s="55" t="str">
        <f t="shared" si="10"/>
        <v>{,},{,}</v>
      </c>
      <c r="U204" s="57" t="s">
        <v>903</v>
      </c>
    </row>
    <row r="205" spans="1:21">
      <c r="A205" s="55">
        <v>1</v>
      </c>
      <c r="B205" s="55">
        <v>1003</v>
      </c>
      <c r="C205" s="53" t="s">
        <v>46</v>
      </c>
      <c r="D205" s="54" t="s">
        <v>858</v>
      </c>
      <c r="E205" s="54" t="s">
        <v>884</v>
      </c>
      <c r="F205" s="54" t="s">
        <v>873</v>
      </c>
      <c r="G205" s="77" t="s">
        <v>912</v>
      </c>
      <c r="L205" s="55" t="str">
        <f t="shared" si="9"/>
        <v>{1},{3}</v>
      </c>
      <c r="M205" s="55" t="s">
        <v>198</v>
      </c>
      <c r="O205" s="54">
        <v>201</v>
      </c>
      <c r="P205" s="54" t="s">
        <v>874</v>
      </c>
      <c r="Q205" s="60">
        <v>2</v>
      </c>
      <c r="R205" s="54" t="s">
        <v>859</v>
      </c>
      <c r="T205" s="55" t="str">
        <f t="shared" si="10"/>
        <v>{201,20},{2,400}</v>
      </c>
      <c r="U205" s="55" t="s">
        <v>887</v>
      </c>
    </row>
    <row r="206" spans="1:21">
      <c r="A206" s="55">
        <v>2</v>
      </c>
      <c r="B206" s="55">
        <v>1003</v>
      </c>
      <c r="C206" s="53" t="s">
        <v>47</v>
      </c>
      <c r="D206" s="54" t="s">
        <v>858</v>
      </c>
      <c r="E206" s="54" t="s">
        <v>1009</v>
      </c>
      <c r="F206" s="54" t="s">
        <v>873</v>
      </c>
      <c r="G206" s="77" t="s">
        <v>1604</v>
      </c>
      <c r="L206" s="55" t="str">
        <f t="shared" si="9"/>
        <v>{1},{3}</v>
      </c>
      <c r="M206" s="55" t="s">
        <v>293</v>
      </c>
      <c r="O206" s="54">
        <v>201</v>
      </c>
      <c r="P206" s="54" t="s">
        <v>875</v>
      </c>
      <c r="Q206" s="60">
        <v>2</v>
      </c>
      <c r="R206" s="54" t="s">
        <v>860</v>
      </c>
      <c r="T206" s="55" t="str">
        <f t="shared" si="10"/>
        <v>{201,22},{2,440}</v>
      </c>
      <c r="U206" s="55" t="s">
        <v>888</v>
      </c>
    </row>
    <row r="207" spans="1:21">
      <c r="A207" s="55">
        <v>3</v>
      </c>
      <c r="B207" s="55">
        <v>1003</v>
      </c>
      <c r="C207" s="53" t="s">
        <v>48</v>
      </c>
      <c r="D207" s="54" t="s">
        <v>858</v>
      </c>
      <c r="E207" s="54" t="s">
        <v>922</v>
      </c>
      <c r="F207" s="54" t="s">
        <v>873</v>
      </c>
      <c r="G207" s="77" t="s">
        <v>1112</v>
      </c>
      <c r="L207" s="55" t="str">
        <f t="shared" si="9"/>
        <v>{1},{3}</v>
      </c>
      <c r="M207" s="55" t="s">
        <v>201</v>
      </c>
      <c r="O207" s="54">
        <v>201</v>
      </c>
      <c r="P207" s="54" t="s">
        <v>876</v>
      </c>
      <c r="Q207" s="60">
        <v>2</v>
      </c>
      <c r="R207" s="54" t="s">
        <v>861</v>
      </c>
      <c r="T207" s="55" t="str">
        <f t="shared" si="10"/>
        <v>{201,24},{2,480}</v>
      </c>
      <c r="U207" s="55" t="s">
        <v>889</v>
      </c>
    </row>
    <row r="208" spans="1:21">
      <c r="A208" s="55">
        <v>4</v>
      </c>
      <c r="B208" s="55">
        <v>1003</v>
      </c>
      <c r="C208" s="53" t="s">
        <v>49</v>
      </c>
      <c r="D208" s="54" t="s">
        <v>858</v>
      </c>
      <c r="E208" s="54" t="s">
        <v>1010</v>
      </c>
      <c r="F208" s="54" t="s">
        <v>873</v>
      </c>
      <c r="G208" s="77" t="s">
        <v>1605</v>
      </c>
      <c r="L208" s="55" t="str">
        <f t="shared" si="9"/>
        <v>{1},{3}</v>
      </c>
      <c r="M208" s="55" t="s">
        <v>294</v>
      </c>
      <c r="O208" s="54">
        <v>201</v>
      </c>
      <c r="P208" s="54" t="s">
        <v>877</v>
      </c>
      <c r="Q208" s="60">
        <v>2</v>
      </c>
      <c r="R208" s="54" t="s">
        <v>862</v>
      </c>
      <c r="T208" s="55" t="str">
        <f t="shared" si="10"/>
        <v>{201,25},{2,500}</v>
      </c>
      <c r="U208" s="55" t="s">
        <v>890</v>
      </c>
    </row>
    <row r="209" spans="1:21">
      <c r="A209" s="55">
        <v>5</v>
      </c>
      <c r="B209" s="55">
        <v>1003</v>
      </c>
      <c r="C209" s="53" t="s">
        <v>50</v>
      </c>
      <c r="D209" s="54" t="s">
        <v>858</v>
      </c>
      <c r="E209" s="54" t="s">
        <v>924</v>
      </c>
      <c r="F209" s="54" t="s">
        <v>873</v>
      </c>
      <c r="G209" s="77" t="s">
        <v>1295</v>
      </c>
      <c r="L209" s="55" t="str">
        <f t="shared" si="9"/>
        <v>{1},{3}</v>
      </c>
      <c r="M209" s="55" t="s">
        <v>204</v>
      </c>
      <c r="O209" s="54">
        <v>201</v>
      </c>
      <c r="P209" s="54" t="s">
        <v>878</v>
      </c>
      <c r="Q209" s="60">
        <v>2</v>
      </c>
      <c r="R209" s="54" t="s">
        <v>863</v>
      </c>
      <c r="T209" s="55" t="str">
        <f t="shared" si="10"/>
        <v>{201,27},{2,540}</v>
      </c>
      <c r="U209" s="55" t="s">
        <v>891</v>
      </c>
    </row>
    <row r="210" spans="1:21">
      <c r="A210" s="55">
        <v>6</v>
      </c>
      <c r="B210" s="55">
        <v>1003</v>
      </c>
      <c r="C210" s="53" t="s">
        <v>51</v>
      </c>
      <c r="D210" s="54" t="s">
        <v>858</v>
      </c>
      <c r="E210" s="54" t="s">
        <v>885</v>
      </c>
      <c r="F210" s="54" t="s">
        <v>873</v>
      </c>
      <c r="G210" s="77" t="s">
        <v>1453</v>
      </c>
      <c r="L210" s="55" t="str">
        <f t="shared" si="9"/>
        <v>{1},{3}</v>
      </c>
      <c r="M210" s="55" t="s">
        <v>295</v>
      </c>
      <c r="O210" s="54">
        <v>201</v>
      </c>
      <c r="P210" s="54" t="s">
        <v>879</v>
      </c>
      <c r="Q210" s="60">
        <v>2</v>
      </c>
      <c r="R210" s="54" t="s">
        <v>864</v>
      </c>
      <c r="T210" s="55" t="str">
        <f t="shared" si="10"/>
        <v>{201,29},{2,580}</v>
      </c>
      <c r="U210" s="55" t="s">
        <v>892</v>
      </c>
    </row>
    <row r="211" spans="1:21">
      <c r="A211" s="55">
        <v>7</v>
      </c>
      <c r="B211" s="55">
        <v>1003</v>
      </c>
      <c r="C211" s="53" t="s">
        <v>52</v>
      </c>
      <c r="D211" s="54" t="s">
        <v>858</v>
      </c>
      <c r="E211" s="54" t="s">
        <v>861</v>
      </c>
      <c r="F211" s="54" t="s">
        <v>873</v>
      </c>
      <c r="G211" s="77" t="s">
        <v>1526</v>
      </c>
      <c r="L211" s="55" t="str">
        <f t="shared" si="9"/>
        <v>{1},{3}</v>
      </c>
      <c r="M211" s="55" t="s">
        <v>207</v>
      </c>
      <c r="O211" s="54">
        <v>201</v>
      </c>
      <c r="P211" s="54" t="s">
        <v>880</v>
      </c>
      <c r="Q211" s="60">
        <v>2</v>
      </c>
      <c r="R211" s="54" t="s">
        <v>865</v>
      </c>
      <c r="T211" s="55" t="str">
        <f t="shared" si="10"/>
        <v>{201,30},{2,600}</v>
      </c>
      <c r="U211" s="55" t="s">
        <v>893</v>
      </c>
    </row>
    <row r="212" spans="1:21">
      <c r="A212" s="55">
        <v>8</v>
      </c>
      <c r="B212" s="55">
        <v>1003</v>
      </c>
      <c r="C212" s="53" t="s">
        <v>53</v>
      </c>
      <c r="D212" s="54" t="s">
        <v>858</v>
      </c>
      <c r="E212" s="54" t="s">
        <v>1011</v>
      </c>
      <c r="F212" s="54" t="s">
        <v>873</v>
      </c>
      <c r="G212" s="77" t="s">
        <v>1456</v>
      </c>
      <c r="L212" s="55" t="str">
        <f t="shared" si="9"/>
        <v>{1},{3}</v>
      </c>
      <c r="M212" s="55" t="s">
        <v>296</v>
      </c>
      <c r="O212" s="54">
        <v>201</v>
      </c>
      <c r="P212" s="54" t="s">
        <v>881</v>
      </c>
      <c r="Q212" s="60">
        <v>2</v>
      </c>
      <c r="R212" s="54" t="s">
        <v>866</v>
      </c>
      <c r="T212" s="55" t="str">
        <f t="shared" si="10"/>
        <v>{201,50},{2,1000}</v>
      </c>
      <c r="U212" s="55" t="s">
        <v>894</v>
      </c>
    </row>
    <row r="213" spans="1:21">
      <c r="A213" s="55">
        <v>9</v>
      </c>
      <c r="B213" s="55">
        <v>1003</v>
      </c>
      <c r="C213" s="53" t="s">
        <v>53</v>
      </c>
      <c r="D213" s="54" t="s">
        <v>858</v>
      </c>
      <c r="E213" s="54" t="s">
        <v>863</v>
      </c>
      <c r="F213" s="54" t="s">
        <v>873</v>
      </c>
      <c r="G213" s="77" t="s">
        <v>1304</v>
      </c>
      <c r="L213" s="55" t="str">
        <f t="shared" si="9"/>
        <v>{1},{3}</v>
      </c>
      <c r="M213" s="55" t="s">
        <v>210</v>
      </c>
      <c r="O213" s="54">
        <v>201</v>
      </c>
      <c r="P213" s="54" t="s">
        <v>881</v>
      </c>
      <c r="Q213" s="60">
        <v>2</v>
      </c>
      <c r="R213" s="54" t="s">
        <v>866</v>
      </c>
      <c r="T213" s="55" t="str">
        <f t="shared" si="10"/>
        <v>{201,50},{2,1000}</v>
      </c>
      <c r="U213" s="55" t="s">
        <v>894</v>
      </c>
    </row>
    <row r="214" spans="1:21">
      <c r="A214" s="55">
        <v>10</v>
      </c>
      <c r="B214" s="55">
        <v>1003</v>
      </c>
      <c r="C214" s="53" t="s">
        <v>53</v>
      </c>
      <c r="D214" s="54" t="s">
        <v>858</v>
      </c>
      <c r="E214" s="54" t="s">
        <v>1012</v>
      </c>
      <c r="F214" s="54" t="s">
        <v>873</v>
      </c>
      <c r="G214" s="77" t="s">
        <v>1459</v>
      </c>
      <c r="L214" s="55" t="str">
        <f t="shared" si="9"/>
        <v>{1},{3}</v>
      </c>
      <c r="M214" s="55" t="s">
        <v>297</v>
      </c>
      <c r="O214" s="54">
        <v>201</v>
      </c>
      <c r="P214" s="54" t="s">
        <v>881</v>
      </c>
      <c r="Q214" s="60">
        <v>2</v>
      </c>
      <c r="R214" s="54" t="s">
        <v>866</v>
      </c>
      <c r="T214" s="55" t="str">
        <f t="shared" si="10"/>
        <v>{201,50},{2,1000}</v>
      </c>
      <c r="U214" s="55" t="s">
        <v>894</v>
      </c>
    </row>
    <row r="215" spans="1:21">
      <c r="A215" s="55">
        <v>11</v>
      </c>
      <c r="B215" s="55">
        <v>1003</v>
      </c>
      <c r="C215" s="53" t="s">
        <v>53</v>
      </c>
      <c r="D215" s="54" t="s">
        <v>858</v>
      </c>
      <c r="E215" s="54" t="s">
        <v>865</v>
      </c>
      <c r="F215" s="54" t="s">
        <v>873</v>
      </c>
      <c r="G215" s="77" t="s">
        <v>1127</v>
      </c>
      <c r="L215" s="55" t="str">
        <f t="shared" si="9"/>
        <v>{1},{3}</v>
      </c>
      <c r="M215" s="55" t="s">
        <v>298</v>
      </c>
      <c r="O215" s="54">
        <v>201</v>
      </c>
      <c r="P215" s="54" t="s">
        <v>881</v>
      </c>
      <c r="Q215" s="60">
        <v>2</v>
      </c>
      <c r="R215" s="54" t="s">
        <v>866</v>
      </c>
      <c r="T215" s="55" t="str">
        <f t="shared" si="10"/>
        <v>{201,50},{2,1000}</v>
      </c>
      <c r="U215" s="55" t="s">
        <v>894</v>
      </c>
    </row>
    <row r="216" spans="1:21">
      <c r="A216" s="55">
        <v>12</v>
      </c>
      <c r="B216" s="55">
        <v>1003</v>
      </c>
      <c r="C216" s="53" t="s">
        <v>53</v>
      </c>
      <c r="D216" s="54" t="s">
        <v>858</v>
      </c>
      <c r="E216" s="54" t="s">
        <v>1013</v>
      </c>
      <c r="F216" s="54" t="s">
        <v>873</v>
      </c>
      <c r="G216" s="77" t="s">
        <v>1462</v>
      </c>
      <c r="L216" s="55" t="str">
        <f t="shared" si="9"/>
        <v>{1},{3}</v>
      </c>
      <c r="M216" s="55" t="s">
        <v>299</v>
      </c>
      <c r="O216" s="54">
        <v>201</v>
      </c>
      <c r="P216" s="54" t="s">
        <v>881</v>
      </c>
      <c r="Q216" s="60">
        <v>2</v>
      </c>
      <c r="R216" s="54" t="s">
        <v>866</v>
      </c>
      <c r="T216" s="55" t="str">
        <f t="shared" si="10"/>
        <v>{201,50},{2,1000}</v>
      </c>
      <c r="U216" s="55" t="s">
        <v>894</v>
      </c>
    </row>
    <row r="217" spans="1:21">
      <c r="A217" s="55">
        <v>13</v>
      </c>
      <c r="B217" s="55">
        <v>1003</v>
      </c>
      <c r="C217" s="53" t="s">
        <v>53</v>
      </c>
      <c r="D217" s="54" t="s">
        <v>858</v>
      </c>
      <c r="E217" s="54" t="s">
        <v>1014</v>
      </c>
      <c r="F217" s="54" t="s">
        <v>873</v>
      </c>
      <c r="G217" s="77" t="s">
        <v>1606</v>
      </c>
      <c r="L217" s="55" t="str">
        <f t="shared" si="9"/>
        <v>{1},{3}</v>
      </c>
      <c r="M217" s="55" t="s">
        <v>300</v>
      </c>
      <c r="O217" s="54">
        <v>201</v>
      </c>
      <c r="P217" s="54" t="s">
        <v>881</v>
      </c>
      <c r="Q217" s="60">
        <v>2</v>
      </c>
      <c r="R217" s="54" t="s">
        <v>866</v>
      </c>
      <c r="T217" s="55" t="str">
        <f t="shared" si="10"/>
        <v>{201,50},{2,1000}</v>
      </c>
      <c r="U217" s="55" t="s">
        <v>894</v>
      </c>
    </row>
    <row r="218" spans="1:21">
      <c r="A218" s="55">
        <v>14</v>
      </c>
      <c r="B218" s="55">
        <v>1003</v>
      </c>
      <c r="C218" s="53" t="s">
        <v>53</v>
      </c>
      <c r="D218" s="54" t="s">
        <v>858</v>
      </c>
      <c r="E218" s="54" t="s">
        <v>1015</v>
      </c>
      <c r="F218" s="54" t="s">
        <v>873</v>
      </c>
      <c r="G218" s="77" t="s">
        <v>1305</v>
      </c>
      <c r="L218" s="55" t="str">
        <f t="shared" si="9"/>
        <v>{1},{3}</v>
      </c>
      <c r="M218" s="55" t="s">
        <v>301</v>
      </c>
      <c r="O218" s="54">
        <v>201</v>
      </c>
      <c r="P218" s="54" t="s">
        <v>881</v>
      </c>
      <c r="Q218" s="60">
        <v>2</v>
      </c>
      <c r="R218" s="54" t="s">
        <v>866</v>
      </c>
      <c r="T218" s="55" t="str">
        <f t="shared" si="10"/>
        <v>{201,50},{2,1000}</v>
      </c>
      <c r="U218" s="55" t="s">
        <v>894</v>
      </c>
    </row>
    <row r="219" spans="1:21">
      <c r="A219" s="55">
        <v>15</v>
      </c>
      <c r="B219" s="55">
        <v>1003</v>
      </c>
      <c r="C219" s="53" t="s">
        <v>53</v>
      </c>
      <c r="D219" s="54" t="s">
        <v>858</v>
      </c>
      <c r="E219" s="54" t="s">
        <v>1016</v>
      </c>
      <c r="F219" s="54" t="s">
        <v>873</v>
      </c>
      <c r="G219" s="77" t="s">
        <v>1607</v>
      </c>
      <c r="L219" s="55" t="str">
        <f t="shared" si="9"/>
        <v>{1},{3}</v>
      </c>
      <c r="M219" s="55" t="s">
        <v>302</v>
      </c>
      <c r="O219" s="54">
        <v>201</v>
      </c>
      <c r="P219" s="54" t="s">
        <v>881</v>
      </c>
      <c r="Q219" s="60">
        <v>2</v>
      </c>
      <c r="R219" s="54" t="s">
        <v>866</v>
      </c>
      <c r="T219" s="55" t="str">
        <f t="shared" si="10"/>
        <v>{201,50},{2,1000}</v>
      </c>
      <c r="U219" s="55" t="s">
        <v>894</v>
      </c>
    </row>
    <row r="220" spans="1:21">
      <c r="A220" s="55">
        <v>16</v>
      </c>
      <c r="B220" s="55">
        <v>1003</v>
      </c>
      <c r="C220" s="53" t="s">
        <v>53</v>
      </c>
      <c r="D220" s="54" t="s">
        <v>858</v>
      </c>
      <c r="E220" s="54" t="s">
        <v>1017</v>
      </c>
      <c r="F220" s="54" t="s">
        <v>873</v>
      </c>
      <c r="G220" s="77" t="s">
        <v>869</v>
      </c>
      <c r="L220" s="55" t="str">
        <f t="shared" si="9"/>
        <v>{1},{3}</v>
      </c>
      <c r="M220" s="55" t="s">
        <v>303</v>
      </c>
      <c r="O220" s="54">
        <v>201</v>
      </c>
      <c r="P220" s="54" t="s">
        <v>881</v>
      </c>
      <c r="Q220" s="60">
        <v>2</v>
      </c>
      <c r="R220" s="54" t="s">
        <v>866</v>
      </c>
      <c r="T220" s="55" t="str">
        <f t="shared" si="10"/>
        <v>{201,50},{2,1000}</v>
      </c>
      <c r="U220" s="55" t="s">
        <v>894</v>
      </c>
    </row>
    <row r="221" spans="1:21">
      <c r="A221" s="55">
        <v>17</v>
      </c>
      <c r="B221" s="55">
        <v>1003</v>
      </c>
      <c r="C221" s="53" t="s">
        <v>53</v>
      </c>
      <c r="D221" s="54" t="s">
        <v>858</v>
      </c>
      <c r="E221" s="54" t="s">
        <v>1018</v>
      </c>
      <c r="F221" s="54" t="s">
        <v>873</v>
      </c>
      <c r="G221" s="77" t="s">
        <v>1608</v>
      </c>
      <c r="L221" s="55" t="str">
        <f t="shared" si="9"/>
        <v>{1},{3}</v>
      </c>
      <c r="M221" s="55" t="s">
        <v>304</v>
      </c>
      <c r="O221" s="54">
        <v>201</v>
      </c>
      <c r="P221" s="54" t="s">
        <v>881</v>
      </c>
      <c r="Q221" s="60">
        <v>2</v>
      </c>
      <c r="R221" s="54" t="s">
        <v>866</v>
      </c>
      <c r="T221" s="55" t="str">
        <f t="shared" si="10"/>
        <v>{201,50},{2,1000}</v>
      </c>
      <c r="U221" s="55" t="s">
        <v>894</v>
      </c>
    </row>
    <row r="222" spans="1:21">
      <c r="A222" s="55">
        <v>18</v>
      </c>
      <c r="B222" s="55">
        <v>1003</v>
      </c>
      <c r="C222" s="53" t="s">
        <v>53</v>
      </c>
      <c r="D222" s="54" t="s">
        <v>858</v>
      </c>
      <c r="E222" s="54" t="s">
        <v>1019</v>
      </c>
      <c r="F222" s="54" t="s">
        <v>873</v>
      </c>
      <c r="G222" s="77" t="s">
        <v>1310</v>
      </c>
      <c r="L222" s="55" t="str">
        <f t="shared" si="9"/>
        <v>{1},{3}</v>
      </c>
      <c r="M222" s="55" t="s">
        <v>305</v>
      </c>
      <c r="O222" s="54">
        <v>201</v>
      </c>
      <c r="P222" s="54" t="s">
        <v>881</v>
      </c>
      <c r="Q222" s="60">
        <v>2</v>
      </c>
      <c r="R222" s="54" t="s">
        <v>866</v>
      </c>
      <c r="T222" s="55" t="str">
        <f t="shared" si="10"/>
        <v>{201,50},{2,1000}</v>
      </c>
      <c r="U222" s="55" t="s">
        <v>894</v>
      </c>
    </row>
    <row r="223" spans="1:21">
      <c r="A223" s="55">
        <v>19</v>
      </c>
      <c r="B223" s="55">
        <v>1003</v>
      </c>
      <c r="C223" s="53" t="s">
        <v>53</v>
      </c>
      <c r="D223" s="54" t="s">
        <v>858</v>
      </c>
      <c r="E223" s="54" t="s">
        <v>1020</v>
      </c>
      <c r="F223" s="54" t="s">
        <v>873</v>
      </c>
      <c r="G223" s="77" t="s">
        <v>1236</v>
      </c>
      <c r="L223" s="55" t="str">
        <f t="shared" si="9"/>
        <v>{1},{3}</v>
      </c>
      <c r="M223" s="55" t="s">
        <v>306</v>
      </c>
      <c r="O223" s="54">
        <v>201</v>
      </c>
      <c r="P223" s="54" t="s">
        <v>881</v>
      </c>
      <c r="Q223" s="60">
        <v>2</v>
      </c>
      <c r="R223" s="54" t="s">
        <v>866</v>
      </c>
      <c r="T223" s="55" t="str">
        <f t="shared" si="10"/>
        <v>{201,50},{2,1000}</v>
      </c>
      <c r="U223" s="55" t="s">
        <v>894</v>
      </c>
    </row>
    <row r="224" spans="1:21" s="63" customFormat="1">
      <c r="A224" s="63">
        <v>20</v>
      </c>
      <c r="B224" s="63">
        <v>1003</v>
      </c>
      <c r="C224" s="61" t="s">
        <v>54</v>
      </c>
      <c r="D224" s="62" t="s">
        <v>858</v>
      </c>
      <c r="E224" s="62" t="s">
        <v>1021</v>
      </c>
      <c r="F224" s="62" t="s">
        <v>873</v>
      </c>
      <c r="G224" s="78" t="s">
        <v>1609</v>
      </c>
      <c r="H224" s="78"/>
      <c r="I224" s="78"/>
      <c r="J224" s="78"/>
      <c r="L224" s="63" t="str">
        <f t="shared" si="9"/>
        <v>{1},{3}</v>
      </c>
      <c r="M224" s="63" t="s">
        <v>307</v>
      </c>
      <c r="O224" s="62" t="s">
        <v>886</v>
      </c>
      <c r="P224" s="62" t="s">
        <v>881</v>
      </c>
      <c r="Q224" s="64">
        <v>2</v>
      </c>
      <c r="R224" s="62" t="s">
        <v>866</v>
      </c>
      <c r="T224" s="55" t="str">
        <f t="shared" si="10"/>
        <v>{301,50},{2,1000}</v>
      </c>
      <c r="U224" s="63" t="s">
        <v>895</v>
      </c>
    </row>
    <row r="225" spans="1:21">
      <c r="A225" s="55">
        <v>21</v>
      </c>
      <c r="B225" s="55">
        <v>1003</v>
      </c>
      <c r="C225" s="53" t="s">
        <v>55</v>
      </c>
      <c r="D225" s="54" t="s">
        <v>858</v>
      </c>
      <c r="E225" s="54" t="s">
        <v>1022</v>
      </c>
      <c r="F225" s="54" t="s">
        <v>873</v>
      </c>
      <c r="G225" s="77" t="s">
        <v>1610</v>
      </c>
      <c r="L225" s="55" t="str">
        <f t="shared" si="9"/>
        <v>{1},{3}</v>
      </c>
      <c r="M225" s="55" t="s">
        <v>308</v>
      </c>
      <c r="O225" s="54">
        <v>201</v>
      </c>
      <c r="P225" s="54" t="s">
        <v>882</v>
      </c>
      <c r="Q225" s="60">
        <v>2</v>
      </c>
      <c r="R225" s="54" t="s">
        <v>867</v>
      </c>
      <c r="T225" s="55" t="str">
        <f t="shared" si="10"/>
        <v>{201,100},{2,2000}</v>
      </c>
      <c r="U225" s="55" t="s">
        <v>896</v>
      </c>
    </row>
    <row r="226" spans="1:21">
      <c r="A226" s="55">
        <v>22</v>
      </c>
      <c r="B226" s="55">
        <v>1003</v>
      </c>
      <c r="C226" s="53" t="s">
        <v>55</v>
      </c>
      <c r="D226" s="54" t="s">
        <v>858</v>
      </c>
      <c r="E226" s="54" t="s">
        <v>1023</v>
      </c>
      <c r="F226" s="54" t="s">
        <v>873</v>
      </c>
      <c r="G226" s="77" t="s">
        <v>1611</v>
      </c>
      <c r="L226" s="55" t="str">
        <f t="shared" si="9"/>
        <v>{1},{3}</v>
      </c>
      <c r="M226" s="55" t="s">
        <v>309</v>
      </c>
      <c r="O226" s="54">
        <v>201</v>
      </c>
      <c r="P226" s="54" t="s">
        <v>882</v>
      </c>
      <c r="Q226" s="60">
        <v>2</v>
      </c>
      <c r="R226" s="54" t="s">
        <v>867</v>
      </c>
      <c r="T226" s="55" t="str">
        <f t="shared" si="10"/>
        <v>{201,100},{2,2000}</v>
      </c>
      <c r="U226" s="55" t="s">
        <v>896</v>
      </c>
    </row>
    <row r="227" spans="1:21">
      <c r="A227" s="55">
        <v>23</v>
      </c>
      <c r="B227" s="55">
        <v>1003</v>
      </c>
      <c r="C227" s="53" t="s">
        <v>55</v>
      </c>
      <c r="D227" s="54" t="s">
        <v>858</v>
      </c>
      <c r="E227" s="54" t="s">
        <v>1024</v>
      </c>
      <c r="F227" s="54" t="s">
        <v>873</v>
      </c>
      <c r="G227" s="77" t="s">
        <v>1612</v>
      </c>
      <c r="L227" s="55" t="str">
        <f t="shared" si="9"/>
        <v>{1},{3}</v>
      </c>
      <c r="M227" s="55" t="s">
        <v>310</v>
      </c>
      <c r="O227" s="54">
        <v>201</v>
      </c>
      <c r="P227" s="54" t="s">
        <v>882</v>
      </c>
      <c r="Q227" s="60">
        <v>2</v>
      </c>
      <c r="R227" s="54" t="s">
        <v>867</v>
      </c>
      <c r="T227" s="55" t="str">
        <f t="shared" si="10"/>
        <v>{201,100},{2,2000}</v>
      </c>
      <c r="U227" s="55" t="s">
        <v>896</v>
      </c>
    </row>
    <row r="228" spans="1:21">
      <c r="A228" s="55">
        <v>24</v>
      </c>
      <c r="B228" s="55">
        <v>1003</v>
      </c>
      <c r="C228" s="53" t="s">
        <v>55</v>
      </c>
      <c r="D228" s="54" t="s">
        <v>858</v>
      </c>
      <c r="E228" s="54" t="s">
        <v>1025</v>
      </c>
      <c r="F228" s="54" t="s">
        <v>873</v>
      </c>
      <c r="G228" s="77" t="s">
        <v>1613</v>
      </c>
      <c r="L228" s="55" t="str">
        <f t="shared" si="9"/>
        <v>{1},{3}</v>
      </c>
      <c r="M228" s="55" t="s">
        <v>311</v>
      </c>
      <c r="O228" s="54">
        <v>201</v>
      </c>
      <c r="P228" s="54" t="s">
        <v>882</v>
      </c>
      <c r="Q228" s="60">
        <v>2</v>
      </c>
      <c r="R228" s="54" t="s">
        <v>867</v>
      </c>
      <c r="T228" s="55" t="str">
        <f t="shared" si="10"/>
        <v>{201,100},{2,2000}</v>
      </c>
      <c r="U228" s="55" t="s">
        <v>896</v>
      </c>
    </row>
    <row r="229" spans="1:21">
      <c r="A229" s="55">
        <v>25</v>
      </c>
      <c r="B229" s="55">
        <v>1003</v>
      </c>
      <c r="C229" s="53" t="s">
        <v>55</v>
      </c>
      <c r="D229" s="54" t="s">
        <v>858</v>
      </c>
      <c r="E229" s="54" t="s">
        <v>1026</v>
      </c>
      <c r="F229" s="54" t="s">
        <v>873</v>
      </c>
      <c r="G229" s="77" t="s">
        <v>1614</v>
      </c>
      <c r="L229" s="55" t="str">
        <f t="shared" si="9"/>
        <v>{1},{3}</v>
      </c>
      <c r="M229" s="55" t="s">
        <v>312</v>
      </c>
      <c r="O229" s="54">
        <v>201</v>
      </c>
      <c r="P229" s="54" t="s">
        <v>882</v>
      </c>
      <c r="Q229" s="60">
        <v>2</v>
      </c>
      <c r="R229" s="54" t="s">
        <v>867</v>
      </c>
      <c r="T229" s="55" t="str">
        <f t="shared" si="10"/>
        <v>{201,100},{2,2000}</v>
      </c>
      <c r="U229" s="55" t="s">
        <v>896</v>
      </c>
    </row>
    <row r="230" spans="1:21">
      <c r="A230" s="55">
        <v>26</v>
      </c>
      <c r="B230" s="55">
        <v>1003</v>
      </c>
      <c r="C230" s="53" t="s">
        <v>55</v>
      </c>
      <c r="D230" s="54" t="s">
        <v>858</v>
      </c>
      <c r="E230" s="54" t="s">
        <v>1027</v>
      </c>
      <c r="F230" s="54" t="s">
        <v>873</v>
      </c>
      <c r="G230" s="77" t="s">
        <v>1615</v>
      </c>
      <c r="L230" s="55" t="str">
        <f t="shared" si="9"/>
        <v>{1},{3}</v>
      </c>
      <c r="M230" s="55" t="s">
        <v>313</v>
      </c>
      <c r="O230" s="54">
        <v>201</v>
      </c>
      <c r="P230" s="54" t="s">
        <v>882</v>
      </c>
      <c r="Q230" s="60">
        <v>2</v>
      </c>
      <c r="R230" s="54" t="s">
        <v>867</v>
      </c>
      <c r="T230" s="55" t="str">
        <f t="shared" si="10"/>
        <v>{201,100},{2,2000}</v>
      </c>
      <c r="U230" s="55" t="s">
        <v>896</v>
      </c>
    </row>
    <row r="231" spans="1:21">
      <c r="A231" s="55">
        <v>27</v>
      </c>
      <c r="B231" s="55">
        <v>1003</v>
      </c>
      <c r="C231" s="53" t="s">
        <v>55</v>
      </c>
      <c r="D231" s="54" t="s">
        <v>858</v>
      </c>
      <c r="E231" s="54" t="s">
        <v>1028</v>
      </c>
      <c r="F231" s="54" t="s">
        <v>873</v>
      </c>
      <c r="G231" s="77" t="s">
        <v>1616</v>
      </c>
      <c r="L231" s="55" t="str">
        <f t="shared" si="9"/>
        <v>{1},{3}</v>
      </c>
      <c r="M231" s="55" t="s">
        <v>314</v>
      </c>
      <c r="O231" s="54">
        <v>201</v>
      </c>
      <c r="P231" s="54" t="s">
        <v>882</v>
      </c>
      <c r="Q231" s="60">
        <v>2</v>
      </c>
      <c r="R231" s="54" t="s">
        <v>867</v>
      </c>
      <c r="T231" s="55" t="str">
        <f t="shared" si="10"/>
        <v>{201,100},{2,2000}</v>
      </c>
      <c r="U231" s="55" t="s">
        <v>896</v>
      </c>
    </row>
    <row r="232" spans="1:21">
      <c r="A232" s="55">
        <v>28</v>
      </c>
      <c r="B232" s="55">
        <v>1003</v>
      </c>
      <c r="C232" s="53" t="s">
        <v>55</v>
      </c>
      <c r="D232" s="54" t="s">
        <v>858</v>
      </c>
      <c r="E232" s="54" t="s">
        <v>1029</v>
      </c>
      <c r="F232" s="54" t="s">
        <v>873</v>
      </c>
      <c r="G232" s="77" t="s">
        <v>1617</v>
      </c>
      <c r="L232" s="55" t="str">
        <f t="shared" si="9"/>
        <v>{1},{3}</v>
      </c>
      <c r="M232" s="55" t="s">
        <v>315</v>
      </c>
      <c r="O232" s="54">
        <v>201</v>
      </c>
      <c r="P232" s="54" t="s">
        <v>882</v>
      </c>
      <c r="Q232" s="60">
        <v>2</v>
      </c>
      <c r="R232" s="54" t="s">
        <v>867</v>
      </c>
      <c r="T232" s="55" t="str">
        <f t="shared" si="10"/>
        <v>{201,100},{2,2000}</v>
      </c>
      <c r="U232" s="55" t="s">
        <v>896</v>
      </c>
    </row>
    <row r="233" spans="1:21">
      <c r="A233" s="55">
        <v>29</v>
      </c>
      <c r="B233" s="55">
        <v>1003</v>
      </c>
      <c r="C233" s="53" t="s">
        <v>55</v>
      </c>
      <c r="D233" s="54" t="s">
        <v>858</v>
      </c>
      <c r="E233" s="54" t="s">
        <v>1030</v>
      </c>
      <c r="F233" s="54" t="s">
        <v>873</v>
      </c>
      <c r="G233" s="77" t="s">
        <v>1618</v>
      </c>
      <c r="L233" s="55" t="str">
        <f t="shared" si="9"/>
        <v>{1},{3}</v>
      </c>
      <c r="M233" s="55" t="s">
        <v>316</v>
      </c>
      <c r="O233" s="54">
        <v>201</v>
      </c>
      <c r="P233" s="54" t="s">
        <v>882</v>
      </c>
      <c r="Q233" s="60">
        <v>2</v>
      </c>
      <c r="R233" s="54" t="s">
        <v>867</v>
      </c>
      <c r="T233" s="55" t="str">
        <f t="shared" si="10"/>
        <v>{201,100},{2,2000}</v>
      </c>
      <c r="U233" s="55" t="s">
        <v>896</v>
      </c>
    </row>
    <row r="234" spans="1:21">
      <c r="A234" s="55">
        <v>30</v>
      </c>
      <c r="B234" s="55">
        <v>1003</v>
      </c>
      <c r="C234" s="53" t="s">
        <v>55</v>
      </c>
      <c r="D234" s="54" t="s">
        <v>858</v>
      </c>
      <c r="E234" s="54" t="s">
        <v>1031</v>
      </c>
      <c r="F234" s="54" t="s">
        <v>873</v>
      </c>
      <c r="G234" s="77" t="s">
        <v>1619</v>
      </c>
      <c r="L234" s="55" t="str">
        <f t="shared" si="9"/>
        <v>{1},{3}</v>
      </c>
      <c r="M234" s="55" t="s">
        <v>317</v>
      </c>
      <c r="O234" s="54">
        <v>201</v>
      </c>
      <c r="P234" s="54" t="s">
        <v>882</v>
      </c>
      <c r="Q234" s="60">
        <v>2</v>
      </c>
      <c r="R234" s="54" t="s">
        <v>867</v>
      </c>
      <c r="T234" s="55" t="str">
        <f t="shared" si="10"/>
        <v>{201,100},{2,2000}</v>
      </c>
      <c r="U234" s="55" t="s">
        <v>896</v>
      </c>
    </row>
    <row r="235" spans="1:21">
      <c r="A235" s="55">
        <v>31</v>
      </c>
      <c r="B235" s="55">
        <v>1003</v>
      </c>
      <c r="C235" s="53" t="s">
        <v>55</v>
      </c>
      <c r="D235" s="54" t="s">
        <v>858</v>
      </c>
      <c r="E235" s="54" t="s">
        <v>1032</v>
      </c>
      <c r="F235" s="54" t="s">
        <v>873</v>
      </c>
      <c r="G235" s="77" t="s">
        <v>1620</v>
      </c>
      <c r="L235" s="55" t="str">
        <f t="shared" si="9"/>
        <v>{1},{3}</v>
      </c>
      <c r="M235" s="55" t="s">
        <v>318</v>
      </c>
      <c r="O235" s="54">
        <v>201</v>
      </c>
      <c r="P235" s="54" t="s">
        <v>882</v>
      </c>
      <c r="Q235" s="60">
        <v>2</v>
      </c>
      <c r="R235" s="54" t="s">
        <v>867</v>
      </c>
      <c r="T235" s="55" t="str">
        <f t="shared" si="10"/>
        <v>{201,100},{2,2000}</v>
      </c>
      <c r="U235" s="55" t="s">
        <v>896</v>
      </c>
    </row>
    <row r="236" spans="1:21">
      <c r="A236" s="55">
        <v>32</v>
      </c>
      <c r="B236" s="55">
        <v>1003</v>
      </c>
      <c r="C236" s="53" t="s">
        <v>55</v>
      </c>
      <c r="D236" s="54" t="s">
        <v>858</v>
      </c>
      <c r="E236" s="54" t="s">
        <v>1033</v>
      </c>
      <c r="F236" s="54" t="s">
        <v>873</v>
      </c>
      <c r="G236" s="77" t="s">
        <v>1621</v>
      </c>
      <c r="L236" s="55" t="str">
        <f t="shared" si="9"/>
        <v>{1},{3}</v>
      </c>
      <c r="M236" s="55" t="s">
        <v>319</v>
      </c>
      <c r="O236" s="54">
        <v>201</v>
      </c>
      <c r="P236" s="54" t="s">
        <v>882</v>
      </c>
      <c r="Q236" s="60">
        <v>2</v>
      </c>
      <c r="R236" s="54" t="s">
        <v>867</v>
      </c>
      <c r="T236" s="55" t="str">
        <f t="shared" si="10"/>
        <v>{201,100},{2,2000}</v>
      </c>
      <c r="U236" s="55" t="s">
        <v>896</v>
      </c>
    </row>
    <row r="237" spans="1:21">
      <c r="A237" s="55">
        <v>33</v>
      </c>
      <c r="B237" s="55">
        <v>1003</v>
      </c>
      <c r="C237" s="53" t="s">
        <v>55</v>
      </c>
      <c r="D237" s="54" t="s">
        <v>858</v>
      </c>
      <c r="E237" s="54" t="s">
        <v>948</v>
      </c>
      <c r="F237" s="54" t="s">
        <v>873</v>
      </c>
      <c r="G237" s="77" t="s">
        <v>1543</v>
      </c>
      <c r="L237" s="55" t="str">
        <f t="shared" si="9"/>
        <v>{1},{3}</v>
      </c>
      <c r="M237" s="55" t="s">
        <v>232</v>
      </c>
      <c r="O237" s="54">
        <v>201</v>
      </c>
      <c r="P237" s="54" t="s">
        <v>882</v>
      </c>
      <c r="Q237" s="60">
        <v>2</v>
      </c>
      <c r="R237" s="54" t="s">
        <v>867</v>
      </c>
      <c r="T237" s="55" t="str">
        <f t="shared" si="10"/>
        <v>{201,100},{2,2000}</v>
      </c>
      <c r="U237" s="55" t="s">
        <v>896</v>
      </c>
    </row>
    <row r="238" spans="1:21">
      <c r="A238" s="55">
        <v>34</v>
      </c>
      <c r="B238" s="55">
        <v>1003</v>
      </c>
      <c r="C238" s="53" t="s">
        <v>55</v>
      </c>
      <c r="D238" s="54" t="s">
        <v>858</v>
      </c>
      <c r="E238" s="54" t="s">
        <v>949</v>
      </c>
      <c r="F238" s="54" t="s">
        <v>873</v>
      </c>
      <c r="G238" s="77" t="s">
        <v>1544</v>
      </c>
      <c r="L238" s="55" t="str">
        <f t="shared" si="9"/>
        <v>{1},{3}</v>
      </c>
      <c r="M238" s="55" t="s">
        <v>233</v>
      </c>
      <c r="O238" s="54">
        <v>201</v>
      </c>
      <c r="P238" s="54" t="s">
        <v>882</v>
      </c>
      <c r="Q238" s="60">
        <v>2</v>
      </c>
      <c r="R238" s="54" t="s">
        <v>867</v>
      </c>
      <c r="T238" s="55" t="str">
        <f t="shared" si="10"/>
        <v>{201,100},{2,2000}</v>
      </c>
      <c r="U238" s="55" t="s">
        <v>896</v>
      </c>
    </row>
    <row r="239" spans="1:21">
      <c r="A239" s="55">
        <v>35</v>
      </c>
      <c r="B239" s="55">
        <v>1003</v>
      </c>
      <c r="C239" s="53" t="s">
        <v>55</v>
      </c>
      <c r="D239" s="54" t="s">
        <v>858</v>
      </c>
      <c r="E239" s="54" t="s">
        <v>950</v>
      </c>
      <c r="F239" s="54" t="s">
        <v>873</v>
      </c>
      <c r="G239" s="77" t="s">
        <v>1545</v>
      </c>
      <c r="L239" s="55" t="str">
        <f t="shared" si="9"/>
        <v>{1},{3}</v>
      </c>
      <c r="M239" s="55" t="s">
        <v>234</v>
      </c>
      <c r="O239" s="54">
        <v>201</v>
      </c>
      <c r="P239" s="54" t="s">
        <v>882</v>
      </c>
      <c r="Q239" s="60">
        <v>2</v>
      </c>
      <c r="R239" s="54" t="s">
        <v>867</v>
      </c>
      <c r="T239" s="55" t="str">
        <f t="shared" si="10"/>
        <v>{201,100},{2,2000}</v>
      </c>
      <c r="U239" s="55" t="s">
        <v>896</v>
      </c>
    </row>
    <row r="240" spans="1:21">
      <c r="A240" s="55">
        <v>36</v>
      </c>
      <c r="B240" s="55">
        <v>1003</v>
      </c>
      <c r="C240" s="53" t="s">
        <v>55</v>
      </c>
      <c r="D240" s="54" t="s">
        <v>858</v>
      </c>
      <c r="E240" s="54" t="s">
        <v>951</v>
      </c>
      <c r="F240" s="54" t="s">
        <v>873</v>
      </c>
      <c r="G240" s="77" t="s">
        <v>1546</v>
      </c>
      <c r="L240" s="55" t="str">
        <f t="shared" si="9"/>
        <v>{1},{3}</v>
      </c>
      <c r="M240" s="55" t="s">
        <v>235</v>
      </c>
      <c r="O240" s="54">
        <v>201</v>
      </c>
      <c r="P240" s="54" t="s">
        <v>882</v>
      </c>
      <c r="Q240" s="60">
        <v>2</v>
      </c>
      <c r="R240" s="54" t="s">
        <v>867</v>
      </c>
      <c r="T240" s="55" t="str">
        <f t="shared" si="10"/>
        <v>{201,100},{2,2000}</v>
      </c>
      <c r="U240" s="55" t="s">
        <v>896</v>
      </c>
    </row>
    <row r="241" spans="1:21">
      <c r="A241" s="55">
        <v>37</v>
      </c>
      <c r="B241" s="55">
        <v>1003</v>
      </c>
      <c r="C241" s="53" t="s">
        <v>55</v>
      </c>
      <c r="D241" s="54" t="s">
        <v>858</v>
      </c>
      <c r="E241" s="54" t="s">
        <v>952</v>
      </c>
      <c r="F241" s="54" t="s">
        <v>873</v>
      </c>
      <c r="G241" s="77" t="s">
        <v>1547</v>
      </c>
      <c r="L241" s="55" t="str">
        <f t="shared" si="9"/>
        <v>{1},{3}</v>
      </c>
      <c r="M241" s="55" t="s">
        <v>236</v>
      </c>
      <c r="O241" s="54">
        <v>201</v>
      </c>
      <c r="P241" s="54" t="s">
        <v>882</v>
      </c>
      <c r="Q241" s="60">
        <v>2</v>
      </c>
      <c r="R241" s="54" t="s">
        <v>867</v>
      </c>
      <c r="T241" s="55" t="str">
        <f t="shared" si="10"/>
        <v>{201,100},{2,2000}</v>
      </c>
      <c r="U241" s="55" t="s">
        <v>896</v>
      </c>
    </row>
    <row r="242" spans="1:21">
      <c r="A242" s="55">
        <v>38</v>
      </c>
      <c r="B242" s="55">
        <v>1003</v>
      </c>
      <c r="C242" s="53" t="s">
        <v>55</v>
      </c>
      <c r="D242" s="54" t="s">
        <v>858</v>
      </c>
      <c r="E242" s="54" t="s">
        <v>953</v>
      </c>
      <c r="F242" s="54" t="s">
        <v>873</v>
      </c>
      <c r="G242" s="77" t="s">
        <v>1548</v>
      </c>
      <c r="L242" s="55" t="str">
        <f t="shared" si="9"/>
        <v>{1},{3}</v>
      </c>
      <c r="M242" s="55" t="s">
        <v>237</v>
      </c>
      <c r="O242" s="54">
        <v>201</v>
      </c>
      <c r="P242" s="54" t="s">
        <v>882</v>
      </c>
      <c r="Q242" s="60">
        <v>2</v>
      </c>
      <c r="R242" s="54" t="s">
        <v>867</v>
      </c>
      <c r="T242" s="55" t="str">
        <f t="shared" si="10"/>
        <v>{201,100},{2,2000}</v>
      </c>
      <c r="U242" s="55" t="s">
        <v>896</v>
      </c>
    </row>
    <row r="243" spans="1:21">
      <c r="A243" s="55">
        <v>39</v>
      </c>
      <c r="B243" s="55">
        <v>1003</v>
      </c>
      <c r="C243" s="53" t="s">
        <v>55</v>
      </c>
      <c r="D243" s="54" t="s">
        <v>858</v>
      </c>
      <c r="E243" s="54" t="s">
        <v>954</v>
      </c>
      <c r="F243" s="54" t="s">
        <v>873</v>
      </c>
      <c r="G243" s="77" t="s">
        <v>1549</v>
      </c>
      <c r="L243" s="55" t="str">
        <f t="shared" si="9"/>
        <v>{1},{3}</v>
      </c>
      <c r="M243" s="55" t="s">
        <v>238</v>
      </c>
      <c r="O243" s="54">
        <v>201</v>
      </c>
      <c r="P243" s="54" t="s">
        <v>882</v>
      </c>
      <c r="Q243" s="60">
        <v>2</v>
      </c>
      <c r="R243" s="54" t="s">
        <v>867</v>
      </c>
      <c r="T243" s="55" t="str">
        <f t="shared" si="10"/>
        <v>{201,100},{2,2000}</v>
      </c>
      <c r="U243" s="55" t="s">
        <v>896</v>
      </c>
    </row>
    <row r="244" spans="1:21" s="63" customFormat="1">
      <c r="A244" s="63">
        <v>40</v>
      </c>
      <c r="B244" s="63">
        <v>1003</v>
      </c>
      <c r="C244" s="61" t="s">
        <v>56</v>
      </c>
      <c r="D244" s="62" t="s">
        <v>858</v>
      </c>
      <c r="E244" s="62" t="s">
        <v>1034</v>
      </c>
      <c r="F244" s="62" t="s">
        <v>873</v>
      </c>
      <c r="G244" s="78" t="s">
        <v>1622</v>
      </c>
      <c r="H244" s="78"/>
      <c r="I244" s="78"/>
      <c r="J244" s="78"/>
      <c r="L244" s="63" t="str">
        <f t="shared" si="9"/>
        <v>{1},{3}</v>
      </c>
      <c r="M244" s="63" t="s">
        <v>320</v>
      </c>
      <c r="O244" s="62" t="s">
        <v>886</v>
      </c>
      <c r="P244" s="62" t="s">
        <v>882</v>
      </c>
      <c r="Q244" s="64">
        <v>2</v>
      </c>
      <c r="R244" s="62" t="s">
        <v>867</v>
      </c>
      <c r="T244" s="55" t="str">
        <f t="shared" si="10"/>
        <v>{301,100},{2,2000}</v>
      </c>
      <c r="U244" s="63" t="s">
        <v>897</v>
      </c>
    </row>
    <row r="245" spans="1:21">
      <c r="A245" s="55">
        <v>41</v>
      </c>
      <c r="B245" s="55">
        <v>1003</v>
      </c>
      <c r="C245" s="53" t="s">
        <v>57</v>
      </c>
      <c r="D245" s="54" t="s">
        <v>858</v>
      </c>
      <c r="E245" s="54" t="s">
        <v>1035</v>
      </c>
      <c r="F245" s="54" t="s">
        <v>873</v>
      </c>
      <c r="G245" s="77" t="s">
        <v>1623</v>
      </c>
      <c r="L245" s="55" t="str">
        <f t="shared" si="9"/>
        <v>{1},{3}</v>
      </c>
      <c r="M245" s="55" t="s">
        <v>321</v>
      </c>
      <c r="O245" s="54">
        <v>201</v>
      </c>
      <c r="P245" s="54" t="s">
        <v>883</v>
      </c>
      <c r="Q245" s="60">
        <v>2</v>
      </c>
      <c r="R245" s="54" t="s">
        <v>868</v>
      </c>
      <c r="T245" s="55" t="str">
        <f t="shared" si="10"/>
        <v>{201,150},{2,3750}</v>
      </c>
      <c r="U245" s="55" t="s">
        <v>898</v>
      </c>
    </row>
    <row r="246" spans="1:21">
      <c r="A246" s="55">
        <v>42</v>
      </c>
      <c r="B246" s="55">
        <v>1003</v>
      </c>
      <c r="C246" s="53" t="s">
        <v>57</v>
      </c>
      <c r="D246" s="54" t="s">
        <v>858</v>
      </c>
      <c r="E246" s="54" t="s">
        <v>1036</v>
      </c>
      <c r="F246" s="54" t="s">
        <v>873</v>
      </c>
      <c r="G246" s="77" t="s">
        <v>1624</v>
      </c>
      <c r="L246" s="55" t="str">
        <f t="shared" si="9"/>
        <v>{1},{3}</v>
      </c>
      <c r="M246" s="55" t="s">
        <v>322</v>
      </c>
      <c r="O246" s="54">
        <v>201</v>
      </c>
      <c r="P246" s="54" t="s">
        <v>883</v>
      </c>
      <c r="Q246" s="60">
        <v>2</v>
      </c>
      <c r="R246" s="54" t="s">
        <v>868</v>
      </c>
      <c r="T246" s="55" t="str">
        <f t="shared" si="10"/>
        <v>{201,150},{2,3750}</v>
      </c>
      <c r="U246" s="55" t="s">
        <v>898</v>
      </c>
    </row>
    <row r="247" spans="1:21">
      <c r="A247" s="55">
        <v>43</v>
      </c>
      <c r="B247" s="55">
        <v>1003</v>
      </c>
      <c r="C247" s="53" t="s">
        <v>57</v>
      </c>
      <c r="D247" s="54" t="s">
        <v>858</v>
      </c>
      <c r="E247" s="54" t="s">
        <v>1037</v>
      </c>
      <c r="F247" s="54" t="s">
        <v>873</v>
      </c>
      <c r="G247" s="77" t="s">
        <v>1625</v>
      </c>
      <c r="L247" s="55" t="str">
        <f t="shared" si="9"/>
        <v>{1},{3}</v>
      </c>
      <c r="M247" s="55" t="s">
        <v>323</v>
      </c>
      <c r="O247" s="54">
        <v>201</v>
      </c>
      <c r="P247" s="54" t="s">
        <v>883</v>
      </c>
      <c r="Q247" s="60">
        <v>2</v>
      </c>
      <c r="R247" s="54" t="s">
        <v>868</v>
      </c>
      <c r="T247" s="55" t="str">
        <f t="shared" si="10"/>
        <v>{201,150},{2,3750}</v>
      </c>
      <c r="U247" s="55" t="s">
        <v>898</v>
      </c>
    </row>
    <row r="248" spans="1:21">
      <c r="A248" s="55">
        <v>44</v>
      </c>
      <c r="B248" s="55">
        <v>1003</v>
      </c>
      <c r="C248" s="53" t="s">
        <v>57</v>
      </c>
      <c r="D248" s="54" t="s">
        <v>858</v>
      </c>
      <c r="E248" s="54" t="s">
        <v>1038</v>
      </c>
      <c r="F248" s="54" t="s">
        <v>873</v>
      </c>
      <c r="G248" s="77" t="s">
        <v>1626</v>
      </c>
      <c r="L248" s="55" t="str">
        <f t="shared" si="9"/>
        <v>{1},{3}</v>
      </c>
      <c r="M248" s="55" t="s">
        <v>324</v>
      </c>
      <c r="O248" s="54">
        <v>201</v>
      </c>
      <c r="P248" s="54" t="s">
        <v>883</v>
      </c>
      <c r="Q248" s="60">
        <v>2</v>
      </c>
      <c r="R248" s="54" t="s">
        <v>868</v>
      </c>
      <c r="T248" s="55" t="str">
        <f t="shared" si="10"/>
        <v>{201,150},{2,3750}</v>
      </c>
      <c r="U248" s="55" t="s">
        <v>898</v>
      </c>
    </row>
    <row r="249" spans="1:21">
      <c r="A249" s="55">
        <v>45</v>
      </c>
      <c r="B249" s="55">
        <v>1003</v>
      </c>
      <c r="C249" s="53" t="s">
        <v>57</v>
      </c>
      <c r="D249" s="54" t="s">
        <v>858</v>
      </c>
      <c r="E249" s="54" t="s">
        <v>1039</v>
      </c>
      <c r="F249" s="54" t="s">
        <v>873</v>
      </c>
      <c r="G249" s="77" t="s">
        <v>1627</v>
      </c>
      <c r="L249" s="55" t="str">
        <f t="shared" si="9"/>
        <v>{1},{3}</v>
      </c>
      <c r="M249" s="55" t="s">
        <v>325</v>
      </c>
      <c r="O249" s="54">
        <v>201</v>
      </c>
      <c r="P249" s="54" t="s">
        <v>883</v>
      </c>
      <c r="Q249" s="60">
        <v>2</v>
      </c>
      <c r="R249" s="54" t="s">
        <v>868</v>
      </c>
      <c r="T249" s="55" t="str">
        <f t="shared" si="10"/>
        <v>{201,150},{2,3750}</v>
      </c>
      <c r="U249" s="55" t="s">
        <v>898</v>
      </c>
    </row>
    <row r="250" spans="1:21">
      <c r="A250" s="55">
        <v>46</v>
      </c>
      <c r="B250" s="55">
        <v>1003</v>
      </c>
      <c r="C250" s="53" t="s">
        <v>57</v>
      </c>
      <c r="D250" s="54" t="s">
        <v>858</v>
      </c>
      <c r="E250" s="54" t="s">
        <v>1040</v>
      </c>
      <c r="F250" s="54" t="s">
        <v>873</v>
      </c>
      <c r="G250" s="77" t="s">
        <v>1628</v>
      </c>
      <c r="L250" s="55" t="str">
        <f t="shared" si="9"/>
        <v>{1},{3}</v>
      </c>
      <c r="M250" s="55" t="s">
        <v>326</v>
      </c>
      <c r="O250" s="54">
        <v>201</v>
      </c>
      <c r="P250" s="54" t="s">
        <v>883</v>
      </c>
      <c r="Q250" s="60">
        <v>2</v>
      </c>
      <c r="R250" s="54" t="s">
        <v>868</v>
      </c>
      <c r="T250" s="55" t="str">
        <f t="shared" si="10"/>
        <v>{201,150},{2,3750}</v>
      </c>
      <c r="U250" s="55" t="s">
        <v>898</v>
      </c>
    </row>
    <row r="251" spans="1:21">
      <c r="A251" s="55">
        <v>47</v>
      </c>
      <c r="B251" s="55">
        <v>1003</v>
      </c>
      <c r="C251" s="53" t="s">
        <v>57</v>
      </c>
      <c r="D251" s="54" t="s">
        <v>858</v>
      </c>
      <c r="E251" s="54" t="s">
        <v>1041</v>
      </c>
      <c r="F251" s="54" t="s">
        <v>873</v>
      </c>
      <c r="G251" s="77" t="s">
        <v>1629</v>
      </c>
      <c r="L251" s="55" t="str">
        <f t="shared" si="9"/>
        <v>{1},{3}</v>
      </c>
      <c r="M251" s="55" t="s">
        <v>327</v>
      </c>
      <c r="O251" s="54">
        <v>201</v>
      </c>
      <c r="P251" s="54" t="s">
        <v>883</v>
      </c>
      <c r="Q251" s="60">
        <v>2</v>
      </c>
      <c r="R251" s="54" t="s">
        <v>868</v>
      </c>
      <c r="T251" s="55" t="str">
        <f t="shared" si="10"/>
        <v>{201,150},{2,3750}</v>
      </c>
      <c r="U251" s="55" t="s">
        <v>898</v>
      </c>
    </row>
    <row r="252" spans="1:21">
      <c r="A252" s="55">
        <v>48</v>
      </c>
      <c r="B252" s="55">
        <v>1003</v>
      </c>
      <c r="C252" s="53" t="s">
        <v>57</v>
      </c>
      <c r="D252" s="54" t="s">
        <v>858</v>
      </c>
      <c r="E252" s="54" t="s">
        <v>1042</v>
      </c>
      <c r="F252" s="54" t="s">
        <v>873</v>
      </c>
      <c r="G252" s="77" t="s">
        <v>1630</v>
      </c>
      <c r="L252" s="55" t="str">
        <f t="shared" si="9"/>
        <v>{1},{3}</v>
      </c>
      <c r="M252" s="55" t="s">
        <v>328</v>
      </c>
      <c r="O252" s="54">
        <v>201</v>
      </c>
      <c r="P252" s="54" t="s">
        <v>883</v>
      </c>
      <c r="Q252" s="60">
        <v>2</v>
      </c>
      <c r="R252" s="54" t="s">
        <v>868</v>
      </c>
      <c r="T252" s="55" t="str">
        <f t="shared" si="10"/>
        <v>{201,150},{2,3750}</v>
      </c>
      <c r="U252" s="55" t="s">
        <v>898</v>
      </c>
    </row>
    <row r="253" spans="1:21">
      <c r="A253" s="55">
        <v>49</v>
      </c>
      <c r="B253" s="55">
        <v>1003</v>
      </c>
      <c r="C253" s="53" t="s">
        <v>57</v>
      </c>
      <c r="D253" s="54" t="s">
        <v>858</v>
      </c>
      <c r="E253" s="54" t="s">
        <v>1043</v>
      </c>
      <c r="F253" s="54" t="s">
        <v>873</v>
      </c>
      <c r="G253" s="77" t="s">
        <v>1631</v>
      </c>
      <c r="L253" s="55" t="str">
        <f t="shared" si="9"/>
        <v>{1},{3}</v>
      </c>
      <c r="M253" s="55" t="s">
        <v>329</v>
      </c>
      <c r="O253" s="54">
        <v>201</v>
      </c>
      <c r="P253" s="54" t="s">
        <v>883</v>
      </c>
      <c r="Q253" s="60">
        <v>2</v>
      </c>
      <c r="R253" s="54" t="s">
        <v>868</v>
      </c>
      <c r="T253" s="55" t="str">
        <f t="shared" si="10"/>
        <v>{201,150},{2,3750}</v>
      </c>
      <c r="U253" s="55" t="s">
        <v>898</v>
      </c>
    </row>
    <row r="254" spans="1:21">
      <c r="A254" s="55">
        <v>50</v>
      </c>
      <c r="B254" s="55">
        <v>1003</v>
      </c>
      <c r="C254" s="53" t="s">
        <v>57</v>
      </c>
      <c r="D254" s="54" t="s">
        <v>858</v>
      </c>
      <c r="E254" s="54" t="s">
        <v>1044</v>
      </c>
      <c r="F254" s="54" t="s">
        <v>873</v>
      </c>
      <c r="G254" s="77" t="s">
        <v>1632</v>
      </c>
      <c r="L254" s="55" t="str">
        <f t="shared" si="9"/>
        <v>{1},{3}</v>
      </c>
      <c r="M254" s="55" t="s">
        <v>330</v>
      </c>
      <c r="O254" s="54">
        <v>201</v>
      </c>
      <c r="P254" s="54" t="s">
        <v>883</v>
      </c>
      <c r="Q254" s="60">
        <v>2</v>
      </c>
      <c r="R254" s="54" t="s">
        <v>868</v>
      </c>
      <c r="T254" s="55" t="str">
        <f t="shared" si="10"/>
        <v>{201,150},{2,3750}</v>
      </c>
      <c r="U254" s="55" t="s">
        <v>898</v>
      </c>
    </row>
    <row r="255" spans="1:21">
      <c r="A255" s="55">
        <v>51</v>
      </c>
      <c r="B255" s="55">
        <v>1003</v>
      </c>
      <c r="C255" s="53" t="s">
        <v>57</v>
      </c>
      <c r="D255" s="54" t="s">
        <v>858</v>
      </c>
      <c r="E255" s="54" t="s">
        <v>1045</v>
      </c>
      <c r="F255" s="54" t="s">
        <v>873</v>
      </c>
      <c r="G255" s="77" t="s">
        <v>1448</v>
      </c>
      <c r="L255" s="55" t="str">
        <f t="shared" si="9"/>
        <v>{1},{3}</v>
      </c>
      <c r="M255" s="55" t="s">
        <v>331</v>
      </c>
      <c r="O255" s="54">
        <v>201</v>
      </c>
      <c r="P255" s="54" t="s">
        <v>883</v>
      </c>
      <c r="Q255" s="60">
        <v>2</v>
      </c>
      <c r="R255" s="54" t="s">
        <v>868</v>
      </c>
      <c r="T255" s="55" t="str">
        <f t="shared" si="10"/>
        <v>{201,150},{2,3750}</v>
      </c>
      <c r="U255" s="55" t="s">
        <v>898</v>
      </c>
    </row>
    <row r="256" spans="1:21">
      <c r="A256" s="55">
        <v>52</v>
      </c>
      <c r="B256" s="55">
        <v>1003</v>
      </c>
      <c r="C256" s="53" t="s">
        <v>57</v>
      </c>
      <c r="D256" s="54" t="s">
        <v>858</v>
      </c>
      <c r="E256" s="54" t="s">
        <v>1046</v>
      </c>
      <c r="F256" s="54" t="s">
        <v>873</v>
      </c>
      <c r="G256" s="77" t="s">
        <v>1633</v>
      </c>
      <c r="L256" s="55" t="str">
        <f t="shared" si="9"/>
        <v>{1},{3}</v>
      </c>
      <c r="M256" s="55" t="s">
        <v>332</v>
      </c>
      <c r="O256" s="54">
        <v>201</v>
      </c>
      <c r="P256" s="54" t="s">
        <v>883</v>
      </c>
      <c r="Q256" s="60">
        <v>2</v>
      </c>
      <c r="R256" s="54" t="s">
        <v>868</v>
      </c>
      <c r="T256" s="55" t="str">
        <f t="shared" si="10"/>
        <v>{201,150},{2,3750}</v>
      </c>
      <c r="U256" s="55" t="s">
        <v>898</v>
      </c>
    </row>
    <row r="257" spans="1:21">
      <c r="A257" s="55">
        <v>53</v>
      </c>
      <c r="B257" s="55">
        <v>1003</v>
      </c>
      <c r="C257" s="53" t="s">
        <v>57</v>
      </c>
      <c r="D257" s="54" t="s">
        <v>858</v>
      </c>
      <c r="E257" s="54" t="s">
        <v>1047</v>
      </c>
      <c r="F257" s="54" t="s">
        <v>873</v>
      </c>
      <c r="G257" s="77" t="s">
        <v>1634</v>
      </c>
      <c r="L257" s="55" t="str">
        <f t="shared" si="9"/>
        <v>{1},{3}</v>
      </c>
      <c r="M257" s="55" t="s">
        <v>333</v>
      </c>
      <c r="O257" s="54">
        <v>201</v>
      </c>
      <c r="P257" s="54" t="s">
        <v>883</v>
      </c>
      <c r="Q257" s="60">
        <v>2</v>
      </c>
      <c r="R257" s="54" t="s">
        <v>868</v>
      </c>
      <c r="T257" s="55" t="str">
        <f t="shared" si="10"/>
        <v>{201,150},{2,3750}</v>
      </c>
      <c r="U257" s="55" t="s">
        <v>898</v>
      </c>
    </row>
    <row r="258" spans="1:21">
      <c r="A258" s="55">
        <v>54</v>
      </c>
      <c r="B258" s="55">
        <v>1003</v>
      </c>
      <c r="C258" s="53" t="s">
        <v>57</v>
      </c>
      <c r="D258" s="54" t="s">
        <v>858</v>
      </c>
      <c r="E258" s="54" t="s">
        <v>1048</v>
      </c>
      <c r="F258" s="54" t="s">
        <v>873</v>
      </c>
      <c r="G258" s="77" t="s">
        <v>1635</v>
      </c>
      <c r="L258" s="55" t="str">
        <f t="shared" si="9"/>
        <v>{1},{3}</v>
      </c>
      <c r="M258" s="55" t="s">
        <v>334</v>
      </c>
      <c r="O258" s="54">
        <v>201</v>
      </c>
      <c r="P258" s="54" t="s">
        <v>883</v>
      </c>
      <c r="Q258" s="60">
        <v>2</v>
      </c>
      <c r="R258" s="54" t="s">
        <v>868</v>
      </c>
      <c r="T258" s="55" t="str">
        <f t="shared" si="10"/>
        <v>{201,150},{2,3750}</v>
      </c>
      <c r="U258" s="55" t="s">
        <v>898</v>
      </c>
    </row>
    <row r="259" spans="1:21">
      <c r="A259" s="55">
        <v>55</v>
      </c>
      <c r="B259" s="55">
        <v>1003</v>
      </c>
      <c r="C259" s="53" t="s">
        <v>57</v>
      </c>
      <c r="D259" s="54" t="s">
        <v>858</v>
      </c>
      <c r="E259" s="54" t="s">
        <v>1049</v>
      </c>
      <c r="F259" s="54" t="s">
        <v>873</v>
      </c>
      <c r="G259" s="77" t="s">
        <v>1636</v>
      </c>
      <c r="L259" s="55" t="str">
        <f t="shared" si="9"/>
        <v>{1},{3}</v>
      </c>
      <c r="M259" s="55" t="s">
        <v>335</v>
      </c>
      <c r="O259" s="54">
        <v>201</v>
      </c>
      <c r="P259" s="54" t="s">
        <v>883</v>
      </c>
      <c r="Q259" s="60">
        <v>2</v>
      </c>
      <c r="R259" s="54" t="s">
        <v>868</v>
      </c>
      <c r="T259" s="55" t="str">
        <f t="shared" si="10"/>
        <v>{201,150},{2,3750}</v>
      </c>
      <c r="U259" s="55" t="s">
        <v>898</v>
      </c>
    </row>
    <row r="260" spans="1:21">
      <c r="A260" s="55">
        <v>56</v>
      </c>
      <c r="B260" s="55">
        <v>1003</v>
      </c>
      <c r="C260" s="53" t="s">
        <v>57</v>
      </c>
      <c r="D260" s="54" t="s">
        <v>858</v>
      </c>
      <c r="E260" s="54" t="s">
        <v>1050</v>
      </c>
      <c r="F260" s="54" t="s">
        <v>873</v>
      </c>
      <c r="G260" s="77" t="s">
        <v>1637</v>
      </c>
      <c r="L260" s="55" t="str">
        <f t="shared" si="9"/>
        <v>{1},{3}</v>
      </c>
      <c r="M260" s="55" t="s">
        <v>336</v>
      </c>
      <c r="O260" s="54">
        <v>201</v>
      </c>
      <c r="P260" s="54" t="s">
        <v>883</v>
      </c>
      <c r="Q260" s="60">
        <v>2</v>
      </c>
      <c r="R260" s="54" t="s">
        <v>868</v>
      </c>
      <c r="T260" s="55" t="str">
        <f t="shared" si="10"/>
        <v>{201,150},{2,3750}</v>
      </c>
      <c r="U260" s="55" t="s">
        <v>898</v>
      </c>
    </row>
    <row r="261" spans="1:21">
      <c r="A261" s="55">
        <v>57</v>
      </c>
      <c r="B261" s="55">
        <v>1003</v>
      </c>
      <c r="C261" s="53" t="s">
        <v>57</v>
      </c>
      <c r="D261" s="54" t="s">
        <v>858</v>
      </c>
      <c r="E261" s="54" t="s">
        <v>1051</v>
      </c>
      <c r="F261" s="54" t="s">
        <v>873</v>
      </c>
      <c r="G261" s="77" t="s">
        <v>1638</v>
      </c>
      <c r="L261" s="55" t="str">
        <f t="shared" si="9"/>
        <v>{1},{3}</v>
      </c>
      <c r="M261" s="55" t="s">
        <v>337</v>
      </c>
      <c r="O261" s="54">
        <v>201</v>
      </c>
      <c r="P261" s="54" t="s">
        <v>883</v>
      </c>
      <c r="Q261" s="60">
        <v>2</v>
      </c>
      <c r="R261" s="54" t="s">
        <v>868</v>
      </c>
      <c r="T261" s="55" t="str">
        <f t="shared" si="10"/>
        <v>{201,150},{2,3750}</v>
      </c>
      <c r="U261" s="55" t="s">
        <v>898</v>
      </c>
    </row>
    <row r="262" spans="1:21">
      <c r="A262" s="55">
        <v>58</v>
      </c>
      <c r="B262" s="55">
        <v>1003</v>
      </c>
      <c r="C262" s="53" t="s">
        <v>57</v>
      </c>
      <c r="D262" s="54" t="s">
        <v>858</v>
      </c>
      <c r="E262" s="54" t="s">
        <v>1052</v>
      </c>
      <c r="F262" s="54" t="s">
        <v>873</v>
      </c>
      <c r="G262" s="77" t="s">
        <v>1639</v>
      </c>
      <c r="L262" s="55" t="str">
        <f t="shared" ref="L262:L325" si="11">"{"&amp;D262&amp;"}"&amp;","&amp;"{"&amp;F262&amp;"}"</f>
        <v>{1},{3}</v>
      </c>
      <c r="M262" s="55" t="s">
        <v>338</v>
      </c>
      <c r="O262" s="54">
        <v>201</v>
      </c>
      <c r="P262" s="54" t="s">
        <v>883</v>
      </c>
      <c r="Q262" s="60">
        <v>2</v>
      </c>
      <c r="R262" s="54" t="s">
        <v>868</v>
      </c>
      <c r="T262" s="55" t="str">
        <f t="shared" ref="T262:T325" si="12">"{"&amp;O262&amp;","&amp;P262&amp;"}"&amp;","&amp;"{"&amp;Q262&amp;","&amp;R262&amp;"}"</f>
        <v>{201,150},{2,3750}</v>
      </c>
      <c r="U262" s="55" t="s">
        <v>898</v>
      </c>
    </row>
    <row r="263" spans="1:21">
      <c r="A263" s="55">
        <v>59</v>
      </c>
      <c r="B263" s="55">
        <v>1003</v>
      </c>
      <c r="C263" s="53" t="s">
        <v>57</v>
      </c>
      <c r="D263" s="54" t="s">
        <v>858</v>
      </c>
      <c r="E263" s="54" t="s">
        <v>1053</v>
      </c>
      <c r="F263" s="54" t="s">
        <v>873</v>
      </c>
      <c r="G263" s="77" t="s">
        <v>1640</v>
      </c>
      <c r="L263" s="55" t="str">
        <f t="shared" si="11"/>
        <v>{1},{3}</v>
      </c>
      <c r="M263" s="55" t="s">
        <v>339</v>
      </c>
      <c r="O263" s="54">
        <v>201</v>
      </c>
      <c r="P263" s="54" t="s">
        <v>883</v>
      </c>
      <c r="Q263" s="60">
        <v>2</v>
      </c>
      <c r="R263" s="54" t="s">
        <v>868</v>
      </c>
      <c r="T263" s="55" t="str">
        <f t="shared" si="12"/>
        <v>{201,150},{2,3750}</v>
      </c>
      <c r="U263" s="55" t="s">
        <v>898</v>
      </c>
    </row>
    <row r="264" spans="1:21" s="63" customFormat="1">
      <c r="A264" s="63">
        <v>60</v>
      </c>
      <c r="B264" s="63">
        <v>1003</v>
      </c>
      <c r="C264" s="61" t="s">
        <v>58</v>
      </c>
      <c r="D264" s="62" t="s">
        <v>858</v>
      </c>
      <c r="E264" s="62" t="s">
        <v>1054</v>
      </c>
      <c r="F264" s="62" t="s">
        <v>873</v>
      </c>
      <c r="G264" s="78" t="s">
        <v>1641</v>
      </c>
      <c r="H264" s="78"/>
      <c r="I264" s="78"/>
      <c r="J264" s="78"/>
      <c r="L264" s="63" t="str">
        <f t="shared" si="11"/>
        <v>{1},{3}</v>
      </c>
      <c r="M264" s="63" t="s">
        <v>340</v>
      </c>
      <c r="O264" s="62" t="s">
        <v>886</v>
      </c>
      <c r="P264" s="62" t="s">
        <v>883</v>
      </c>
      <c r="Q264" s="64">
        <v>2</v>
      </c>
      <c r="R264" s="62" t="s">
        <v>869</v>
      </c>
      <c r="T264" s="55" t="str">
        <f t="shared" si="12"/>
        <v>{301,150},{2,4500}</v>
      </c>
      <c r="U264" s="63" t="s">
        <v>899</v>
      </c>
    </row>
    <row r="265" spans="1:21">
      <c r="A265" s="55">
        <v>61</v>
      </c>
      <c r="B265" s="55">
        <v>1003</v>
      </c>
      <c r="C265" s="53" t="s">
        <v>59</v>
      </c>
      <c r="D265" s="54" t="s">
        <v>858</v>
      </c>
      <c r="E265" s="54" t="s">
        <v>1055</v>
      </c>
      <c r="F265" s="54" t="s">
        <v>873</v>
      </c>
      <c r="G265" s="77" t="s">
        <v>1642</v>
      </c>
      <c r="L265" s="55" t="str">
        <f t="shared" si="11"/>
        <v>{1},{3}</v>
      </c>
      <c r="M265" s="55" t="s">
        <v>341</v>
      </c>
      <c r="O265" s="54">
        <v>201</v>
      </c>
      <c r="P265" s="54" t="s">
        <v>884</v>
      </c>
      <c r="Q265" s="60">
        <v>2</v>
      </c>
      <c r="R265" s="54" t="s">
        <v>870</v>
      </c>
      <c r="T265" s="55" t="str">
        <f t="shared" si="12"/>
        <v>{201,300},{2,9000}</v>
      </c>
      <c r="U265" s="55" t="s">
        <v>900</v>
      </c>
    </row>
    <row r="266" spans="1:21">
      <c r="A266" s="55">
        <v>62</v>
      </c>
      <c r="B266" s="55">
        <v>1003</v>
      </c>
      <c r="C266" s="53" t="s">
        <v>59</v>
      </c>
      <c r="D266" s="54" t="s">
        <v>858</v>
      </c>
      <c r="E266" s="54" t="s">
        <v>1056</v>
      </c>
      <c r="F266" s="54" t="s">
        <v>873</v>
      </c>
      <c r="G266" s="77" t="s">
        <v>1643</v>
      </c>
      <c r="L266" s="55" t="str">
        <f t="shared" si="11"/>
        <v>{1},{3}</v>
      </c>
      <c r="M266" s="55" t="s">
        <v>342</v>
      </c>
      <c r="O266" s="54">
        <v>201</v>
      </c>
      <c r="P266" s="54" t="s">
        <v>884</v>
      </c>
      <c r="Q266" s="60">
        <v>2</v>
      </c>
      <c r="R266" s="54" t="s">
        <v>870</v>
      </c>
      <c r="T266" s="55" t="str">
        <f t="shared" si="12"/>
        <v>{201,300},{2,9000}</v>
      </c>
      <c r="U266" s="55" t="s">
        <v>900</v>
      </c>
    </row>
    <row r="267" spans="1:21">
      <c r="A267" s="55">
        <v>63</v>
      </c>
      <c r="B267" s="55">
        <v>1003</v>
      </c>
      <c r="C267" s="53" t="s">
        <v>59</v>
      </c>
      <c r="D267" s="54" t="s">
        <v>858</v>
      </c>
      <c r="E267" s="54" t="s">
        <v>1057</v>
      </c>
      <c r="F267" s="54" t="s">
        <v>873</v>
      </c>
      <c r="G267" s="77" t="s">
        <v>1644</v>
      </c>
      <c r="L267" s="55" t="str">
        <f t="shared" si="11"/>
        <v>{1},{3}</v>
      </c>
      <c r="M267" s="55" t="s">
        <v>343</v>
      </c>
      <c r="O267" s="54">
        <v>201</v>
      </c>
      <c r="P267" s="54" t="s">
        <v>884</v>
      </c>
      <c r="Q267" s="60">
        <v>2</v>
      </c>
      <c r="R267" s="54" t="s">
        <v>870</v>
      </c>
      <c r="T267" s="55" t="str">
        <f t="shared" si="12"/>
        <v>{201,300},{2,9000}</v>
      </c>
      <c r="U267" s="55" t="s">
        <v>900</v>
      </c>
    </row>
    <row r="268" spans="1:21">
      <c r="A268" s="55">
        <v>64</v>
      </c>
      <c r="B268" s="55">
        <v>1003</v>
      </c>
      <c r="C268" s="53" t="s">
        <v>59</v>
      </c>
      <c r="D268" s="54" t="s">
        <v>858</v>
      </c>
      <c r="E268" s="54" t="s">
        <v>1058</v>
      </c>
      <c r="F268" s="54" t="s">
        <v>873</v>
      </c>
      <c r="G268" s="77" t="s">
        <v>1645</v>
      </c>
      <c r="L268" s="55" t="str">
        <f t="shared" si="11"/>
        <v>{1},{3}</v>
      </c>
      <c r="M268" s="55" t="s">
        <v>344</v>
      </c>
      <c r="O268" s="54">
        <v>201</v>
      </c>
      <c r="P268" s="54" t="s">
        <v>884</v>
      </c>
      <c r="Q268" s="60">
        <v>2</v>
      </c>
      <c r="R268" s="54" t="s">
        <v>870</v>
      </c>
      <c r="T268" s="55" t="str">
        <f t="shared" si="12"/>
        <v>{201,300},{2,9000}</v>
      </c>
      <c r="U268" s="55" t="s">
        <v>900</v>
      </c>
    </row>
    <row r="269" spans="1:21">
      <c r="A269" s="55">
        <v>65</v>
      </c>
      <c r="B269" s="55">
        <v>1003</v>
      </c>
      <c r="C269" s="53" t="s">
        <v>59</v>
      </c>
      <c r="D269" s="54" t="s">
        <v>858</v>
      </c>
      <c r="E269" s="54" t="s">
        <v>1059</v>
      </c>
      <c r="F269" s="54" t="s">
        <v>873</v>
      </c>
      <c r="G269" s="77" t="s">
        <v>1646</v>
      </c>
      <c r="L269" s="55" t="str">
        <f t="shared" si="11"/>
        <v>{1},{3}</v>
      </c>
      <c r="M269" s="55" t="s">
        <v>345</v>
      </c>
      <c r="O269" s="54">
        <v>201</v>
      </c>
      <c r="P269" s="54" t="s">
        <v>884</v>
      </c>
      <c r="Q269" s="60">
        <v>2</v>
      </c>
      <c r="R269" s="54" t="s">
        <v>870</v>
      </c>
      <c r="T269" s="55" t="str">
        <f t="shared" si="12"/>
        <v>{201,300},{2,9000}</v>
      </c>
      <c r="U269" s="55" t="s">
        <v>900</v>
      </c>
    </row>
    <row r="270" spans="1:21">
      <c r="A270" s="55">
        <v>66</v>
      </c>
      <c r="B270" s="55">
        <v>1003</v>
      </c>
      <c r="C270" s="53" t="s">
        <v>59</v>
      </c>
      <c r="D270" s="54" t="s">
        <v>858</v>
      </c>
      <c r="E270" s="54" t="s">
        <v>1060</v>
      </c>
      <c r="F270" s="54" t="s">
        <v>873</v>
      </c>
      <c r="G270" s="77" t="s">
        <v>1647</v>
      </c>
      <c r="L270" s="55" t="str">
        <f t="shared" si="11"/>
        <v>{1},{3}</v>
      </c>
      <c r="M270" s="55" t="s">
        <v>346</v>
      </c>
      <c r="O270" s="54">
        <v>201</v>
      </c>
      <c r="P270" s="54" t="s">
        <v>884</v>
      </c>
      <c r="Q270" s="60">
        <v>2</v>
      </c>
      <c r="R270" s="54" t="s">
        <v>870</v>
      </c>
      <c r="T270" s="55" t="str">
        <f t="shared" si="12"/>
        <v>{201,300},{2,9000}</v>
      </c>
      <c r="U270" s="55" t="s">
        <v>900</v>
      </c>
    </row>
    <row r="271" spans="1:21">
      <c r="A271" s="55">
        <v>67</v>
      </c>
      <c r="B271" s="55">
        <v>1003</v>
      </c>
      <c r="C271" s="53" t="s">
        <v>59</v>
      </c>
      <c r="D271" s="54" t="s">
        <v>858</v>
      </c>
      <c r="E271" s="54" t="s">
        <v>1061</v>
      </c>
      <c r="F271" s="54" t="s">
        <v>873</v>
      </c>
      <c r="G271" s="77" t="s">
        <v>1648</v>
      </c>
      <c r="L271" s="55" t="str">
        <f t="shared" si="11"/>
        <v>{1},{3}</v>
      </c>
      <c r="M271" s="55" t="s">
        <v>347</v>
      </c>
      <c r="O271" s="54">
        <v>201</v>
      </c>
      <c r="P271" s="54" t="s">
        <v>884</v>
      </c>
      <c r="Q271" s="60">
        <v>2</v>
      </c>
      <c r="R271" s="54" t="s">
        <v>870</v>
      </c>
      <c r="T271" s="55" t="str">
        <f t="shared" si="12"/>
        <v>{201,300},{2,9000}</v>
      </c>
      <c r="U271" s="55" t="s">
        <v>900</v>
      </c>
    </row>
    <row r="272" spans="1:21">
      <c r="A272" s="55">
        <v>68</v>
      </c>
      <c r="B272" s="55">
        <v>1003</v>
      </c>
      <c r="C272" s="53" t="s">
        <v>59</v>
      </c>
      <c r="D272" s="54" t="s">
        <v>858</v>
      </c>
      <c r="E272" s="54" t="s">
        <v>1062</v>
      </c>
      <c r="F272" s="54" t="s">
        <v>873</v>
      </c>
      <c r="G272" s="77" t="s">
        <v>1649</v>
      </c>
      <c r="L272" s="55" t="str">
        <f t="shared" si="11"/>
        <v>{1},{3}</v>
      </c>
      <c r="M272" s="55" t="s">
        <v>348</v>
      </c>
      <c r="O272" s="54">
        <v>201</v>
      </c>
      <c r="P272" s="54" t="s">
        <v>884</v>
      </c>
      <c r="Q272" s="60">
        <v>2</v>
      </c>
      <c r="R272" s="54" t="s">
        <v>870</v>
      </c>
      <c r="T272" s="55" t="str">
        <f t="shared" si="12"/>
        <v>{201,300},{2,9000}</v>
      </c>
      <c r="U272" s="55" t="s">
        <v>900</v>
      </c>
    </row>
    <row r="273" spans="1:21">
      <c r="A273" s="55">
        <v>69</v>
      </c>
      <c r="B273" s="55">
        <v>1003</v>
      </c>
      <c r="C273" s="53" t="s">
        <v>59</v>
      </c>
      <c r="D273" s="54" t="s">
        <v>858</v>
      </c>
      <c r="E273" s="54" t="s">
        <v>1063</v>
      </c>
      <c r="F273" s="54" t="s">
        <v>873</v>
      </c>
      <c r="G273" s="77" t="s">
        <v>1650</v>
      </c>
      <c r="L273" s="55" t="str">
        <f t="shared" si="11"/>
        <v>{1},{3}</v>
      </c>
      <c r="M273" s="55" t="s">
        <v>349</v>
      </c>
      <c r="O273" s="54">
        <v>201</v>
      </c>
      <c r="P273" s="54" t="s">
        <v>884</v>
      </c>
      <c r="Q273" s="60">
        <v>2</v>
      </c>
      <c r="R273" s="54" t="s">
        <v>870</v>
      </c>
      <c r="T273" s="55" t="str">
        <f t="shared" si="12"/>
        <v>{201,300},{2,9000}</v>
      </c>
      <c r="U273" s="55" t="s">
        <v>900</v>
      </c>
    </row>
    <row r="274" spans="1:21">
      <c r="A274" s="55">
        <v>70</v>
      </c>
      <c r="B274" s="55">
        <v>1003</v>
      </c>
      <c r="C274" s="53" t="s">
        <v>59</v>
      </c>
      <c r="D274" s="54" t="s">
        <v>858</v>
      </c>
      <c r="E274" s="54" t="s">
        <v>1064</v>
      </c>
      <c r="F274" s="54" t="s">
        <v>873</v>
      </c>
      <c r="G274" s="77" t="s">
        <v>1651</v>
      </c>
      <c r="L274" s="55" t="str">
        <f t="shared" si="11"/>
        <v>{1},{3}</v>
      </c>
      <c r="M274" s="55" t="s">
        <v>350</v>
      </c>
      <c r="O274" s="54">
        <v>201</v>
      </c>
      <c r="P274" s="54" t="s">
        <v>884</v>
      </c>
      <c r="Q274" s="60">
        <v>2</v>
      </c>
      <c r="R274" s="54" t="s">
        <v>870</v>
      </c>
      <c r="T274" s="55" t="str">
        <f t="shared" si="12"/>
        <v>{201,300},{2,9000}</v>
      </c>
      <c r="U274" s="55" t="s">
        <v>900</v>
      </c>
    </row>
    <row r="275" spans="1:21">
      <c r="A275" s="55">
        <v>71</v>
      </c>
      <c r="B275" s="55">
        <v>1003</v>
      </c>
      <c r="C275" s="53" t="s">
        <v>59</v>
      </c>
      <c r="D275" s="54" t="s">
        <v>858</v>
      </c>
      <c r="E275" s="54" t="s">
        <v>1065</v>
      </c>
      <c r="F275" s="54" t="s">
        <v>873</v>
      </c>
      <c r="G275" s="77" t="s">
        <v>1652</v>
      </c>
      <c r="L275" s="55" t="str">
        <f t="shared" si="11"/>
        <v>{1},{3}</v>
      </c>
      <c r="M275" s="55" t="s">
        <v>351</v>
      </c>
      <c r="O275" s="54">
        <v>201</v>
      </c>
      <c r="P275" s="54" t="s">
        <v>884</v>
      </c>
      <c r="Q275" s="60">
        <v>2</v>
      </c>
      <c r="R275" s="54" t="s">
        <v>870</v>
      </c>
      <c r="T275" s="55" t="str">
        <f t="shared" si="12"/>
        <v>{201,300},{2,9000}</v>
      </c>
      <c r="U275" s="55" t="s">
        <v>900</v>
      </c>
    </row>
    <row r="276" spans="1:21">
      <c r="A276" s="55">
        <v>72</v>
      </c>
      <c r="B276" s="55">
        <v>1003</v>
      </c>
      <c r="C276" s="53" t="s">
        <v>59</v>
      </c>
      <c r="D276" s="54" t="s">
        <v>858</v>
      </c>
      <c r="E276" s="54" t="s">
        <v>1066</v>
      </c>
      <c r="F276" s="54" t="s">
        <v>873</v>
      </c>
      <c r="G276" s="77" t="s">
        <v>1653</v>
      </c>
      <c r="L276" s="55" t="str">
        <f t="shared" si="11"/>
        <v>{1},{3}</v>
      </c>
      <c r="M276" s="55" t="s">
        <v>352</v>
      </c>
      <c r="O276" s="54">
        <v>201</v>
      </c>
      <c r="P276" s="54" t="s">
        <v>884</v>
      </c>
      <c r="Q276" s="60">
        <v>2</v>
      </c>
      <c r="R276" s="54" t="s">
        <v>870</v>
      </c>
      <c r="T276" s="55" t="str">
        <f t="shared" si="12"/>
        <v>{201,300},{2,9000}</v>
      </c>
      <c r="U276" s="55" t="s">
        <v>900</v>
      </c>
    </row>
    <row r="277" spans="1:21">
      <c r="A277" s="55">
        <v>73</v>
      </c>
      <c r="B277" s="55">
        <v>1003</v>
      </c>
      <c r="C277" s="53" t="s">
        <v>59</v>
      </c>
      <c r="D277" s="54" t="s">
        <v>858</v>
      </c>
      <c r="E277" s="54" t="s">
        <v>1067</v>
      </c>
      <c r="F277" s="54" t="s">
        <v>873</v>
      </c>
      <c r="G277" s="77" t="s">
        <v>1654</v>
      </c>
      <c r="L277" s="55" t="str">
        <f t="shared" si="11"/>
        <v>{1},{3}</v>
      </c>
      <c r="M277" s="55" t="s">
        <v>353</v>
      </c>
      <c r="O277" s="54">
        <v>201</v>
      </c>
      <c r="P277" s="54" t="s">
        <v>884</v>
      </c>
      <c r="Q277" s="60">
        <v>2</v>
      </c>
      <c r="R277" s="54" t="s">
        <v>870</v>
      </c>
      <c r="T277" s="55" t="str">
        <f t="shared" si="12"/>
        <v>{201,300},{2,9000}</v>
      </c>
      <c r="U277" s="55" t="s">
        <v>900</v>
      </c>
    </row>
    <row r="278" spans="1:21">
      <c r="A278" s="55">
        <v>74</v>
      </c>
      <c r="B278" s="55">
        <v>1003</v>
      </c>
      <c r="C278" s="53" t="s">
        <v>59</v>
      </c>
      <c r="D278" s="54" t="s">
        <v>858</v>
      </c>
      <c r="E278" s="54" t="s">
        <v>1068</v>
      </c>
      <c r="F278" s="54" t="s">
        <v>873</v>
      </c>
      <c r="G278" s="77" t="s">
        <v>1655</v>
      </c>
      <c r="L278" s="55" t="str">
        <f t="shared" si="11"/>
        <v>{1},{3}</v>
      </c>
      <c r="M278" s="55" t="s">
        <v>354</v>
      </c>
      <c r="O278" s="54">
        <v>201</v>
      </c>
      <c r="P278" s="54" t="s">
        <v>884</v>
      </c>
      <c r="Q278" s="60">
        <v>2</v>
      </c>
      <c r="R278" s="54" t="s">
        <v>870</v>
      </c>
      <c r="T278" s="55" t="str">
        <f t="shared" si="12"/>
        <v>{201,300},{2,9000}</v>
      </c>
      <c r="U278" s="55" t="s">
        <v>900</v>
      </c>
    </row>
    <row r="279" spans="1:21">
      <c r="A279" s="55">
        <v>75</v>
      </c>
      <c r="B279" s="55">
        <v>1003</v>
      </c>
      <c r="C279" s="53" t="s">
        <v>59</v>
      </c>
      <c r="D279" s="54" t="s">
        <v>858</v>
      </c>
      <c r="E279" s="54" t="s">
        <v>1069</v>
      </c>
      <c r="F279" s="54" t="s">
        <v>873</v>
      </c>
      <c r="G279" s="77" t="s">
        <v>1656</v>
      </c>
      <c r="L279" s="55" t="str">
        <f t="shared" si="11"/>
        <v>{1},{3}</v>
      </c>
      <c r="M279" s="55" t="s">
        <v>355</v>
      </c>
      <c r="O279" s="54">
        <v>201</v>
      </c>
      <c r="P279" s="54" t="s">
        <v>884</v>
      </c>
      <c r="Q279" s="60">
        <v>2</v>
      </c>
      <c r="R279" s="54" t="s">
        <v>870</v>
      </c>
      <c r="T279" s="55" t="str">
        <f t="shared" si="12"/>
        <v>{201,300},{2,9000}</v>
      </c>
      <c r="U279" s="55" t="s">
        <v>900</v>
      </c>
    </row>
    <row r="280" spans="1:21">
      <c r="A280" s="55">
        <v>76</v>
      </c>
      <c r="B280" s="55">
        <v>1003</v>
      </c>
      <c r="C280" s="53" t="s">
        <v>59</v>
      </c>
      <c r="D280" s="54" t="s">
        <v>858</v>
      </c>
      <c r="E280" s="54" t="s">
        <v>1070</v>
      </c>
      <c r="F280" s="54" t="s">
        <v>873</v>
      </c>
      <c r="G280" s="77" t="s">
        <v>1657</v>
      </c>
      <c r="L280" s="55" t="str">
        <f t="shared" si="11"/>
        <v>{1},{3}</v>
      </c>
      <c r="M280" s="55" t="s">
        <v>356</v>
      </c>
      <c r="O280" s="54">
        <v>201</v>
      </c>
      <c r="P280" s="54" t="s">
        <v>884</v>
      </c>
      <c r="Q280" s="60">
        <v>2</v>
      </c>
      <c r="R280" s="54" t="s">
        <v>870</v>
      </c>
      <c r="T280" s="55" t="str">
        <f t="shared" si="12"/>
        <v>{201,300},{2,9000}</v>
      </c>
      <c r="U280" s="55" t="s">
        <v>900</v>
      </c>
    </row>
    <row r="281" spans="1:21">
      <c r="A281" s="55">
        <v>77</v>
      </c>
      <c r="B281" s="55">
        <v>1003</v>
      </c>
      <c r="C281" s="53" t="s">
        <v>59</v>
      </c>
      <c r="D281" s="54" t="s">
        <v>858</v>
      </c>
      <c r="E281" s="54" t="s">
        <v>1071</v>
      </c>
      <c r="F281" s="54" t="s">
        <v>873</v>
      </c>
      <c r="G281" s="77" t="s">
        <v>1658</v>
      </c>
      <c r="L281" s="55" t="str">
        <f t="shared" si="11"/>
        <v>{1},{3}</v>
      </c>
      <c r="M281" s="55" t="s">
        <v>357</v>
      </c>
      <c r="O281" s="54">
        <v>201</v>
      </c>
      <c r="P281" s="54" t="s">
        <v>884</v>
      </c>
      <c r="Q281" s="60">
        <v>2</v>
      </c>
      <c r="R281" s="54" t="s">
        <v>870</v>
      </c>
      <c r="T281" s="55" t="str">
        <f t="shared" si="12"/>
        <v>{201,300},{2,9000}</v>
      </c>
      <c r="U281" s="55" t="s">
        <v>900</v>
      </c>
    </row>
    <row r="282" spans="1:21">
      <c r="A282" s="55">
        <v>78</v>
      </c>
      <c r="B282" s="55">
        <v>1003</v>
      </c>
      <c r="C282" s="53" t="s">
        <v>59</v>
      </c>
      <c r="D282" s="54" t="s">
        <v>858</v>
      </c>
      <c r="E282" s="54" t="s">
        <v>1072</v>
      </c>
      <c r="F282" s="54" t="s">
        <v>873</v>
      </c>
      <c r="G282" s="77" t="s">
        <v>1659</v>
      </c>
      <c r="L282" s="55" t="str">
        <f t="shared" si="11"/>
        <v>{1},{3}</v>
      </c>
      <c r="M282" s="55" t="s">
        <v>358</v>
      </c>
      <c r="O282" s="54">
        <v>201</v>
      </c>
      <c r="P282" s="54" t="s">
        <v>884</v>
      </c>
      <c r="Q282" s="60">
        <v>2</v>
      </c>
      <c r="R282" s="54" t="s">
        <v>870</v>
      </c>
      <c r="T282" s="55" t="str">
        <f t="shared" si="12"/>
        <v>{201,300},{2,9000}</v>
      </c>
      <c r="U282" s="55" t="s">
        <v>900</v>
      </c>
    </row>
    <row r="283" spans="1:21">
      <c r="A283" s="55">
        <v>79</v>
      </c>
      <c r="B283" s="55">
        <v>1003</v>
      </c>
      <c r="C283" s="53" t="s">
        <v>59</v>
      </c>
      <c r="D283" s="54" t="s">
        <v>858</v>
      </c>
      <c r="E283" s="54" t="s">
        <v>1073</v>
      </c>
      <c r="F283" s="54" t="s">
        <v>873</v>
      </c>
      <c r="G283" s="77" t="s">
        <v>1660</v>
      </c>
      <c r="L283" s="55" t="str">
        <f t="shared" si="11"/>
        <v>{1},{3}</v>
      </c>
      <c r="M283" s="55" t="s">
        <v>359</v>
      </c>
      <c r="O283" s="54">
        <v>201</v>
      </c>
      <c r="P283" s="54" t="s">
        <v>884</v>
      </c>
      <c r="Q283" s="60">
        <v>2</v>
      </c>
      <c r="R283" s="54" t="s">
        <v>870</v>
      </c>
      <c r="T283" s="55" t="str">
        <f t="shared" si="12"/>
        <v>{201,300},{2,9000}</v>
      </c>
      <c r="U283" s="55" t="s">
        <v>900</v>
      </c>
    </row>
    <row r="284" spans="1:21" s="63" customFormat="1">
      <c r="A284" s="63">
        <v>80</v>
      </c>
      <c r="B284" s="63">
        <v>1003</v>
      </c>
      <c r="C284" s="61" t="s">
        <v>60</v>
      </c>
      <c r="D284" s="62" t="s">
        <v>858</v>
      </c>
      <c r="E284" s="62" t="s">
        <v>1074</v>
      </c>
      <c r="F284" s="62" t="s">
        <v>873</v>
      </c>
      <c r="G284" s="78" t="s">
        <v>1661</v>
      </c>
      <c r="H284" s="78"/>
      <c r="I284" s="78"/>
      <c r="J284" s="78"/>
      <c r="L284" s="63" t="str">
        <f t="shared" si="11"/>
        <v>{1},{3}</v>
      </c>
      <c r="M284" s="63" t="s">
        <v>360</v>
      </c>
      <c r="O284" s="62" t="s">
        <v>886</v>
      </c>
      <c r="P284" s="62" t="s">
        <v>884</v>
      </c>
      <c r="Q284" s="64">
        <v>2</v>
      </c>
      <c r="R284" s="62" t="s">
        <v>871</v>
      </c>
      <c r="T284" s="55" t="str">
        <f t="shared" si="12"/>
        <v>{301,300},{2,10500}</v>
      </c>
      <c r="U284" s="63" t="s">
        <v>901</v>
      </c>
    </row>
    <row r="285" spans="1:21">
      <c r="A285" s="55">
        <v>81</v>
      </c>
      <c r="B285" s="55">
        <v>1003</v>
      </c>
      <c r="C285" s="53" t="s">
        <v>61</v>
      </c>
      <c r="D285" s="54" t="s">
        <v>858</v>
      </c>
      <c r="E285" s="54" t="s">
        <v>1075</v>
      </c>
      <c r="F285" s="54" t="s">
        <v>873</v>
      </c>
      <c r="G285" s="77" t="s">
        <v>1662</v>
      </c>
      <c r="L285" s="55" t="str">
        <f t="shared" si="11"/>
        <v>{1},{3}</v>
      </c>
      <c r="M285" s="55" t="s">
        <v>361</v>
      </c>
      <c r="O285" s="54">
        <v>201</v>
      </c>
      <c r="P285" s="54" t="s">
        <v>885</v>
      </c>
      <c r="Q285" s="60">
        <v>2</v>
      </c>
      <c r="R285" s="54" t="s">
        <v>872</v>
      </c>
      <c r="T285" s="55" t="str">
        <f t="shared" si="12"/>
        <v>{201,450},{2,15750}</v>
      </c>
      <c r="U285" s="55" t="s">
        <v>902</v>
      </c>
    </row>
    <row r="286" spans="1:21">
      <c r="A286" s="55">
        <v>82</v>
      </c>
      <c r="B286" s="55">
        <v>1003</v>
      </c>
      <c r="C286" s="53" t="s">
        <v>61</v>
      </c>
      <c r="D286" s="54" t="s">
        <v>858</v>
      </c>
      <c r="E286" s="54" t="s">
        <v>1076</v>
      </c>
      <c r="F286" s="54" t="s">
        <v>873</v>
      </c>
      <c r="G286" s="77" t="s">
        <v>1663</v>
      </c>
      <c r="L286" s="55" t="str">
        <f t="shared" si="11"/>
        <v>{1},{3}</v>
      </c>
      <c r="M286" s="55" t="s">
        <v>362</v>
      </c>
      <c r="O286" s="54">
        <v>201</v>
      </c>
      <c r="P286" s="54" t="s">
        <v>885</v>
      </c>
      <c r="Q286" s="60">
        <v>2</v>
      </c>
      <c r="R286" s="54" t="s">
        <v>872</v>
      </c>
      <c r="T286" s="55" t="str">
        <f t="shared" si="12"/>
        <v>{201,450},{2,15750}</v>
      </c>
      <c r="U286" s="55" t="s">
        <v>902</v>
      </c>
    </row>
    <row r="287" spans="1:21">
      <c r="A287" s="55">
        <v>83</v>
      </c>
      <c r="B287" s="55">
        <v>1003</v>
      </c>
      <c r="C287" s="53" t="s">
        <v>61</v>
      </c>
      <c r="D287" s="54" t="s">
        <v>858</v>
      </c>
      <c r="E287" s="54" t="s">
        <v>1077</v>
      </c>
      <c r="F287" s="54" t="s">
        <v>873</v>
      </c>
      <c r="G287" s="77" t="s">
        <v>1664</v>
      </c>
      <c r="L287" s="55" t="str">
        <f t="shared" si="11"/>
        <v>{1},{3}</v>
      </c>
      <c r="M287" s="55" t="s">
        <v>363</v>
      </c>
      <c r="O287" s="54">
        <v>201</v>
      </c>
      <c r="P287" s="54" t="s">
        <v>885</v>
      </c>
      <c r="Q287" s="60">
        <v>2</v>
      </c>
      <c r="R287" s="54" t="s">
        <v>872</v>
      </c>
      <c r="T287" s="55" t="str">
        <f t="shared" si="12"/>
        <v>{201,450},{2,15750}</v>
      </c>
      <c r="U287" s="55" t="s">
        <v>902</v>
      </c>
    </row>
    <row r="288" spans="1:21">
      <c r="A288" s="55">
        <v>84</v>
      </c>
      <c r="B288" s="55">
        <v>1003</v>
      </c>
      <c r="C288" s="53" t="s">
        <v>61</v>
      </c>
      <c r="D288" s="54" t="s">
        <v>858</v>
      </c>
      <c r="E288" s="54" t="s">
        <v>1078</v>
      </c>
      <c r="F288" s="54" t="s">
        <v>873</v>
      </c>
      <c r="G288" s="77" t="s">
        <v>1665</v>
      </c>
      <c r="L288" s="55" t="str">
        <f t="shared" si="11"/>
        <v>{1},{3}</v>
      </c>
      <c r="M288" s="55" t="s">
        <v>364</v>
      </c>
      <c r="O288" s="54">
        <v>201</v>
      </c>
      <c r="P288" s="54" t="s">
        <v>885</v>
      </c>
      <c r="Q288" s="60">
        <v>2</v>
      </c>
      <c r="R288" s="54" t="s">
        <v>872</v>
      </c>
      <c r="T288" s="55" t="str">
        <f t="shared" si="12"/>
        <v>{201,450},{2,15750}</v>
      </c>
      <c r="U288" s="55" t="s">
        <v>902</v>
      </c>
    </row>
    <row r="289" spans="1:21">
      <c r="A289" s="55">
        <v>85</v>
      </c>
      <c r="B289" s="55">
        <v>1003</v>
      </c>
      <c r="C289" s="53" t="s">
        <v>61</v>
      </c>
      <c r="D289" s="54" t="s">
        <v>858</v>
      </c>
      <c r="E289" s="54" t="s">
        <v>1079</v>
      </c>
      <c r="F289" s="54" t="s">
        <v>873</v>
      </c>
      <c r="G289" s="77" t="s">
        <v>1666</v>
      </c>
      <c r="L289" s="55" t="str">
        <f t="shared" si="11"/>
        <v>{1},{3}</v>
      </c>
      <c r="M289" s="55" t="s">
        <v>365</v>
      </c>
      <c r="O289" s="54">
        <v>201</v>
      </c>
      <c r="P289" s="54" t="s">
        <v>885</v>
      </c>
      <c r="Q289" s="60">
        <v>2</v>
      </c>
      <c r="R289" s="54" t="s">
        <v>872</v>
      </c>
      <c r="T289" s="55" t="str">
        <f t="shared" si="12"/>
        <v>{201,450},{2,15750}</v>
      </c>
      <c r="U289" s="55" t="s">
        <v>902</v>
      </c>
    </row>
    <row r="290" spans="1:21">
      <c r="A290" s="55">
        <v>86</v>
      </c>
      <c r="B290" s="55">
        <v>1003</v>
      </c>
      <c r="C290" s="53" t="s">
        <v>61</v>
      </c>
      <c r="D290" s="54" t="s">
        <v>858</v>
      </c>
      <c r="E290" s="54" t="s">
        <v>1080</v>
      </c>
      <c r="F290" s="54" t="s">
        <v>873</v>
      </c>
      <c r="G290" s="77" t="s">
        <v>1667</v>
      </c>
      <c r="L290" s="55" t="str">
        <f t="shared" si="11"/>
        <v>{1},{3}</v>
      </c>
      <c r="M290" s="55" t="s">
        <v>366</v>
      </c>
      <c r="O290" s="54">
        <v>201</v>
      </c>
      <c r="P290" s="54" t="s">
        <v>885</v>
      </c>
      <c r="Q290" s="60">
        <v>2</v>
      </c>
      <c r="R290" s="54" t="s">
        <v>872</v>
      </c>
      <c r="T290" s="55" t="str">
        <f t="shared" si="12"/>
        <v>{201,450},{2,15750}</v>
      </c>
      <c r="U290" s="55" t="s">
        <v>902</v>
      </c>
    </row>
    <row r="291" spans="1:21">
      <c r="A291" s="55">
        <v>87</v>
      </c>
      <c r="B291" s="55">
        <v>1003</v>
      </c>
      <c r="C291" s="53" t="s">
        <v>61</v>
      </c>
      <c r="D291" s="54" t="s">
        <v>858</v>
      </c>
      <c r="E291" s="54" t="s">
        <v>1081</v>
      </c>
      <c r="F291" s="54" t="s">
        <v>873</v>
      </c>
      <c r="G291" s="77" t="s">
        <v>1668</v>
      </c>
      <c r="L291" s="55" t="str">
        <f t="shared" si="11"/>
        <v>{1},{3}</v>
      </c>
      <c r="M291" s="55" t="s">
        <v>367</v>
      </c>
      <c r="O291" s="54">
        <v>201</v>
      </c>
      <c r="P291" s="54" t="s">
        <v>885</v>
      </c>
      <c r="Q291" s="60">
        <v>2</v>
      </c>
      <c r="R291" s="54" t="s">
        <v>872</v>
      </c>
      <c r="T291" s="55" t="str">
        <f t="shared" si="12"/>
        <v>{201,450},{2,15750}</v>
      </c>
      <c r="U291" s="55" t="s">
        <v>902</v>
      </c>
    </row>
    <row r="292" spans="1:21">
      <c r="A292" s="55">
        <v>88</v>
      </c>
      <c r="B292" s="55">
        <v>1003</v>
      </c>
      <c r="C292" s="53" t="s">
        <v>61</v>
      </c>
      <c r="D292" s="54" t="s">
        <v>858</v>
      </c>
      <c r="E292" s="54" t="s">
        <v>1082</v>
      </c>
      <c r="F292" s="54" t="s">
        <v>873</v>
      </c>
      <c r="G292" s="77" t="s">
        <v>1669</v>
      </c>
      <c r="L292" s="55" t="str">
        <f t="shared" si="11"/>
        <v>{1},{3}</v>
      </c>
      <c r="M292" s="55" t="s">
        <v>368</v>
      </c>
      <c r="O292" s="54">
        <v>201</v>
      </c>
      <c r="P292" s="54" t="s">
        <v>885</v>
      </c>
      <c r="Q292" s="60">
        <v>2</v>
      </c>
      <c r="R292" s="54" t="s">
        <v>872</v>
      </c>
      <c r="T292" s="55" t="str">
        <f t="shared" si="12"/>
        <v>{201,450},{2,15750}</v>
      </c>
      <c r="U292" s="55" t="s">
        <v>902</v>
      </c>
    </row>
    <row r="293" spans="1:21">
      <c r="A293" s="55">
        <v>89</v>
      </c>
      <c r="B293" s="55">
        <v>1003</v>
      </c>
      <c r="C293" s="53" t="s">
        <v>61</v>
      </c>
      <c r="D293" s="54" t="s">
        <v>858</v>
      </c>
      <c r="E293" s="54" t="s">
        <v>1083</v>
      </c>
      <c r="F293" s="54" t="s">
        <v>873</v>
      </c>
      <c r="G293" s="77" t="s">
        <v>1670</v>
      </c>
      <c r="L293" s="55" t="str">
        <f t="shared" si="11"/>
        <v>{1},{3}</v>
      </c>
      <c r="M293" s="55" t="s">
        <v>369</v>
      </c>
      <c r="O293" s="54">
        <v>201</v>
      </c>
      <c r="P293" s="54" t="s">
        <v>885</v>
      </c>
      <c r="Q293" s="60">
        <v>2</v>
      </c>
      <c r="R293" s="54" t="s">
        <v>872</v>
      </c>
      <c r="T293" s="55" t="str">
        <f t="shared" si="12"/>
        <v>{201,450},{2,15750}</v>
      </c>
      <c r="U293" s="55" t="s">
        <v>902</v>
      </c>
    </row>
    <row r="294" spans="1:21">
      <c r="A294" s="55">
        <v>90</v>
      </c>
      <c r="B294" s="55">
        <v>1003</v>
      </c>
      <c r="C294" s="53" t="s">
        <v>61</v>
      </c>
      <c r="D294" s="54" t="s">
        <v>858</v>
      </c>
      <c r="E294" s="54" t="s">
        <v>1084</v>
      </c>
      <c r="F294" s="54" t="s">
        <v>873</v>
      </c>
      <c r="G294" s="77" t="s">
        <v>1671</v>
      </c>
      <c r="L294" s="55" t="str">
        <f t="shared" si="11"/>
        <v>{1},{3}</v>
      </c>
      <c r="M294" s="55" t="s">
        <v>370</v>
      </c>
      <c r="O294" s="54">
        <v>201</v>
      </c>
      <c r="P294" s="54" t="s">
        <v>885</v>
      </c>
      <c r="Q294" s="60">
        <v>2</v>
      </c>
      <c r="R294" s="54" t="s">
        <v>872</v>
      </c>
      <c r="T294" s="55" t="str">
        <f t="shared" si="12"/>
        <v>{201,450},{2,15750}</v>
      </c>
      <c r="U294" s="55" t="s">
        <v>902</v>
      </c>
    </row>
    <row r="295" spans="1:21">
      <c r="A295" s="55">
        <v>91</v>
      </c>
      <c r="B295" s="55">
        <v>1003</v>
      </c>
      <c r="C295" s="53" t="s">
        <v>61</v>
      </c>
      <c r="D295" s="54" t="s">
        <v>858</v>
      </c>
      <c r="E295" s="54" t="s">
        <v>1085</v>
      </c>
      <c r="F295" s="54" t="s">
        <v>873</v>
      </c>
      <c r="G295" s="77" t="s">
        <v>1672</v>
      </c>
      <c r="L295" s="55" t="str">
        <f t="shared" si="11"/>
        <v>{1},{3}</v>
      </c>
      <c r="M295" s="55" t="s">
        <v>371</v>
      </c>
      <c r="O295" s="54">
        <v>201</v>
      </c>
      <c r="P295" s="54" t="s">
        <v>885</v>
      </c>
      <c r="Q295" s="60">
        <v>2</v>
      </c>
      <c r="R295" s="54" t="s">
        <v>872</v>
      </c>
      <c r="T295" s="55" t="str">
        <f t="shared" si="12"/>
        <v>{201,450},{2,15750}</v>
      </c>
      <c r="U295" s="55" t="s">
        <v>902</v>
      </c>
    </row>
    <row r="296" spans="1:21">
      <c r="A296" s="55">
        <v>92</v>
      </c>
      <c r="B296" s="55">
        <v>1003</v>
      </c>
      <c r="C296" s="53" t="s">
        <v>61</v>
      </c>
      <c r="D296" s="54" t="s">
        <v>858</v>
      </c>
      <c r="E296" s="54" t="s">
        <v>1086</v>
      </c>
      <c r="F296" s="54" t="s">
        <v>873</v>
      </c>
      <c r="G296" s="77" t="s">
        <v>1673</v>
      </c>
      <c r="L296" s="55" t="str">
        <f t="shared" si="11"/>
        <v>{1},{3}</v>
      </c>
      <c r="M296" s="55" t="s">
        <v>372</v>
      </c>
      <c r="O296" s="54">
        <v>201</v>
      </c>
      <c r="P296" s="54" t="s">
        <v>885</v>
      </c>
      <c r="Q296" s="60">
        <v>2</v>
      </c>
      <c r="R296" s="54" t="s">
        <v>872</v>
      </c>
      <c r="T296" s="55" t="str">
        <f t="shared" si="12"/>
        <v>{201,450},{2,15750}</v>
      </c>
      <c r="U296" s="55" t="s">
        <v>902</v>
      </c>
    </row>
    <row r="297" spans="1:21">
      <c r="A297" s="55">
        <v>93</v>
      </c>
      <c r="B297" s="55">
        <v>1003</v>
      </c>
      <c r="C297" s="53" t="s">
        <v>61</v>
      </c>
      <c r="D297" s="54" t="s">
        <v>858</v>
      </c>
      <c r="E297" s="54" t="s">
        <v>1087</v>
      </c>
      <c r="F297" s="54" t="s">
        <v>873</v>
      </c>
      <c r="G297" s="77" t="s">
        <v>1674</v>
      </c>
      <c r="L297" s="55" t="str">
        <f t="shared" si="11"/>
        <v>{1},{3}</v>
      </c>
      <c r="M297" s="55" t="s">
        <v>373</v>
      </c>
      <c r="O297" s="54">
        <v>201</v>
      </c>
      <c r="P297" s="54" t="s">
        <v>885</v>
      </c>
      <c r="Q297" s="60">
        <v>2</v>
      </c>
      <c r="R297" s="54" t="s">
        <v>872</v>
      </c>
      <c r="T297" s="55" t="str">
        <f t="shared" si="12"/>
        <v>{201,450},{2,15750}</v>
      </c>
      <c r="U297" s="55" t="s">
        <v>902</v>
      </c>
    </row>
    <row r="298" spans="1:21">
      <c r="A298" s="55">
        <v>94</v>
      </c>
      <c r="B298" s="55">
        <v>1003</v>
      </c>
      <c r="C298" s="53" t="s">
        <v>61</v>
      </c>
      <c r="D298" s="54" t="s">
        <v>858</v>
      </c>
      <c r="E298" s="54" t="s">
        <v>1088</v>
      </c>
      <c r="F298" s="54" t="s">
        <v>873</v>
      </c>
      <c r="G298" s="77" t="s">
        <v>1675</v>
      </c>
      <c r="L298" s="55" t="str">
        <f t="shared" si="11"/>
        <v>{1},{3}</v>
      </c>
      <c r="M298" s="55" t="s">
        <v>374</v>
      </c>
      <c r="O298" s="54">
        <v>201</v>
      </c>
      <c r="P298" s="54" t="s">
        <v>885</v>
      </c>
      <c r="Q298" s="60">
        <v>2</v>
      </c>
      <c r="R298" s="54" t="s">
        <v>872</v>
      </c>
      <c r="T298" s="55" t="str">
        <f t="shared" si="12"/>
        <v>{201,450},{2,15750}</v>
      </c>
      <c r="U298" s="55" t="s">
        <v>902</v>
      </c>
    </row>
    <row r="299" spans="1:21">
      <c r="A299" s="55">
        <v>95</v>
      </c>
      <c r="B299" s="55">
        <v>1003</v>
      </c>
      <c r="C299" s="53" t="s">
        <v>61</v>
      </c>
      <c r="D299" s="54" t="s">
        <v>858</v>
      </c>
      <c r="E299" s="54" t="s">
        <v>1089</v>
      </c>
      <c r="F299" s="54" t="s">
        <v>873</v>
      </c>
      <c r="G299" s="77" t="s">
        <v>1676</v>
      </c>
      <c r="L299" s="55" t="str">
        <f t="shared" si="11"/>
        <v>{1},{3}</v>
      </c>
      <c r="M299" s="55" t="s">
        <v>375</v>
      </c>
      <c r="O299" s="54">
        <v>201</v>
      </c>
      <c r="P299" s="54" t="s">
        <v>885</v>
      </c>
      <c r="Q299" s="60">
        <v>2</v>
      </c>
      <c r="R299" s="54" t="s">
        <v>872</v>
      </c>
      <c r="T299" s="55" t="str">
        <f t="shared" si="12"/>
        <v>{201,450},{2,15750}</v>
      </c>
      <c r="U299" s="55" t="s">
        <v>902</v>
      </c>
    </row>
    <row r="300" spans="1:21">
      <c r="A300" s="55">
        <v>96</v>
      </c>
      <c r="B300" s="55">
        <v>1003</v>
      </c>
      <c r="C300" s="53" t="s">
        <v>61</v>
      </c>
      <c r="D300" s="54" t="s">
        <v>858</v>
      </c>
      <c r="E300" s="54" t="s">
        <v>1090</v>
      </c>
      <c r="F300" s="54" t="s">
        <v>873</v>
      </c>
      <c r="G300" s="77" t="s">
        <v>1677</v>
      </c>
      <c r="L300" s="55" t="str">
        <f t="shared" si="11"/>
        <v>{1},{3}</v>
      </c>
      <c r="M300" s="55" t="s">
        <v>376</v>
      </c>
      <c r="O300" s="54">
        <v>201</v>
      </c>
      <c r="P300" s="54" t="s">
        <v>885</v>
      </c>
      <c r="Q300" s="60">
        <v>2</v>
      </c>
      <c r="R300" s="54" t="s">
        <v>872</v>
      </c>
      <c r="T300" s="55" t="str">
        <f t="shared" si="12"/>
        <v>{201,450},{2,15750}</v>
      </c>
      <c r="U300" s="55" t="s">
        <v>902</v>
      </c>
    </row>
    <row r="301" spans="1:21">
      <c r="A301" s="55">
        <v>97</v>
      </c>
      <c r="B301" s="55">
        <v>1003</v>
      </c>
      <c r="C301" s="53" t="s">
        <v>61</v>
      </c>
      <c r="D301" s="54" t="s">
        <v>858</v>
      </c>
      <c r="E301" s="54" t="s">
        <v>1091</v>
      </c>
      <c r="F301" s="54" t="s">
        <v>873</v>
      </c>
      <c r="G301" s="77" t="s">
        <v>1678</v>
      </c>
      <c r="L301" s="55" t="str">
        <f t="shared" si="11"/>
        <v>{1},{3}</v>
      </c>
      <c r="M301" s="55" t="s">
        <v>377</v>
      </c>
      <c r="O301" s="54">
        <v>201</v>
      </c>
      <c r="P301" s="54" t="s">
        <v>885</v>
      </c>
      <c r="Q301" s="60">
        <v>2</v>
      </c>
      <c r="R301" s="54" t="s">
        <v>872</v>
      </c>
      <c r="T301" s="55" t="str">
        <f t="shared" si="12"/>
        <v>{201,450},{2,15750}</v>
      </c>
      <c r="U301" s="55" t="s">
        <v>902</v>
      </c>
    </row>
    <row r="302" spans="1:21">
      <c r="A302" s="55">
        <v>98</v>
      </c>
      <c r="B302" s="55">
        <v>1003</v>
      </c>
      <c r="C302" s="53" t="s">
        <v>61</v>
      </c>
      <c r="D302" s="54" t="s">
        <v>858</v>
      </c>
      <c r="E302" s="54" t="s">
        <v>1092</v>
      </c>
      <c r="F302" s="54" t="s">
        <v>873</v>
      </c>
      <c r="G302" s="77" t="s">
        <v>1679</v>
      </c>
      <c r="L302" s="55" t="str">
        <f t="shared" si="11"/>
        <v>{1},{3}</v>
      </c>
      <c r="M302" s="55" t="s">
        <v>378</v>
      </c>
      <c r="O302" s="54">
        <v>201</v>
      </c>
      <c r="P302" s="54" t="s">
        <v>885</v>
      </c>
      <c r="Q302" s="60">
        <v>2</v>
      </c>
      <c r="R302" s="54" t="s">
        <v>872</v>
      </c>
      <c r="T302" s="55" t="str">
        <f t="shared" si="12"/>
        <v>{201,450},{2,15750}</v>
      </c>
      <c r="U302" s="55" t="s">
        <v>902</v>
      </c>
    </row>
    <row r="303" spans="1:21">
      <c r="A303" s="55">
        <v>99</v>
      </c>
      <c r="B303" s="55">
        <v>1003</v>
      </c>
      <c r="C303" s="53" t="s">
        <v>61</v>
      </c>
      <c r="D303" s="54" t="s">
        <v>858</v>
      </c>
      <c r="E303" s="54" t="s">
        <v>1093</v>
      </c>
      <c r="F303" s="54" t="s">
        <v>873</v>
      </c>
      <c r="G303" s="77" t="s">
        <v>1680</v>
      </c>
      <c r="L303" s="55" t="str">
        <f t="shared" si="11"/>
        <v>{1},{3}</v>
      </c>
      <c r="M303" s="55" t="s">
        <v>379</v>
      </c>
      <c r="O303" s="54">
        <v>201</v>
      </c>
      <c r="P303" s="54" t="s">
        <v>885</v>
      </c>
      <c r="Q303" s="60">
        <v>2</v>
      </c>
      <c r="R303" s="54" t="s">
        <v>872</v>
      </c>
      <c r="T303" s="55" t="str">
        <f t="shared" si="12"/>
        <v>{201,450},{2,15750}</v>
      </c>
      <c r="U303" s="55" t="s">
        <v>902</v>
      </c>
    </row>
    <row r="304" spans="1:21">
      <c r="A304" s="55">
        <v>100</v>
      </c>
      <c r="B304" s="55">
        <v>1003</v>
      </c>
      <c r="D304" s="54" t="s">
        <v>858</v>
      </c>
      <c r="E304" s="54" t="s">
        <v>1094</v>
      </c>
      <c r="F304" s="54" t="s">
        <v>873</v>
      </c>
      <c r="G304" s="77" t="s">
        <v>1681</v>
      </c>
      <c r="L304" s="55" t="str">
        <f t="shared" si="11"/>
        <v>{1},{3}</v>
      </c>
      <c r="M304" s="55" t="s">
        <v>380</v>
      </c>
      <c r="Q304" s="65"/>
      <c r="T304" s="55" t="str">
        <f t="shared" si="12"/>
        <v>{,},{,}</v>
      </c>
      <c r="U304" s="55" t="s">
        <v>903</v>
      </c>
    </row>
    <row r="305" spans="1:21">
      <c r="A305" s="55">
        <v>1</v>
      </c>
      <c r="B305" s="55">
        <f>B205+1</f>
        <v>1004</v>
      </c>
      <c r="C305" s="53" t="s">
        <v>46</v>
      </c>
      <c r="D305" s="54" t="s">
        <v>858</v>
      </c>
      <c r="E305" s="54" t="s">
        <v>861</v>
      </c>
      <c r="F305" s="54" t="s">
        <v>873</v>
      </c>
      <c r="G305" s="77" t="s">
        <v>867</v>
      </c>
      <c r="L305" s="55" t="str">
        <f t="shared" si="11"/>
        <v>{1},{3}</v>
      </c>
      <c r="M305" s="55" t="s">
        <v>381</v>
      </c>
      <c r="O305" s="54">
        <v>201</v>
      </c>
      <c r="P305" s="54" t="s">
        <v>874</v>
      </c>
      <c r="Q305" s="60">
        <v>2</v>
      </c>
      <c r="R305" s="54" t="s">
        <v>859</v>
      </c>
      <c r="T305" s="55" t="str">
        <f t="shared" si="12"/>
        <v>{201,20},{2,400}</v>
      </c>
      <c r="U305" s="55" t="s">
        <v>887</v>
      </c>
    </row>
    <row r="306" spans="1:21">
      <c r="A306" s="55">
        <v>2</v>
      </c>
      <c r="B306" s="55">
        <f t="shared" ref="B306:B369" si="13">B206+1</f>
        <v>1004</v>
      </c>
      <c r="C306" s="53" t="s">
        <v>47</v>
      </c>
      <c r="D306" s="54" t="s">
        <v>858</v>
      </c>
      <c r="E306" s="54" t="s">
        <v>1095</v>
      </c>
      <c r="F306" s="54" t="s">
        <v>873</v>
      </c>
      <c r="G306" s="77" t="s">
        <v>1291</v>
      </c>
      <c r="L306" s="55" t="str">
        <f t="shared" si="11"/>
        <v>{1},{3}</v>
      </c>
      <c r="M306" s="55" t="s">
        <v>382</v>
      </c>
      <c r="O306" s="54">
        <v>201</v>
      </c>
      <c r="P306" s="54" t="s">
        <v>875</v>
      </c>
      <c r="Q306" s="60">
        <v>2</v>
      </c>
      <c r="R306" s="54" t="s">
        <v>860</v>
      </c>
      <c r="T306" s="55" t="str">
        <f t="shared" si="12"/>
        <v>{201,22},{2,440}</v>
      </c>
      <c r="U306" s="55" t="s">
        <v>888</v>
      </c>
    </row>
    <row r="307" spans="1:21">
      <c r="A307" s="55">
        <v>3</v>
      </c>
      <c r="B307" s="55">
        <f t="shared" si="13"/>
        <v>1004</v>
      </c>
      <c r="C307" s="53" t="s">
        <v>48</v>
      </c>
      <c r="D307" s="54" t="s">
        <v>858</v>
      </c>
      <c r="E307" s="54" t="s">
        <v>1096</v>
      </c>
      <c r="F307" s="54" t="s">
        <v>873</v>
      </c>
      <c r="G307" s="77" t="s">
        <v>1221</v>
      </c>
      <c r="L307" s="55" t="str">
        <f t="shared" si="11"/>
        <v>{1},{3}</v>
      </c>
      <c r="M307" s="55" t="s">
        <v>383</v>
      </c>
      <c r="O307" s="54">
        <v>201</v>
      </c>
      <c r="P307" s="54" t="s">
        <v>876</v>
      </c>
      <c r="Q307" s="60">
        <v>2</v>
      </c>
      <c r="R307" s="54" t="s">
        <v>861</v>
      </c>
      <c r="T307" s="55" t="str">
        <f t="shared" si="12"/>
        <v>{201,24},{2,480}</v>
      </c>
      <c r="U307" s="55" t="s">
        <v>889</v>
      </c>
    </row>
    <row r="308" spans="1:21">
      <c r="A308" s="55">
        <v>4</v>
      </c>
      <c r="B308" s="55">
        <f t="shared" si="13"/>
        <v>1004</v>
      </c>
      <c r="C308" s="53" t="s">
        <v>49</v>
      </c>
      <c r="D308" s="54" t="s">
        <v>858</v>
      </c>
      <c r="E308" s="54" t="s">
        <v>1097</v>
      </c>
      <c r="F308" s="54" t="s">
        <v>873</v>
      </c>
      <c r="G308" s="77" t="s">
        <v>1296</v>
      </c>
      <c r="L308" s="55" t="str">
        <f t="shared" si="11"/>
        <v>{1},{3}</v>
      </c>
      <c r="M308" s="55" t="s">
        <v>384</v>
      </c>
      <c r="O308" s="54">
        <v>201</v>
      </c>
      <c r="P308" s="54" t="s">
        <v>877</v>
      </c>
      <c r="Q308" s="60">
        <v>2</v>
      </c>
      <c r="R308" s="54" t="s">
        <v>862</v>
      </c>
      <c r="T308" s="55" t="str">
        <f t="shared" si="12"/>
        <v>{201,25},{2,500}</v>
      </c>
      <c r="U308" s="55" t="s">
        <v>890</v>
      </c>
    </row>
    <row r="309" spans="1:21">
      <c r="A309" s="55">
        <v>5</v>
      </c>
      <c r="B309" s="55">
        <f t="shared" si="13"/>
        <v>1004</v>
      </c>
      <c r="C309" s="53" t="s">
        <v>50</v>
      </c>
      <c r="D309" s="54" t="s">
        <v>858</v>
      </c>
      <c r="E309" s="54" t="s">
        <v>1098</v>
      </c>
      <c r="F309" s="54" t="s">
        <v>873</v>
      </c>
      <c r="G309" s="77" t="s">
        <v>1682</v>
      </c>
      <c r="L309" s="55" t="str">
        <f t="shared" si="11"/>
        <v>{1},{3}</v>
      </c>
      <c r="M309" s="55" t="s">
        <v>385</v>
      </c>
      <c r="O309" s="54">
        <v>201</v>
      </c>
      <c r="P309" s="54" t="s">
        <v>878</v>
      </c>
      <c r="Q309" s="60">
        <v>2</v>
      </c>
      <c r="R309" s="54" t="s">
        <v>863</v>
      </c>
      <c r="T309" s="55" t="str">
        <f t="shared" si="12"/>
        <v>{201,27},{2,540}</v>
      </c>
      <c r="U309" s="55" t="s">
        <v>891</v>
      </c>
    </row>
    <row r="310" spans="1:21">
      <c r="A310" s="55">
        <v>6</v>
      </c>
      <c r="B310" s="55">
        <f t="shared" si="13"/>
        <v>1004</v>
      </c>
      <c r="C310" s="53" t="s">
        <v>51</v>
      </c>
      <c r="D310" s="54" t="s">
        <v>858</v>
      </c>
      <c r="E310" s="54" t="s">
        <v>1016</v>
      </c>
      <c r="F310" s="54" t="s">
        <v>873</v>
      </c>
      <c r="G310" s="77" t="s">
        <v>1301</v>
      </c>
      <c r="L310" s="55" t="str">
        <f t="shared" si="11"/>
        <v>{1},{3}</v>
      </c>
      <c r="M310" s="55" t="s">
        <v>386</v>
      </c>
      <c r="O310" s="54">
        <v>201</v>
      </c>
      <c r="P310" s="54" t="s">
        <v>879</v>
      </c>
      <c r="Q310" s="60">
        <v>2</v>
      </c>
      <c r="R310" s="54" t="s">
        <v>864</v>
      </c>
      <c r="T310" s="55" t="str">
        <f t="shared" si="12"/>
        <v>{201,29},{2,580}</v>
      </c>
      <c r="U310" s="55" t="s">
        <v>892</v>
      </c>
    </row>
    <row r="311" spans="1:21">
      <c r="A311" s="55">
        <v>7</v>
      </c>
      <c r="B311" s="55">
        <f t="shared" si="13"/>
        <v>1004</v>
      </c>
      <c r="C311" s="53" t="s">
        <v>52</v>
      </c>
      <c r="D311" s="54" t="s">
        <v>858</v>
      </c>
      <c r="E311" s="54" t="s">
        <v>1099</v>
      </c>
      <c r="F311" s="54" t="s">
        <v>873</v>
      </c>
      <c r="G311" s="77" t="s">
        <v>1683</v>
      </c>
      <c r="L311" s="55" t="str">
        <f t="shared" si="11"/>
        <v>{1},{3}</v>
      </c>
      <c r="M311" s="55" t="s">
        <v>387</v>
      </c>
      <c r="O311" s="54">
        <v>201</v>
      </c>
      <c r="P311" s="54" t="s">
        <v>880</v>
      </c>
      <c r="Q311" s="60">
        <v>2</v>
      </c>
      <c r="R311" s="54" t="s">
        <v>865</v>
      </c>
      <c r="T311" s="55" t="str">
        <f t="shared" si="12"/>
        <v>{201,30},{2,600}</v>
      </c>
      <c r="U311" s="55" t="s">
        <v>893</v>
      </c>
    </row>
    <row r="312" spans="1:21">
      <c r="A312" s="55">
        <v>8</v>
      </c>
      <c r="B312" s="55">
        <f t="shared" si="13"/>
        <v>1004</v>
      </c>
      <c r="C312" s="53" t="s">
        <v>53</v>
      </c>
      <c r="D312" s="54" t="s">
        <v>858</v>
      </c>
      <c r="E312" s="54" t="s">
        <v>1100</v>
      </c>
      <c r="F312" s="54" t="s">
        <v>873</v>
      </c>
      <c r="G312" s="77" t="s">
        <v>1684</v>
      </c>
      <c r="L312" s="55" t="str">
        <f t="shared" si="11"/>
        <v>{1},{3}</v>
      </c>
      <c r="M312" s="55" t="s">
        <v>388</v>
      </c>
      <c r="O312" s="54">
        <v>201</v>
      </c>
      <c r="P312" s="54" t="s">
        <v>881</v>
      </c>
      <c r="Q312" s="60">
        <v>2</v>
      </c>
      <c r="R312" s="54" t="s">
        <v>866</v>
      </c>
      <c r="T312" s="55" t="str">
        <f t="shared" si="12"/>
        <v>{201,50},{2,1000}</v>
      </c>
      <c r="U312" s="55" t="s">
        <v>894</v>
      </c>
    </row>
    <row r="313" spans="1:21">
      <c r="A313" s="55">
        <v>9</v>
      </c>
      <c r="B313" s="55">
        <f t="shared" si="13"/>
        <v>1004</v>
      </c>
      <c r="C313" s="53" t="s">
        <v>53</v>
      </c>
      <c r="D313" s="54" t="s">
        <v>858</v>
      </c>
      <c r="E313" s="54" t="s">
        <v>1101</v>
      </c>
      <c r="F313" s="54" t="s">
        <v>873</v>
      </c>
      <c r="G313" s="77" t="s">
        <v>1127</v>
      </c>
      <c r="L313" s="55" t="str">
        <f t="shared" si="11"/>
        <v>{1},{3}</v>
      </c>
      <c r="M313" s="55" t="s">
        <v>389</v>
      </c>
      <c r="O313" s="54">
        <v>201</v>
      </c>
      <c r="P313" s="54" t="s">
        <v>881</v>
      </c>
      <c r="Q313" s="60">
        <v>2</v>
      </c>
      <c r="R313" s="54" t="s">
        <v>866</v>
      </c>
      <c r="T313" s="55" t="str">
        <f t="shared" si="12"/>
        <v>{201,50},{2,1000}</v>
      </c>
      <c r="U313" s="55" t="s">
        <v>894</v>
      </c>
    </row>
    <row r="314" spans="1:21">
      <c r="A314" s="55">
        <v>10</v>
      </c>
      <c r="B314" s="55">
        <f t="shared" si="13"/>
        <v>1004</v>
      </c>
      <c r="C314" s="53" t="s">
        <v>53</v>
      </c>
      <c r="D314" s="54" t="s">
        <v>858</v>
      </c>
      <c r="E314" s="54" t="s">
        <v>1102</v>
      </c>
      <c r="F314" s="54" t="s">
        <v>873</v>
      </c>
      <c r="G314" s="77" t="s">
        <v>1685</v>
      </c>
      <c r="L314" s="55" t="str">
        <f t="shared" si="11"/>
        <v>{1},{3}</v>
      </c>
      <c r="M314" s="55" t="s">
        <v>390</v>
      </c>
      <c r="O314" s="54">
        <v>201</v>
      </c>
      <c r="P314" s="54" t="s">
        <v>881</v>
      </c>
      <c r="Q314" s="60">
        <v>2</v>
      </c>
      <c r="R314" s="54" t="s">
        <v>866</v>
      </c>
      <c r="T314" s="55" t="str">
        <f t="shared" si="12"/>
        <v>{201,50},{2,1000}</v>
      </c>
      <c r="U314" s="55" t="s">
        <v>894</v>
      </c>
    </row>
    <row r="315" spans="1:21">
      <c r="A315" s="55">
        <v>11</v>
      </c>
      <c r="B315" s="55">
        <f t="shared" si="13"/>
        <v>1004</v>
      </c>
      <c r="C315" s="53" t="s">
        <v>53</v>
      </c>
      <c r="D315" s="54" t="s">
        <v>858</v>
      </c>
      <c r="E315" s="54" t="s">
        <v>1103</v>
      </c>
      <c r="F315" s="54" t="s">
        <v>873</v>
      </c>
      <c r="G315" s="77" t="s">
        <v>1686</v>
      </c>
      <c r="L315" s="55" t="str">
        <f t="shared" si="11"/>
        <v>{1},{3}</v>
      </c>
      <c r="M315" s="55" t="s">
        <v>391</v>
      </c>
      <c r="O315" s="54">
        <v>201</v>
      </c>
      <c r="P315" s="54" t="s">
        <v>881</v>
      </c>
      <c r="Q315" s="60">
        <v>2</v>
      </c>
      <c r="R315" s="54" t="s">
        <v>866</v>
      </c>
      <c r="T315" s="55" t="str">
        <f t="shared" si="12"/>
        <v>{201,50},{2,1000}</v>
      </c>
      <c r="U315" s="55" t="s">
        <v>894</v>
      </c>
    </row>
    <row r="316" spans="1:21">
      <c r="A316" s="55">
        <v>12</v>
      </c>
      <c r="B316" s="55">
        <f t="shared" si="13"/>
        <v>1004</v>
      </c>
      <c r="C316" s="53" t="s">
        <v>53</v>
      </c>
      <c r="D316" s="54" t="s">
        <v>858</v>
      </c>
      <c r="E316" s="54" t="s">
        <v>1104</v>
      </c>
      <c r="F316" s="54" t="s">
        <v>873</v>
      </c>
      <c r="G316" s="77" t="s">
        <v>1687</v>
      </c>
      <c r="L316" s="55" t="str">
        <f t="shared" si="11"/>
        <v>{1},{3}</v>
      </c>
      <c r="M316" s="55" t="s">
        <v>392</v>
      </c>
      <c r="O316" s="54">
        <v>201</v>
      </c>
      <c r="P316" s="54" t="s">
        <v>881</v>
      </c>
      <c r="Q316" s="60">
        <v>2</v>
      </c>
      <c r="R316" s="54" t="s">
        <v>866</v>
      </c>
      <c r="T316" s="55" t="str">
        <f t="shared" si="12"/>
        <v>{201,50},{2,1000}</v>
      </c>
      <c r="U316" s="55" t="s">
        <v>894</v>
      </c>
    </row>
    <row r="317" spans="1:21">
      <c r="A317" s="55">
        <v>13</v>
      </c>
      <c r="B317" s="55">
        <f t="shared" si="13"/>
        <v>1004</v>
      </c>
      <c r="C317" s="53" t="s">
        <v>53</v>
      </c>
      <c r="D317" s="54" t="s">
        <v>858</v>
      </c>
      <c r="E317" s="54" t="s">
        <v>1105</v>
      </c>
      <c r="F317" s="54" t="s">
        <v>873</v>
      </c>
      <c r="G317" s="77" t="s">
        <v>1688</v>
      </c>
      <c r="L317" s="55" t="str">
        <f t="shared" si="11"/>
        <v>{1},{3}</v>
      </c>
      <c r="M317" s="55" t="s">
        <v>393</v>
      </c>
      <c r="O317" s="54">
        <v>201</v>
      </c>
      <c r="P317" s="54" t="s">
        <v>881</v>
      </c>
      <c r="Q317" s="60">
        <v>2</v>
      </c>
      <c r="R317" s="54" t="s">
        <v>866</v>
      </c>
      <c r="T317" s="55" t="str">
        <f t="shared" si="12"/>
        <v>{201,50},{2,1000}</v>
      </c>
      <c r="U317" s="55" t="s">
        <v>894</v>
      </c>
    </row>
    <row r="318" spans="1:21">
      <c r="A318" s="55">
        <v>14</v>
      </c>
      <c r="B318" s="55">
        <f t="shared" si="13"/>
        <v>1004</v>
      </c>
      <c r="C318" s="53" t="s">
        <v>53</v>
      </c>
      <c r="D318" s="54" t="s">
        <v>858</v>
      </c>
      <c r="E318" s="54" t="s">
        <v>1106</v>
      </c>
      <c r="F318" s="54" t="s">
        <v>873</v>
      </c>
      <c r="G318" s="77" t="s">
        <v>1689</v>
      </c>
      <c r="L318" s="55" t="str">
        <f t="shared" si="11"/>
        <v>{1},{3}</v>
      </c>
      <c r="M318" s="55" t="s">
        <v>394</v>
      </c>
      <c r="O318" s="54">
        <v>201</v>
      </c>
      <c r="P318" s="54" t="s">
        <v>881</v>
      </c>
      <c r="Q318" s="60">
        <v>2</v>
      </c>
      <c r="R318" s="54" t="s">
        <v>866</v>
      </c>
      <c r="T318" s="55" t="str">
        <f t="shared" si="12"/>
        <v>{201,50},{2,1000}</v>
      </c>
      <c r="U318" s="55" t="s">
        <v>894</v>
      </c>
    </row>
    <row r="319" spans="1:21">
      <c r="A319" s="55">
        <v>15</v>
      </c>
      <c r="B319" s="55">
        <f t="shared" si="13"/>
        <v>1004</v>
      </c>
      <c r="C319" s="53" t="s">
        <v>53</v>
      </c>
      <c r="D319" s="54" t="s">
        <v>858</v>
      </c>
      <c r="E319" s="54" t="s">
        <v>1107</v>
      </c>
      <c r="F319" s="54" t="s">
        <v>873</v>
      </c>
      <c r="G319" s="77" t="s">
        <v>1690</v>
      </c>
      <c r="L319" s="55" t="str">
        <f t="shared" si="11"/>
        <v>{1},{3}</v>
      </c>
      <c r="M319" s="55" t="s">
        <v>395</v>
      </c>
      <c r="O319" s="54">
        <v>201</v>
      </c>
      <c r="P319" s="54" t="s">
        <v>881</v>
      </c>
      <c r="Q319" s="60">
        <v>2</v>
      </c>
      <c r="R319" s="54" t="s">
        <v>866</v>
      </c>
      <c r="T319" s="55" t="str">
        <f t="shared" si="12"/>
        <v>{201,50},{2,1000}</v>
      </c>
      <c r="U319" s="55" t="s">
        <v>894</v>
      </c>
    </row>
    <row r="320" spans="1:21">
      <c r="A320" s="55">
        <v>16</v>
      </c>
      <c r="B320" s="55">
        <f t="shared" si="13"/>
        <v>1004</v>
      </c>
      <c r="C320" s="53" t="s">
        <v>53</v>
      </c>
      <c r="D320" s="54" t="s">
        <v>858</v>
      </c>
      <c r="E320" s="54" t="s">
        <v>906</v>
      </c>
      <c r="F320" s="54" t="s">
        <v>873</v>
      </c>
      <c r="G320" s="77" t="s">
        <v>1691</v>
      </c>
      <c r="L320" s="55" t="str">
        <f t="shared" si="11"/>
        <v>{1},{3}</v>
      </c>
      <c r="M320" s="55" t="s">
        <v>396</v>
      </c>
      <c r="O320" s="54">
        <v>201</v>
      </c>
      <c r="P320" s="54" t="s">
        <v>881</v>
      </c>
      <c r="Q320" s="60">
        <v>2</v>
      </c>
      <c r="R320" s="54" t="s">
        <v>866</v>
      </c>
      <c r="T320" s="55" t="str">
        <f t="shared" si="12"/>
        <v>{201,50},{2,1000}</v>
      </c>
      <c r="U320" s="55" t="s">
        <v>894</v>
      </c>
    </row>
    <row r="321" spans="1:21">
      <c r="A321" s="55">
        <v>17</v>
      </c>
      <c r="B321" s="55">
        <f t="shared" si="13"/>
        <v>1004</v>
      </c>
      <c r="C321" s="53" t="s">
        <v>53</v>
      </c>
      <c r="D321" s="54" t="s">
        <v>858</v>
      </c>
      <c r="E321" s="54" t="s">
        <v>1108</v>
      </c>
      <c r="F321" s="54" t="s">
        <v>873</v>
      </c>
      <c r="G321" s="77" t="s">
        <v>1692</v>
      </c>
      <c r="L321" s="55" t="str">
        <f t="shared" si="11"/>
        <v>{1},{3}</v>
      </c>
      <c r="M321" s="55" t="s">
        <v>397</v>
      </c>
      <c r="O321" s="54">
        <v>201</v>
      </c>
      <c r="P321" s="54" t="s">
        <v>881</v>
      </c>
      <c r="Q321" s="60">
        <v>2</v>
      </c>
      <c r="R321" s="54" t="s">
        <v>866</v>
      </c>
      <c r="T321" s="55" t="str">
        <f t="shared" si="12"/>
        <v>{201,50},{2,1000}</v>
      </c>
      <c r="U321" s="55" t="s">
        <v>894</v>
      </c>
    </row>
    <row r="322" spans="1:21">
      <c r="A322" s="55">
        <v>18</v>
      </c>
      <c r="B322" s="55">
        <f t="shared" si="13"/>
        <v>1004</v>
      </c>
      <c r="C322" s="53" t="s">
        <v>53</v>
      </c>
      <c r="D322" s="54" t="s">
        <v>858</v>
      </c>
      <c r="E322" s="54" t="s">
        <v>1109</v>
      </c>
      <c r="F322" s="54" t="s">
        <v>873</v>
      </c>
      <c r="G322" s="77" t="s">
        <v>1134</v>
      </c>
      <c r="L322" s="55" t="str">
        <f t="shared" si="11"/>
        <v>{1},{3}</v>
      </c>
      <c r="M322" s="55" t="s">
        <v>398</v>
      </c>
      <c r="O322" s="54">
        <v>201</v>
      </c>
      <c r="P322" s="54" t="s">
        <v>881</v>
      </c>
      <c r="Q322" s="60">
        <v>2</v>
      </c>
      <c r="R322" s="54" t="s">
        <v>866</v>
      </c>
      <c r="T322" s="55" t="str">
        <f t="shared" si="12"/>
        <v>{201,50},{2,1000}</v>
      </c>
      <c r="U322" s="55" t="s">
        <v>894</v>
      </c>
    </row>
    <row r="323" spans="1:21">
      <c r="A323" s="55">
        <v>19</v>
      </c>
      <c r="B323" s="55">
        <f t="shared" si="13"/>
        <v>1004</v>
      </c>
      <c r="C323" s="53" t="s">
        <v>53</v>
      </c>
      <c r="D323" s="54" t="s">
        <v>858</v>
      </c>
      <c r="E323" s="54" t="s">
        <v>1110</v>
      </c>
      <c r="F323" s="54" t="s">
        <v>873</v>
      </c>
      <c r="G323" s="77" t="s">
        <v>1693</v>
      </c>
      <c r="L323" s="55" t="str">
        <f t="shared" si="11"/>
        <v>{1},{3}</v>
      </c>
      <c r="M323" s="55" t="s">
        <v>399</v>
      </c>
      <c r="O323" s="54">
        <v>201</v>
      </c>
      <c r="P323" s="54" t="s">
        <v>881</v>
      </c>
      <c r="Q323" s="60">
        <v>2</v>
      </c>
      <c r="R323" s="54" t="s">
        <v>866</v>
      </c>
      <c r="T323" s="55" t="str">
        <f t="shared" si="12"/>
        <v>{201,50},{2,1000}</v>
      </c>
      <c r="U323" s="55" t="s">
        <v>894</v>
      </c>
    </row>
    <row r="324" spans="1:21" s="63" customFormat="1">
      <c r="A324" s="63">
        <v>20</v>
      </c>
      <c r="B324" s="63">
        <f t="shared" si="13"/>
        <v>1004</v>
      </c>
      <c r="C324" s="61" t="s">
        <v>54</v>
      </c>
      <c r="D324" s="62" t="s">
        <v>858</v>
      </c>
      <c r="E324" s="62" t="s">
        <v>1111</v>
      </c>
      <c r="F324" s="62" t="s">
        <v>873</v>
      </c>
      <c r="G324" s="78" t="s">
        <v>1694</v>
      </c>
      <c r="H324" s="78"/>
      <c r="I324" s="78"/>
      <c r="J324" s="78"/>
      <c r="L324" s="63" t="str">
        <f t="shared" si="11"/>
        <v>{1},{3}</v>
      </c>
      <c r="M324" s="63" t="s">
        <v>400</v>
      </c>
      <c r="O324" s="62" t="s">
        <v>886</v>
      </c>
      <c r="P324" s="62" t="s">
        <v>881</v>
      </c>
      <c r="Q324" s="64">
        <v>2</v>
      </c>
      <c r="R324" s="62" t="s">
        <v>866</v>
      </c>
      <c r="T324" s="55" t="str">
        <f t="shared" si="12"/>
        <v>{301,50},{2,1000}</v>
      </c>
      <c r="U324" s="63" t="s">
        <v>895</v>
      </c>
    </row>
    <row r="325" spans="1:21">
      <c r="A325" s="55">
        <v>21</v>
      </c>
      <c r="B325" s="55">
        <f t="shared" si="13"/>
        <v>1004</v>
      </c>
      <c r="C325" s="53" t="s">
        <v>55</v>
      </c>
      <c r="D325" s="54" t="s">
        <v>858</v>
      </c>
      <c r="E325" s="54" t="s">
        <v>1112</v>
      </c>
      <c r="F325" s="54" t="s">
        <v>873</v>
      </c>
      <c r="G325" s="77" t="s">
        <v>870</v>
      </c>
      <c r="L325" s="55" t="str">
        <f t="shared" si="11"/>
        <v>{1},{3}</v>
      </c>
      <c r="M325" s="55" t="s">
        <v>401</v>
      </c>
      <c r="O325" s="54">
        <v>201</v>
      </c>
      <c r="P325" s="54" t="s">
        <v>882</v>
      </c>
      <c r="Q325" s="60">
        <v>2</v>
      </c>
      <c r="R325" s="54" t="s">
        <v>867</v>
      </c>
      <c r="T325" s="55" t="str">
        <f t="shared" si="12"/>
        <v>{201,100},{2,2000}</v>
      </c>
      <c r="U325" s="55" t="s">
        <v>896</v>
      </c>
    </row>
    <row r="326" spans="1:21">
      <c r="A326" s="55">
        <v>22</v>
      </c>
      <c r="B326" s="55">
        <f t="shared" si="13"/>
        <v>1004</v>
      </c>
      <c r="C326" s="53" t="s">
        <v>55</v>
      </c>
      <c r="D326" s="54" t="s">
        <v>858</v>
      </c>
      <c r="E326" s="54" t="s">
        <v>1113</v>
      </c>
      <c r="F326" s="54" t="s">
        <v>873</v>
      </c>
      <c r="G326" s="77" t="s">
        <v>1695</v>
      </c>
      <c r="L326" s="55" t="str">
        <f t="shared" ref="L326:L389" si="14">"{"&amp;D326&amp;"}"&amp;","&amp;"{"&amp;F326&amp;"}"</f>
        <v>{1},{3}</v>
      </c>
      <c r="M326" s="55" t="s">
        <v>402</v>
      </c>
      <c r="O326" s="54">
        <v>201</v>
      </c>
      <c r="P326" s="54" t="s">
        <v>882</v>
      </c>
      <c r="Q326" s="60">
        <v>2</v>
      </c>
      <c r="R326" s="54" t="s">
        <v>867</v>
      </c>
      <c r="T326" s="55" t="str">
        <f t="shared" ref="T326:T389" si="15">"{"&amp;O326&amp;","&amp;P326&amp;"}"&amp;","&amp;"{"&amp;Q326&amp;","&amp;R326&amp;"}"</f>
        <v>{201,100},{2,2000}</v>
      </c>
      <c r="U326" s="55" t="s">
        <v>896</v>
      </c>
    </row>
    <row r="327" spans="1:21">
      <c r="A327" s="55">
        <v>23</v>
      </c>
      <c r="B327" s="55">
        <f t="shared" si="13"/>
        <v>1004</v>
      </c>
      <c r="C327" s="53" t="s">
        <v>55</v>
      </c>
      <c r="D327" s="54" t="s">
        <v>858</v>
      </c>
      <c r="E327" s="54" t="s">
        <v>1114</v>
      </c>
      <c r="F327" s="54" t="s">
        <v>873</v>
      </c>
      <c r="G327" s="77" t="s">
        <v>1696</v>
      </c>
      <c r="L327" s="55" t="str">
        <f t="shared" si="14"/>
        <v>{1},{3}</v>
      </c>
      <c r="M327" s="55" t="s">
        <v>403</v>
      </c>
      <c r="O327" s="54">
        <v>201</v>
      </c>
      <c r="P327" s="54" t="s">
        <v>882</v>
      </c>
      <c r="Q327" s="60">
        <v>2</v>
      </c>
      <c r="R327" s="54" t="s">
        <v>867</v>
      </c>
      <c r="T327" s="55" t="str">
        <f t="shared" si="15"/>
        <v>{201,100},{2,2000}</v>
      </c>
      <c r="U327" s="55" t="s">
        <v>896</v>
      </c>
    </row>
    <row r="328" spans="1:21">
      <c r="A328" s="55">
        <v>24</v>
      </c>
      <c r="B328" s="55">
        <f t="shared" si="13"/>
        <v>1004</v>
      </c>
      <c r="C328" s="53" t="s">
        <v>55</v>
      </c>
      <c r="D328" s="54" t="s">
        <v>858</v>
      </c>
      <c r="E328" s="54" t="s">
        <v>1115</v>
      </c>
      <c r="F328" s="54" t="s">
        <v>873</v>
      </c>
      <c r="G328" s="77" t="s">
        <v>1697</v>
      </c>
      <c r="L328" s="55" t="str">
        <f t="shared" si="14"/>
        <v>{1},{3}</v>
      </c>
      <c r="M328" s="55" t="s">
        <v>404</v>
      </c>
      <c r="O328" s="54">
        <v>201</v>
      </c>
      <c r="P328" s="54" t="s">
        <v>882</v>
      </c>
      <c r="Q328" s="60">
        <v>2</v>
      </c>
      <c r="R328" s="54" t="s">
        <v>867</v>
      </c>
      <c r="T328" s="55" t="str">
        <f t="shared" si="15"/>
        <v>{201,100},{2,2000}</v>
      </c>
      <c r="U328" s="55" t="s">
        <v>896</v>
      </c>
    </row>
    <row r="329" spans="1:21">
      <c r="A329" s="55">
        <v>25</v>
      </c>
      <c r="B329" s="55">
        <f t="shared" si="13"/>
        <v>1004</v>
      </c>
      <c r="C329" s="53" t="s">
        <v>55</v>
      </c>
      <c r="D329" s="54" t="s">
        <v>858</v>
      </c>
      <c r="E329" s="54" t="s">
        <v>1116</v>
      </c>
      <c r="F329" s="54" t="s">
        <v>873</v>
      </c>
      <c r="G329" s="77" t="s">
        <v>1698</v>
      </c>
      <c r="L329" s="55" t="str">
        <f t="shared" si="14"/>
        <v>{1},{3}</v>
      </c>
      <c r="M329" s="55" t="s">
        <v>405</v>
      </c>
      <c r="O329" s="54">
        <v>201</v>
      </c>
      <c r="P329" s="54" t="s">
        <v>882</v>
      </c>
      <c r="Q329" s="60">
        <v>2</v>
      </c>
      <c r="R329" s="54" t="s">
        <v>867</v>
      </c>
      <c r="T329" s="55" t="str">
        <f t="shared" si="15"/>
        <v>{201,100},{2,2000}</v>
      </c>
      <c r="U329" s="55" t="s">
        <v>896</v>
      </c>
    </row>
    <row r="330" spans="1:21">
      <c r="A330" s="55">
        <v>26</v>
      </c>
      <c r="B330" s="55">
        <f t="shared" si="13"/>
        <v>1004</v>
      </c>
      <c r="C330" s="53" t="s">
        <v>55</v>
      </c>
      <c r="D330" s="54" t="s">
        <v>858</v>
      </c>
      <c r="E330" s="54" t="s">
        <v>1117</v>
      </c>
      <c r="F330" s="54" t="s">
        <v>873</v>
      </c>
      <c r="G330" s="77" t="s">
        <v>1699</v>
      </c>
      <c r="L330" s="55" t="str">
        <f t="shared" si="14"/>
        <v>{1},{3}</v>
      </c>
      <c r="M330" s="55" t="s">
        <v>406</v>
      </c>
      <c r="O330" s="54">
        <v>201</v>
      </c>
      <c r="P330" s="54" t="s">
        <v>882</v>
      </c>
      <c r="Q330" s="60">
        <v>2</v>
      </c>
      <c r="R330" s="54" t="s">
        <v>867</v>
      </c>
      <c r="T330" s="55" t="str">
        <f t="shared" si="15"/>
        <v>{201,100},{2,2000}</v>
      </c>
      <c r="U330" s="55" t="s">
        <v>896</v>
      </c>
    </row>
    <row r="331" spans="1:21">
      <c r="A331" s="55">
        <v>27</v>
      </c>
      <c r="B331" s="55">
        <f t="shared" si="13"/>
        <v>1004</v>
      </c>
      <c r="C331" s="53" t="s">
        <v>55</v>
      </c>
      <c r="D331" s="54" t="s">
        <v>858</v>
      </c>
      <c r="E331" s="54" t="s">
        <v>1118</v>
      </c>
      <c r="F331" s="54" t="s">
        <v>873</v>
      </c>
      <c r="G331" s="77" t="s">
        <v>1700</v>
      </c>
      <c r="L331" s="55" t="str">
        <f t="shared" si="14"/>
        <v>{1},{3}</v>
      </c>
      <c r="M331" s="55" t="s">
        <v>407</v>
      </c>
      <c r="O331" s="54">
        <v>201</v>
      </c>
      <c r="P331" s="54" t="s">
        <v>882</v>
      </c>
      <c r="Q331" s="60">
        <v>2</v>
      </c>
      <c r="R331" s="54" t="s">
        <v>867</v>
      </c>
      <c r="T331" s="55" t="str">
        <f t="shared" si="15"/>
        <v>{201,100},{2,2000}</v>
      </c>
      <c r="U331" s="55" t="s">
        <v>896</v>
      </c>
    </row>
    <row r="332" spans="1:21">
      <c r="A332" s="55">
        <v>28</v>
      </c>
      <c r="B332" s="55">
        <f t="shared" si="13"/>
        <v>1004</v>
      </c>
      <c r="C332" s="53" t="s">
        <v>55</v>
      </c>
      <c r="D332" s="54" t="s">
        <v>858</v>
      </c>
      <c r="E332" s="54" t="s">
        <v>1119</v>
      </c>
      <c r="F332" s="54" t="s">
        <v>873</v>
      </c>
      <c r="G332" s="77" t="s">
        <v>1701</v>
      </c>
      <c r="L332" s="55" t="str">
        <f t="shared" si="14"/>
        <v>{1},{3}</v>
      </c>
      <c r="M332" s="55" t="s">
        <v>408</v>
      </c>
      <c r="O332" s="54">
        <v>201</v>
      </c>
      <c r="P332" s="54" t="s">
        <v>882</v>
      </c>
      <c r="Q332" s="60">
        <v>2</v>
      </c>
      <c r="R332" s="54" t="s">
        <v>867</v>
      </c>
      <c r="T332" s="55" t="str">
        <f t="shared" si="15"/>
        <v>{201,100},{2,2000}</v>
      </c>
      <c r="U332" s="55" t="s">
        <v>896</v>
      </c>
    </row>
    <row r="333" spans="1:21">
      <c r="A333" s="55">
        <v>29</v>
      </c>
      <c r="B333" s="55">
        <f t="shared" si="13"/>
        <v>1004</v>
      </c>
      <c r="C333" s="53" t="s">
        <v>55</v>
      </c>
      <c r="D333" s="54" t="s">
        <v>858</v>
      </c>
      <c r="E333" s="54" t="s">
        <v>1120</v>
      </c>
      <c r="F333" s="54" t="s">
        <v>873</v>
      </c>
      <c r="G333" s="77" t="s">
        <v>1702</v>
      </c>
      <c r="L333" s="55" t="str">
        <f t="shared" si="14"/>
        <v>{1},{3}</v>
      </c>
      <c r="M333" s="55" t="s">
        <v>409</v>
      </c>
      <c r="O333" s="54">
        <v>201</v>
      </c>
      <c r="P333" s="54" t="s">
        <v>882</v>
      </c>
      <c r="Q333" s="60">
        <v>2</v>
      </c>
      <c r="R333" s="54" t="s">
        <v>867</v>
      </c>
      <c r="T333" s="55" t="str">
        <f t="shared" si="15"/>
        <v>{201,100},{2,2000}</v>
      </c>
      <c r="U333" s="55" t="s">
        <v>896</v>
      </c>
    </row>
    <row r="334" spans="1:21">
      <c r="A334" s="55">
        <v>30</v>
      </c>
      <c r="B334" s="55">
        <f t="shared" si="13"/>
        <v>1004</v>
      </c>
      <c r="C334" s="53" t="s">
        <v>55</v>
      </c>
      <c r="D334" s="54" t="s">
        <v>858</v>
      </c>
      <c r="E334" s="54" t="s">
        <v>1121</v>
      </c>
      <c r="F334" s="54" t="s">
        <v>873</v>
      </c>
      <c r="G334" s="77" t="s">
        <v>1703</v>
      </c>
      <c r="L334" s="55" t="str">
        <f t="shared" si="14"/>
        <v>{1},{3}</v>
      </c>
      <c r="M334" s="55" t="s">
        <v>410</v>
      </c>
      <c r="O334" s="54">
        <v>201</v>
      </c>
      <c r="P334" s="54" t="s">
        <v>882</v>
      </c>
      <c r="Q334" s="60">
        <v>2</v>
      </c>
      <c r="R334" s="54" t="s">
        <v>867</v>
      </c>
      <c r="T334" s="55" t="str">
        <f t="shared" si="15"/>
        <v>{201,100},{2,2000}</v>
      </c>
      <c r="U334" s="55" t="s">
        <v>896</v>
      </c>
    </row>
    <row r="335" spans="1:21">
      <c r="A335" s="55">
        <v>31</v>
      </c>
      <c r="B335" s="55">
        <f t="shared" si="13"/>
        <v>1004</v>
      </c>
      <c r="C335" s="53" t="s">
        <v>55</v>
      </c>
      <c r="D335" s="54" t="s">
        <v>858</v>
      </c>
      <c r="E335" s="54" t="s">
        <v>1122</v>
      </c>
      <c r="F335" s="54" t="s">
        <v>873</v>
      </c>
      <c r="G335" s="77" t="s">
        <v>1704</v>
      </c>
      <c r="L335" s="55" t="str">
        <f t="shared" si="14"/>
        <v>{1},{3}</v>
      </c>
      <c r="M335" s="55" t="s">
        <v>411</v>
      </c>
      <c r="O335" s="54">
        <v>201</v>
      </c>
      <c r="P335" s="54" t="s">
        <v>882</v>
      </c>
      <c r="Q335" s="60">
        <v>2</v>
      </c>
      <c r="R335" s="54" t="s">
        <v>867</v>
      </c>
      <c r="T335" s="55" t="str">
        <f t="shared" si="15"/>
        <v>{201,100},{2,2000}</v>
      </c>
      <c r="U335" s="55" t="s">
        <v>896</v>
      </c>
    </row>
    <row r="336" spans="1:21">
      <c r="A336" s="55">
        <v>32</v>
      </c>
      <c r="B336" s="55">
        <f t="shared" si="13"/>
        <v>1004</v>
      </c>
      <c r="C336" s="53" t="s">
        <v>55</v>
      </c>
      <c r="D336" s="54" t="s">
        <v>858</v>
      </c>
      <c r="E336" s="54" t="s">
        <v>1123</v>
      </c>
      <c r="F336" s="54" t="s">
        <v>873</v>
      </c>
      <c r="G336" s="77" t="s">
        <v>1705</v>
      </c>
      <c r="L336" s="55" t="str">
        <f t="shared" si="14"/>
        <v>{1},{3}</v>
      </c>
      <c r="M336" s="55" t="s">
        <v>412</v>
      </c>
      <c r="O336" s="54">
        <v>201</v>
      </c>
      <c r="P336" s="54" t="s">
        <v>882</v>
      </c>
      <c r="Q336" s="60">
        <v>2</v>
      </c>
      <c r="R336" s="54" t="s">
        <v>867</v>
      </c>
      <c r="T336" s="55" t="str">
        <f t="shared" si="15"/>
        <v>{201,100},{2,2000}</v>
      </c>
      <c r="U336" s="55" t="s">
        <v>896</v>
      </c>
    </row>
    <row r="337" spans="1:21">
      <c r="A337" s="55">
        <v>33</v>
      </c>
      <c r="B337" s="55">
        <f t="shared" si="13"/>
        <v>1004</v>
      </c>
      <c r="C337" s="53" t="s">
        <v>55</v>
      </c>
      <c r="D337" s="54" t="s">
        <v>858</v>
      </c>
      <c r="E337" s="54" t="s">
        <v>1124</v>
      </c>
      <c r="F337" s="54" t="s">
        <v>873</v>
      </c>
      <c r="G337" s="77" t="s">
        <v>1706</v>
      </c>
      <c r="L337" s="55" t="str">
        <f t="shared" si="14"/>
        <v>{1},{3}</v>
      </c>
      <c r="M337" s="55" t="s">
        <v>413</v>
      </c>
      <c r="O337" s="54">
        <v>201</v>
      </c>
      <c r="P337" s="54" t="s">
        <v>882</v>
      </c>
      <c r="Q337" s="60">
        <v>2</v>
      </c>
      <c r="R337" s="54" t="s">
        <v>867</v>
      </c>
      <c r="T337" s="55" t="str">
        <f t="shared" si="15"/>
        <v>{201,100},{2,2000}</v>
      </c>
      <c r="U337" s="55" t="s">
        <v>896</v>
      </c>
    </row>
    <row r="338" spans="1:21">
      <c r="A338" s="55">
        <v>34</v>
      </c>
      <c r="B338" s="55">
        <f t="shared" si="13"/>
        <v>1004</v>
      </c>
      <c r="C338" s="53" t="s">
        <v>55</v>
      </c>
      <c r="D338" s="54" t="s">
        <v>858</v>
      </c>
      <c r="E338" s="54" t="s">
        <v>1125</v>
      </c>
      <c r="F338" s="54" t="s">
        <v>873</v>
      </c>
      <c r="G338" s="77" t="s">
        <v>1707</v>
      </c>
      <c r="L338" s="55" t="str">
        <f t="shared" si="14"/>
        <v>{1},{3}</v>
      </c>
      <c r="M338" s="55" t="s">
        <v>414</v>
      </c>
      <c r="O338" s="54">
        <v>201</v>
      </c>
      <c r="P338" s="54" t="s">
        <v>882</v>
      </c>
      <c r="Q338" s="60">
        <v>2</v>
      </c>
      <c r="R338" s="54" t="s">
        <v>867</v>
      </c>
      <c r="T338" s="55" t="str">
        <f t="shared" si="15"/>
        <v>{201,100},{2,2000}</v>
      </c>
      <c r="U338" s="55" t="s">
        <v>896</v>
      </c>
    </row>
    <row r="339" spans="1:21">
      <c r="A339" s="55">
        <v>35</v>
      </c>
      <c r="B339" s="55">
        <f t="shared" si="13"/>
        <v>1004</v>
      </c>
      <c r="C339" s="53" t="s">
        <v>55</v>
      </c>
      <c r="D339" s="54" t="s">
        <v>858</v>
      </c>
      <c r="E339" s="54" t="s">
        <v>1126</v>
      </c>
      <c r="F339" s="54" t="s">
        <v>873</v>
      </c>
      <c r="G339" s="77" t="s">
        <v>1708</v>
      </c>
      <c r="L339" s="55" t="str">
        <f t="shared" si="14"/>
        <v>{1},{3}</v>
      </c>
      <c r="M339" s="55" t="s">
        <v>415</v>
      </c>
      <c r="O339" s="54">
        <v>201</v>
      </c>
      <c r="P339" s="54" t="s">
        <v>882</v>
      </c>
      <c r="Q339" s="60">
        <v>2</v>
      </c>
      <c r="R339" s="54" t="s">
        <v>867</v>
      </c>
      <c r="T339" s="55" t="str">
        <f t="shared" si="15"/>
        <v>{201,100},{2,2000}</v>
      </c>
      <c r="U339" s="55" t="s">
        <v>896</v>
      </c>
    </row>
    <row r="340" spans="1:21">
      <c r="A340" s="55">
        <v>36</v>
      </c>
      <c r="B340" s="55">
        <f t="shared" si="13"/>
        <v>1004</v>
      </c>
      <c r="C340" s="53" t="s">
        <v>55</v>
      </c>
      <c r="D340" s="54" t="s">
        <v>858</v>
      </c>
      <c r="E340" s="54" t="s">
        <v>1127</v>
      </c>
      <c r="F340" s="54" t="s">
        <v>873</v>
      </c>
      <c r="G340" s="77" t="s">
        <v>1709</v>
      </c>
      <c r="L340" s="55" t="str">
        <f t="shared" si="14"/>
        <v>{1},{3}</v>
      </c>
      <c r="M340" s="55" t="s">
        <v>416</v>
      </c>
      <c r="O340" s="54">
        <v>201</v>
      </c>
      <c r="P340" s="54" t="s">
        <v>882</v>
      </c>
      <c r="Q340" s="60">
        <v>2</v>
      </c>
      <c r="R340" s="54" t="s">
        <v>867</v>
      </c>
      <c r="T340" s="55" t="str">
        <f t="shared" si="15"/>
        <v>{201,100},{2,2000}</v>
      </c>
      <c r="U340" s="55" t="s">
        <v>896</v>
      </c>
    </row>
    <row r="341" spans="1:21">
      <c r="A341" s="55">
        <v>37</v>
      </c>
      <c r="B341" s="55">
        <f t="shared" si="13"/>
        <v>1004</v>
      </c>
      <c r="C341" s="53" t="s">
        <v>55</v>
      </c>
      <c r="D341" s="54" t="s">
        <v>858</v>
      </c>
      <c r="E341" s="54" t="s">
        <v>1128</v>
      </c>
      <c r="F341" s="54" t="s">
        <v>873</v>
      </c>
      <c r="G341" s="77" t="s">
        <v>1710</v>
      </c>
      <c r="L341" s="55" t="str">
        <f t="shared" si="14"/>
        <v>{1},{3}</v>
      </c>
      <c r="M341" s="55" t="s">
        <v>417</v>
      </c>
      <c r="O341" s="54">
        <v>201</v>
      </c>
      <c r="P341" s="54" t="s">
        <v>882</v>
      </c>
      <c r="Q341" s="60">
        <v>2</v>
      </c>
      <c r="R341" s="54" t="s">
        <v>867</v>
      </c>
      <c r="T341" s="55" t="str">
        <f t="shared" si="15"/>
        <v>{201,100},{2,2000}</v>
      </c>
      <c r="U341" s="55" t="s">
        <v>896</v>
      </c>
    </row>
    <row r="342" spans="1:21">
      <c r="A342" s="55">
        <v>38</v>
      </c>
      <c r="B342" s="55">
        <f t="shared" si="13"/>
        <v>1004</v>
      </c>
      <c r="C342" s="53" t="s">
        <v>55</v>
      </c>
      <c r="D342" s="54" t="s">
        <v>858</v>
      </c>
      <c r="E342" s="54" t="s">
        <v>1129</v>
      </c>
      <c r="F342" s="54" t="s">
        <v>873</v>
      </c>
      <c r="G342" s="77" t="s">
        <v>1711</v>
      </c>
      <c r="L342" s="55" t="str">
        <f t="shared" si="14"/>
        <v>{1},{3}</v>
      </c>
      <c r="M342" s="55" t="s">
        <v>418</v>
      </c>
      <c r="O342" s="54">
        <v>201</v>
      </c>
      <c r="P342" s="54" t="s">
        <v>882</v>
      </c>
      <c r="Q342" s="60">
        <v>2</v>
      </c>
      <c r="R342" s="54" t="s">
        <v>867</v>
      </c>
      <c r="T342" s="55" t="str">
        <f t="shared" si="15"/>
        <v>{201,100},{2,2000}</v>
      </c>
      <c r="U342" s="55" t="s">
        <v>896</v>
      </c>
    </row>
    <row r="343" spans="1:21">
      <c r="A343" s="55">
        <v>39</v>
      </c>
      <c r="B343" s="55">
        <f t="shared" si="13"/>
        <v>1004</v>
      </c>
      <c r="C343" s="53" t="s">
        <v>55</v>
      </c>
      <c r="D343" s="54" t="s">
        <v>858</v>
      </c>
      <c r="E343" s="54" t="s">
        <v>1130</v>
      </c>
      <c r="F343" s="54" t="s">
        <v>873</v>
      </c>
      <c r="G343" s="77" t="s">
        <v>1712</v>
      </c>
      <c r="L343" s="55" t="str">
        <f t="shared" si="14"/>
        <v>{1},{3}</v>
      </c>
      <c r="M343" s="55" t="s">
        <v>419</v>
      </c>
      <c r="O343" s="54">
        <v>201</v>
      </c>
      <c r="P343" s="54" t="s">
        <v>882</v>
      </c>
      <c r="Q343" s="60">
        <v>2</v>
      </c>
      <c r="R343" s="54" t="s">
        <v>867</v>
      </c>
      <c r="T343" s="55" t="str">
        <f t="shared" si="15"/>
        <v>{201,100},{2,2000}</v>
      </c>
      <c r="U343" s="55" t="s">
        <v>896</v>
      </c>
    </row>
    <row r="344" spans="1:21" s="63" customFormat="1">
      <c r="A344" s="63">
        <v>40</v>
      </c>
      <c r="B344" s="63">
        <f t="shared" si="13"/>
        <v>1004</v>
      </c>
      <c r="C344" s="61" t="s">
        <v>56</v>
      </c>
      <c r="D344" s="62" t="s">
        <v>858</v>
      </c>
      <c r="E344" s="62" t="s">
        <v>1131</v>
      </c>
      <c r="F344" s="62" t="s">
        <v>873</v>
      </c>
      <c r="G344" s="78" t="s">
        <v>1713</v>
      </c>
      <c r="H344" s="78"/>
      <c r="I344" s="78"/>
      <c r="J344" s="78"/>
      <c r="L344" s="63" t="str">
        <f t="shared" si="14"/>
        <v>{1},{3}</v>
      </c>
      <c r="M344" s="63" t="s">
        <v>420</v>
      </c>
      <c r="O344" s="62" t="s">
        <v>886</v>
      </c>
      <c r="P344" s="62" t="s">
        <v>882</v>
      </c>
      <c r="Q344" s="64">
        <v>2</v>
      </c>
      <c r="R344" s="62" t="s">
        <v>867</v>
      </c>
      <c r="T344" s="55" t="str">
        <f t="shared" si="15"/>
        <v>{301,100},{2,2000}</v>
      </c>
      <c r="U344" s="63" t="s">
        <v>897</v>
      </c>
    </row>
    <row r="345" spans="1:21">
      <c r="A345" s="55">
        <v>41</v>
      </c>
      <c r="B345" s="55">
        <f t="shared" si="13"/>
        <v>1004</v>
      </c>
      <c r="C345" s="53" t="s">
        <v>57</v>
      </c>
      <c r="D345" s="54" t="s">
        <v>858</v>
      </c>
      <c r="E345" s="54" t="s">
        <v>1132</v>
      </c>
      <c r="F345" s="54" t="s">
        <v>873</v>
      </c>
      <c r="G345" s="77" t="s">
        <v>1714</v>
      </c>
      <c r="L345" s="55" t="str">
        <f t="shared" si="14"/>
        <v>{1},{3}</v>
      </c>
      <c r="M345" s="55" t="s">
        <v>421</v>
      </c>
      <c r="O345" s="54">
        <v>201</v>
      </c>
      <c r="P345" s="54" t="s">
        <v>883</v>
      </c>
      <c r="Q345" s="60">
        <v>2</v>
      </c>
      <c r="R345" s="54" t="s">
        <v>868</v>
      </c>
      <c r="T345" s="55" t="str">
        <f t="shared" si="15"/>
        <v>{201,150},{2,3750}</v>
      </c>
      <c r="U345" s="55" t="s">
        <v>898</v>
      </c>
    </row>
    <row r="346" spans="1:21">
      <c r="A346" s="55">
        <v>42</v>
      </c>
      <c r="B346" s="55">
        <f t="shared" si="13"/>
        <v>1004</v>
      </c>
      <c r="C346" s="53" t="s">
        <v>57</v>
      </c>
      <c r="D346" s="54" t="s">
        <v>858</v>
      </c>
      <c r="E346" s="54" t="s">
        <v>1133</v>
      </c>
      <c r="F346" s="54" t="s">
        <v>873</v>
      </c>
      <c r="G346" s="77" t="s">
        <v>1715</v>
      </c>
      <c r="L346" s="55" t="str">
        <f t="shared" si="14"/>
        <v>{1},{3}</v>
      </c>
      <c r="M346" s="55" t="s">
        <v>422</v>
      </c>
      <c r="O346" s="54">
        <v>201</v>
      </c>
      <c r="P346" s="54" t="s">
        <v>883</v>
      </c>
      <c r="Q346" s="60">
        <v>2</v>
      </c>
      <c r="R346" s="54" t="s">
        <v>868</v>
      </c>
      <c r="T346" s="55" t="str">
        <f t="shared" si="15"/>
        <v>{201,150},{2,3750}</v>
      </c>
      <c r="U346" s="55" t="s">
        <v>898</v>
      </c>
    </row>
    <row r="347" spans="1:21">
      <c r="A347" s="55">
        <v>43</v>
      </c>
      <c r="B347" s="55">
        <f t="shared" si="13"/>
        <v>1004</v>
      </c>
      <c r="C347" s="53" t="s">
        <v>57</v>
      </c>
      <c r="D347" s="54" t="s">
        <v>858</v>
      </c>
      <c r="E347" s="54" t="s">
        <v>1134</v>
      </c>
      <c r="F347" s="54" t="s">
        <v>873</v>
      </c>
      <c r="G347" s="77" t="s">
        <v>1716</v>
      </c>
      <c r="L347" s="55" t="str">
        <f t="shared" si="14"/>
        <v>{1},{3}</v>
      </c>
      <c r="M347" s="55" t="s">
        <v>423</v>
      </c>
      <c r="O347" s="54">
        <v>201</v>
      </c>
      <c r="P347" s="54" t="s">
        <v>883</v>
      </c>
      <c r="Q347" s="60">
        <v>2</v>
      </c>
      <c r="R347" s="54" t="s">
        <v>868</v>
      </c>
      <c r="T347" s="55" t="str">
        <f t="shared" si="15"/>
        <v>{201,150},{2,3750}</v>
      </c>
      <c r="U347" s="55" t="s">
        <v>898</v>
      </c>
    </row>
    <row r="348" spans="1:21">
      <c r="A348" s="55">
        <v>44</v>
      </c>
      <c r="B348" s="55">
        <f t="shared" si="13"/>
        <v>1004</v>
      </c>
      <c r="C348" s="53" t="s">
        <v>57</v>
      </c>
      <c r="D348" s="54" t="s">
        <v>858</v>
      </c>
      <c r="E348" s="54" t="s">
        <v>1135</v>
      </c>
      <c r="F348" s="54" t="s">
        <v>873</v>
      </c>
      <c r="G348" s="77" t="s">
        <v>1717</v>
      </c>
      <c r="L348" s="55" t="str">
        <f t="shared" si="14"/>
        <v>{1},{3}</v>
      </c>
      <c r="M348" s="55" t="s">
        <v>424</v>
      </c>
      <c r="O348" s="54">
        <v>201</v>
      </c>
      <c r="P348" s="54" t="s">
        <v>883</v>
      </c>
      <c r="Q348" s="60">
        <v>2</v>
      </c>
      <c r="R348" s="54" t="s">
        <v>868</v>
      </c>
      <c r="T348" s="55" t="str">
        <f t="shared" si="15"/>
        <v>{201,150},{2,3750}</v>
      </c>
      <c r="U348" s="55" t="s">
        <v>898</v>
      </c>
    </row>
    <row r="349" spans="1:21">
      <c r="A349" s="55">
        <v>45</v>
      </c>
      <c r="B349" s="55">
        <f t="shared" si="13"/>
        <v>1004</v>
      </c>
      <c r="C349" s="53" t="s">
        <v>57</v>
      </c>
      <c r="D349" s="54" t="s">
        <v>858</v>
      </c>
      <c r="E349" s="54" t="s">
        <v>1136</v>
      </c>
      <c r="F349" s="54" t="s">
        <v>873</v>
      </c>
      <c r="G349" s="77" t="s">
        <v>1718</v>
      </c>
      <c r="L349" s="55" t="str">
        <f t="shared" si="14"/>
        <v>{1},{3}</v>
      </c>
      <c r="M349" s="55" t="s">
        <v>425</v>
      </c>
      <c r="O349" s="54">
        <v>201</v>
      </c>
      <c r="P349" s="54" t="s">
        <v>883</v>
      </c>
      <c r="Q349" s="60">
        <v>2</v>
      </c>
      <c r="R349" s="54" t="s">
        <v>868</v>
      </c>
      <c r="T349" s="55" t="str">
        <f t="shared" si="15"/>
        <v>{201,150},{2,3750}</v>
      </c>
      <c r="U349" s="55" t="s">
        <v>898</v>
      </c>
    </row>
    <row r="350" spans="1:21">
      <c r="A350" s="55">
        <v>46</v>
      </c>
      <c r="B350" s="55">
        <f t="shared" si="13"/>
        <v>1004</v>
      </c>
      <c r="C350" s="53" t="s">
        <v>57</v>
      </c>
      <c r="D350" s="54" t="s">
        <v>858</v>
      </c>
      <c r="E350" s="54" t="s">
        <v>1137</v>
      </c>
      <c r="F350" s="54" t="s">
        <v>873</v>
      </c>
      <c r="G350" s="77" t="s">
        <v>1719</v>
      </c>
      <c r="L350" s="55" t="str">
        <f t="shared" si="14"/>
        <v>{1},{3}</v>
      </c>
      <c r="M350" s="55" t="s">
        <v>426</v>
      </c>
      <c r="O350" s="54">
        <v>201</v>
      </c>
      <c r="P350" s="54" t="s">
        <v>883</v>
      </c>
      <c r="Q350" s="60">
        <v>2</v>
      </c>
      <c r="R350" s="54" t="s">
        <v>868</v>
      </c>
      <c r="T350" s="55" t="str">
        <f t="shared" si="15"/>
        <v>{201,150},{2,3750}</v>
      </c>
      <c r="U350" s="55" t="s">
        <v>898</v>
      </c>
    </row>
    <row r="351" spans="1:21">
      <c r="A351" s="55">
        <v>47</v>
      </c>
      <c r="B351" s="55">
        <f t="shared" si="13"/>
        <v>1004</v>
      </c>
      <c r="C351" s="53" t="s">
        <v>57</v>
      </c>
      <c r="D351" s="54" t="s">
        <v>858</v>
      </c>
      <c r="E351" s="54" t="s">
        <v>1138</v>
      </c>
      <c r="F351" s="54" t="s">
        <v>873</v>
      </c>
      <c r="G351" s="77" t="s">
        <v>1720</v>
      </c>
      <c r="L351" s="55" t="str">
        <f t="shared" si="14"/>
        <v>{1},{3}</v>
      </c>
      <c r="M351" s="55" t="s">
        <v>427</v>
      </c>
      <c r="O351" s="54">
        <v>201</v>
      </c>
      <c r="P351" s="54" t="s">
        <v>883</v>
      </c>
      <c r="Q351" s="60">
        <v>2</v>
      </c>
      <c r="R351" s="54" t="s">
        <v>868</v>
      </c>
      <c r="T351" s="55" t="str">
        <f t="shared" si="15"/>
        <v>{201,150},{2,3750}</v>
      </c>
      <c r="U351" s="55" t="s">
        <v>898</v>
      </c>
    </row>
    <row r="352" spans="1:21">
      <c r="A352" s="55">
        <v>48</v>
      </c>
      <c r="B352" s="55">
        <f t="shared" si="13"/>
        <v>1004</v>
      </c>
      <c r="C352" s="53" t="s">
        <v>57</v>
      </c>
      <c r="D352" s="54" t="s">
        <v>858</v>
      </c>
      <c r="E352" s="54" t="s">
        <v>1139</v>
      </c>
      <c r="F352" s="54" t="s">
        <v>873</v>
      </c>
      <c r="G352" s="77" t="s">
        <v>1721</v>
      </c>
      <c r="L352" s="55" t="str">
        <f t="shared" si="14"/>
        <v>{1},{3}</v>
      </c>
      <c r="M352" s="55" t="s">
        <v>428</v>
      </c>
      <c r="O352" s="54">
        <v>201</v>
      </c>
      <c r="P352" s="54" t="s">
        <v>883</v>
      </c>
      <c r="Q352" s="60">
        <v>2</v>
      </c>
      <c r="R352" s="54" t="s">
        <v>868</v>
      </c>
      <c r="T352" s="55" t="str">
        <f t="shared" si="15"/>
        <v>{201,150},{2,3750}</v>
      </c>
      <c r="U352" s="55" t="s">
        <v>898</v>
      </c>
    </row>
    <row r="353" spans="1:21">
      <c r="A353" s="55">
        <v>49</v>
      </c>
      <c r="B353" s="55">
        <f t="shared" si="13"/>
        <v>1004</v>
      </c>
      <c r="C353" s="53" t="s">
        <v>57</v>
      </c>
      <c r="D353" s="54" t="s">
        <v>858</v>
      </c>
      <c r="E353" s="54" t="s">
        <v>1140</v>
      </c>
      <c r="F353" s="54" t="s">
        <v>873</v>
      </c>
      <c r="G353" s="77" t="s">
        <v>1722</v>
      </c>
      <c r="L353" s="55" t="str">
        <f t="shared" si="14"/>
        <v>{1},{3}</v>
      </c>
      <c r="M353" s="55" t="s">
        <v>429</v>
      </c>
      <c r="O353" s="54">
        <v>201</v>
      </c>
      <c r="P353" s="54" t="s">
        <v>883</v>
      </c>
      <c r="Q353" s="60">
        <v>2</v>
      </c>
      <c r="R353" s="54" t="s">
        <v>868</v>
      </c>
      <c r="T353" s="55" t="str">
        <f t="shared" si="15"/>
        <v>{201,150},{2,3750}</v>
      </c>
      <c r="U353" s="55" t="s">
        <v>898</v>
      </c>
    </row>
    <row r="354" spans="1:21">
      <c r="A354" s="55">
        <v>50</v>
      </c>
      <c r="B354" s="55">
        <f t="shared" si="13"/>
        <v>1004</v>
      </c>
      <c r="C354" s="53" t="s">
        <v>57</v>
      </c>
      <c r="D354" s="54" t="s">
        <v>858</v>
      </c>
      <c r="E354" s="54" t="s">
        <v>1141</v>
      </c>
      <c r="F354" s="54" t="s">
        <v>873</v>
      </c>
      <c r="G354" s="77" t="s">
        <v>1723</v>
      </c>
      <c r="L354" s="55" t="str">
        <f t="shared" si="14"/>
        <v>{1},{3}</v>
      </c>
      <c r="M354" s="55" t="s">
        <v>430</v>
      </c>
      <c r="O354" s="54">
        <v>201</v>
      </c>
      <c r="P354" s="54" t="s">
        <v>883</v>
      </c>
      <c r="Q354" s="60">
        <v>2</v>
      </c>
      <c r="R354" s="54" t="s">
        <v>868</v>
      </c>
      <c r="T354" s="55" t="str">
        <f t="shared" si="15"/>
        <v>{201,150},{2,3750}</v>
      </c>
      <c r="U354" s="55" t="s">
        <v>898</v>
      </c>
    </row>
    <row r="355" spans="1:21">
      <c r="A355" s="55">
        <v>51</v>
      </c>
      <c r="B355" s="55">
        <f t="shared" si="13"/>
        <v>1004</v>
      </c>
      <c r="C355" s="53" t="s">
        <v>57</v>
      </c>
      <c r="D355" s="54" t="s">
        <v>858</v>
      </c>
      <c r="E355" s="54" t="s">
        <v>1142</v>
      </c>
      <c r="F355" s="54" t="s">
        <v>873</v>
      </c>
      <c r="G355" s="77" t="s">
        <v>1724</v>
      </c>
      <c r="L355" s="55" t="str">
        <f t="shared" si="14"/>
        <v>{1},{3}</v>
      </c>
      <c r="M355" s="55" t="s">
        <v>431</v>
      </c>
      <c r="O355" s="54">
        <v>201</v>
      </c>
      <c r="P355" s="54" t="s">
        <v>883</v>
      </c>
      <c r="Q355" s="60">
        <v>2</v>
      </c>
      <c r="R355" s="54" t="s">
        <v>868</v>
      </c>
      <c r="T355" s="55" t="str">
        <f t="shared" si="15"/>
        <v>{201,150},{2,3750}</v>
      </c>
      <c r="U355" s="55" t="s">
        <v>898</v>
      </c>
    </row>
    <row r="356" spans="1:21">
      <c r="A356" s="55">
        <v>52</v>
      </c>
      <c r="B356" s="55">
        <f t="shared" si="13"/>
        <v>1004</v>
      </c>
      <c r="C356" s="53" t="s">
        <v>57</v>
      </c>
      <c r="D356" s="54" t="s">
        <v>858</v>
      </c>
      <c r="E356" s="54" t="s">
        <v>1143</v>
      </c>
      <c r="F356" s="54" t="s">
        <v>873</v>
      </c>
      <c r="G356" s="77" t="s">
        <v>1725</v>
      </c>
      <c r="L356" s="55" t="str">
        <f t="shared" si="14"/>
        <v>{1},{3}</v>
      </c>
      <c r="M356" s="55" t="s">
        <v>432</v>
      </c>
      <c r="O356" s="54">
        <v>201</v>
      </c>
      <c r="P356" s="54" t="s">
        <v>883</v>
      </c>
      <c r="Q356" s="60">
        <v>2</v>
      </c>
      <c r="R356" s="54" t="s">
        <v>868</v>
      </c>
      <c r="T356" s="55" t="str">
        <f t="shared" si="15"/>
        <v>{201,150},{2,3750}</v>
      </c>
      <c r="U356" s="55" t="s">
        <v>898</v>
      </c>
    </row>
    <row r="357" spans="1:21">
      <c r="A357" s="55">
        <v>53</v>
      </c>
      <c r="B357" s="55">
        <f t="shared" si="13"/>
        <v>1004</v>
      </c>
      <c r="C357" s="53" t="s">
        <v>57</v>
      </c>
      <c r="D357" s="54" t="s">
        <v>858</v>
      </c>
      <c r="E357" s="54" t="s">
        <v>1144</v>
      </c>
      <c r="F357" s="54" t="s">
        <v>873</v>
      </c>
      <c r="G357" s="77" t="s">
        <v>1726</v>
      </c>
      <c r="L357" s="55" t="str">
        <f t="shared" si="14"/>
        <v>{1},{3}</v>
      </c>
      <c r="M357" s="55" t="s">
        <v>433</v>
      </c>
      <c r="O357" s="54">
        <v>201</v>
      </c>
      <c r="P357" s="54" t="s">
        <v>883</v>
      </c>
      <c r="Q357" s="60">
        <v>2</v>
      </c>
      <c r="R357" s="54" t="s">
        <v>868</v>
      </c>
      <c r="T357" s="55" t="str">
        <f t="shared" si="15"/>
        <v>{201,150},{2,3750}</v>
      </c>
      <c r="U357" s="55" t="s">
        <v>898</v>
      </c>
    </row>
    <row r="358" spans="1:21">
      <c r="A358" s="55">
        <v>54</v>
      </c>
      <c r="B358" s="55">
        <f t="shared" si="13"/>
        <v>1004</v>
      </c>
      <c r="C358" s="53" t="s">
        <v>57</v>
      </c>
      <c r="D358" s="54" t="s">
        <v>858</v>
      </c>
      <c r="E358" s="54" t="s">
        <v>1145</v>
      </c>
      <c r="F358" s="54" t="s">
        <v>873</v>
      </c>
      <c r="G358" s="77" t="s">
        <v>1727</v>
      </c>
      <c r="L358" s="55" t="str">
        <f t="shared" si="14"/>
        <v>{1},{3}</v>
      </c>
      <c r="M358" s="55" t="s">
        <v>434</v>
      </c>
      <c r="O358" s="54">
        <v>201</v>
      </c>
      <c r="P358" s="54" t="s">
        <v>883</v>
      </c>
      <c r="Q358" s="60">
        <v>2</v>
      </c>
      <c r="R358" s="54" t="s">
        <v>868</v>
      </c>
      <c r="T358" s="55" t="str">
        <f t="shared" si="15"/>
        <v>{201,150},{2,3750}</v>
      </c>
      <c r="U358" s="55" t="s">
        <v>898</v>
      </c>
    </row>
    <row r="359" spans="1:21">
      <c r="A359" s="55">
        <v>55</v>
      </c>
      <c r="B359" s="55">
        <f t="shared" si="13"/>
        <v>1004</v>
      </c>
      <c r="C359" s="53" t="s">
        <v>57</v>
      </c>
      <c r="D359" s="54" t="s">
        <v>858</v>
      </c>
      <c r="E359" s="54" t="s">
        <v>1146</v>
      </c>
      <c r="F359" s="54" t="s">
        <v>873</v>
      </c>
      <c r="G359" s="77" t="s">
        <v>1728</v>
      </c>
      <c r="L359" s="55" t="str">
        <f t="shared" si="14"/>
        <v>{1},{3}</v>
      </c>
      <c r="M359" s="55" t="s">
        <v>435</v>
      </c>
      <c r="O359" s="54">
        <v>201</v>
      </c>
      <c r="P359" s="54" t="s">
        <v>883</v>
      </c>
      <c r="Q359" s="60">
        <v>2</v>
      </c>
      <c r="R359" s="54" t="s">
        <v>868</v>
      </c>
      <c r="T359" s="55" t="str">
        <f t="shared" si="15"/>
        <v>{201,150},{2,3750}</v>
      </c>
      <c r="U359" s="55" t="s">
        <v>898</v>
      </c>
    </row>
    <row r="360" spans="1:21">
      <c r="A360" s="55">
        <v>56</v>
      </c>
      <c r="B360" s="55">
        <f t="shared" si="13"/>
        <v>1004</v>
      </c>
      <c r="C360" s="53" t="s">
        <v>57</v>
      </c>
      <c r="D360" s="54" t="s">
        <v>858</v>
      </c>
      <c r="E360" s="54" t="s">
        <v>1147</v>
      </c>
      <c r="F360" s="54" t="s">
        <v>873</v>
      </c>
      <c r="G360" s="77" t="s">
        <v>1729</v>
      </c>
      <c r="L360" s="55" t="str">
        <f t="shared" si="14"/>
        <v>{1},{3}</v>
      </c>
      <c r="M360" s="55" t="s">
        <v>436</v>
      </c>
      <c r="O360" s="54">
        <v>201</v>
      </c>
      <c r="P360" s="54" t="s">
        <v>883</v>
      </c>
      <c r="Q360" s="60">
        <v>2</v>
      </c>
      <c r="R360" s="54" t="s">
        <v>868</v>
      </c>
      <c r="T360" s="55" t="str">
        <f t="shared" si="15"/>
        <v>{201,150},{2,3750}</v>
      </c>
      <c r="U360" s="55" t="s">
        <v>898</v>
      </c>
    </row>
    <row r="361" spans="1:21">
      <c r="A361" s="55">
        <v>57</v>
      </c>
      <c r="B361" s="55">
        <f t="shared" si="13"/>
        <v>1004</v>
      </c>
      <c r="C361" s="53" t="s">
        <v>57</v>
      </c>
      <c r="D361" s="54" t="s">
        <v>858</v>
      </c>
      <c r="E361" s="54" t="s">
        <v>1148</v>
      </c>
      <c r="F361" s="54" t="s">
        <v>873</v>
      </c>
      <c r="G361" s="77" t="s">
        <v>1730</v>
      </c>
      <c r="L361" s="55" t="str">
        <f t="shared" si="14"/>
        <v>{1},{3}</v>
      </c>
      <c r="M361" s="55" t="s">
        <v>437</v>
      </c>
      <c r="O361" s="54">
        <v>201</v>
      </c>
      <c r="P361" s="54" t="s">
        <v>883</v>
      </c>
      <c r="Q361" s="60">
        <v>2</v>
      </c>
      <c r="R361" s="54" t="s">
        <v>868</v>
      </c>
      <c r="T361" s="55" t="str">
        <f t="shared" si="15"/>
        <v>{201,150},{2,3750}</v>
      </c>
      <c r="U361" s="55" t="s">
        <v>898</v>
      </c>
    </row>
    <row r="362" spans="1:21">
      <c r="A362" s="55">
        <v>58</v>
      </c>
      <c r="B362" s="55">
        <f t="shared" si="13"/>
        <v>1004</v>
      </c>
      <c r="C362" s="53" t="s">
        <v>57</v>
      </c>
      <c r="D362" s="54" t="s">
        <v>858</v>
      </c>
      <c r="E362" s="54" t="s">
        <v>1149</v>
      </c>
      <c r="F362" s="54" t="s">
        <v>873</v>
      </c>
      <c r="G362" s="77" t="s">
        <v>1731</v>
      </c>
      <c r="L362" s="55" t="str">
        <f t="shared" si="14"/>
        <v>{1},{3}</v>
      </c>
      <c r="M362" s="55" t="s">
        <v>438</v>
      </c>
      <c r="O362" s="54">
        <v>201</v>
      </c>
      <c r="P362" s="54" t="s">
        <v>883</v>
      </c>
      <c r="Q362" s="60">
        <v>2</v>
      </c>
      <c r="R362" s="54" t="s">
        <v>868</v>
      </c>
      <c r="T362" s="55" t="str">
        <f t="shared" si="15"/>
        <v>{201,150},{2,3750}</v>
      </c>
      <c r="U362" s="55" t="s">
        <v>898</v>
      </c>
    </row>
    <row r="363" spans="1:21">
      <c r="A363" s="55">
        <v>59</v>
      </c>
      <c r="B363" s="55">
        <f t="shared" si="13"/>
        <v>1004</v>
      </c>
      <c r="C363" s="53" t="s">
        <v>57</v>
      </c>
      <c r="D363" s="54" t="s">
        <v>858</v>
      </c>
      <c r="E363" s="54" t="s">
        <v>1150</v>
      </c>
      <c r="F363" s="54" t="s">
        <v>873</v>
      </c>
      <c r="G363" s="77" t="s">
        <v>1732</v>
      </c>
      <c r="L363" s="55" t="str">
        <f t="shared" si="14"/>
        <v>{1},{3}</v>
      </c>
      <c r="M363" s="55" t="s">
        <v>439</v>
      </c>
      <c r="O363" s="54">
        <v>201</v>
      </c>
      <c r="P363" s="54" t="s">
        <v>883</v>
      </c>
      <c r="Q363" s="60">
        <v>2</v>
      </c>
      <c r="R363" s="54" t="s">
        <v>868</v>
      </c>
      <c r="T363" s="55" t="str">
        <f t="shared" si="15"/>
        <v>{201,150},{2,3750}</v>
      </c>
      <c r="U363" s="55" t="s">
        <v>898</v>
      </c>
    </row>
    <row r="364" spans="1:21" s="63" customFormat="1">
      <c r="A364" s="63">
        <v>60</v>
      </c>
      <c r="B364" s="63">
        <f t="shared" si="13"/>
        <v>1004</v>
      </c>
      <c r="C364" s="61" t="s">
        <v>58</v>
      </c>
      <c r="D364" s="62" t="s">
        <v>858</v>
      </c>
      <c r="E364" s="62" t="s">
        <v>1151</v>
      </c>
      <c r="F364" s="62" t="s">
        <v>873</v>
      </c>
      <c r="G364" s="78" t="s">
        <v>1733</v>
      </c>
      <c r="H364" s="78"/>
      <c r="I364" s="78"/>
      <c r="J364" s="78"/>
      <c r="L364" s="63" t="str">
        <f t="shared" si="14"/>
        <v>{1},{3}</v>
      </c>
      <c r="M364" s="63" t="s">
        <v>440</v>
      </c>
      <c r="O364" s="62" t="s">
        <v>886</v>
      </c>
      <c r="P364" s="62" t="s">
        <v>883</v>
      </c>
      <c r="Q364" s="64">
        <v>2</v>
      </c>
      <c r="R364" s="62" t="s">
        <v>869</v>
      </c>
      <c r="T364" s="55" t="str">
        <f t="shared" si="15"/>
        <v>{301,150},{2,4500}</v>
      </c>
      <c r="U364" s="63" t="s">
        <v>899</v>
      </c>
    </row>
    <row r="365" spans="1:21">
      <c r="A365" s="55">
        <v>61</v>
      </c>
      <c r="B365" s="55">
        <f t="shared" si="13"/>
        <v>1004</v>
      </c>
      <c r="C365" s="53" t="s">
        <v>59</v>
      </c>
      <c r="D365" s="54" t="s">
        <v>858</v>
      </c>
      <c r="E365" s="54" t="s">
        <v>1152</v>
      </c>
      <c r="F365" s="54" t="s">
        <v>873</v>
      </c>
      <c r="G365" s="77" t="s">
        <v>1734</v>
      </c>
      <c r="L365" s="55" t="str">
        <f t="shared" si="14"/>
        <v>{1},{3}</v>
      </c>
      <c r="M365" s="55" t="s">
        <v>441</v>
      </c>
      <c r="O365" s="54">
        <v>201</v>
      </c>
      <c r="P365" s="54" t="s">
        <v>884</v>
      </c>
      <c r="Q365" s="60">
        <v>2</v>
      </c>
      <c r="R365" s="54" t="s">
        <v>870</v>
      </c>
      <c r="T365" s="55" t="str">
        <f t="shared" si="15"/>
        <v>{201,300},{2,9000}</v>
      </c>
      <c r="U365" s="55" t="s">
        <v>900</v>
      </c>
    </row>
    <row r="366" spans="1:21">
      <c r="A366" s="55">
        <v>62</v>
      </c>
      <c r="B366" s="55">
        <f t="shared" si="13"/>
        <v>1004</v>
      </c>
      <c r="C366" s="53" t="s">
        <v>59</v>
      </c>
      <c r="D366" s="54" t="s">
        <v>858</v>
      </c>
      <c r="E366" s="54" t="s">
        <v>1153</v>
      </c>
      <c r="F366" s="54" t="s">
        <v>873</v>
      </c>
      <c r="G366" s="77" t="s">
        <v>1735</v>
      </c>
      <c r="L366" s="55" t="str">
        <f t="shared" si="14"/>
        <v>{1},{3}</v>
      </c>
      <c r="M366" s="55" t="s">
        <v>442</v>
      </c>
      <c r="O366" s="54">
        <v>201</v>
      </c>
      <c r="P366" s="54" t="s">
        <v>884</v>
      </c>
      <c r="Q366" s="60">
        <v>2</v>
      </c>
      <c r="R366" s="54" t="s">
        <v>870</v>
      </c>
      <c r="T366" s="55" t="str">
        <f t="shared" si="15"/>
        <v>{201,300},{2,9000}</v>
      </c>
      <c r="U366" s="55" t="s">
        <v>900</v>
      </c>
    </row>
    <row r="367" spans="1:21">
      <c r="A367" s="55">
        <v>63</v>
      </c>
      <c r="B367" s="55">
        <f t="shared" si="13"/>
        <v>1004</v>
      </c>
      <c r="C367" s="53" t="s">
        <v>59</v>
      </c>
      <c r="D367" s="54" t="s">
        <v>858</v>
      </c>
      <c r="E367" s="54" t="s">
        <v>1154</v>
      </c>
      <c r="F367" s="54" t="s">
        <v>873</v>
      </c>
      <c r="G367" s="77" t="s">
        <v>1736</v>
      </c>
      <c r="L367" s="55" t="str">
        <f t="shared" si="14"/>
        <v>{1},{3}</v>
      </c>
      <c r="M367" s="55" t="s">
        <v>443</v>
      </c>
      <c r="O367" s="54">
        <v>201</v>
      </c>
      <c r="P367" s="54" t="s">
        <v>884</v>
      </c>
      <c r="Q367" s="60">
        <v>2</v>
      </c>
      <c r="R367" s="54" t="s">
        <v>870</v>
      </c>
      <c r="T367" s="55" t="str">
        <f t="shared" si="15"/>
        <v>{201,300},{2,9000}</v>
      </c>
      <c r="U367" s="55" t="s">
        <v>900</v>
      </c>
    </row>
    <row r="368" spans="1:21">
      <c r="A368" s="55">
        <v>64</v>
      </c>
      <c r="B368" s="55">
        <f t="shared" si="13"/>
        <v>1004</v>
      </c>
      <c r="C368" s="53" t="s">
        <v>59</v>
      </c>
      <c r="D368" s="54" t="s">
        <v>858</v>
      </c>
      <c r="E368" s="54" t="s">
        <v>1155</v>
      </c>
      <c r="F368" s="54" t="s">
        <v>873</v>
      </c>
      <c r="G368" s="77" t="s">
        <v>1737</v>
      </c>
      <c r="L368" s="55" t="str">
        <f t="shared" si="14"/>
        <v>{1},{3}</v>
      </c>
      <c r="M368" s="55" t="s">
        <v>444</v>
      </c>
      <c r="O368" s="54">
        <v>201</v>
      </c>
      <c r="P368" s="54" t="s">
        <v>884</v>
      </c>
      <c r="Q368" s="60">
        <v>2</v>
      </c>
      <c r="R368" s="54" t="s">
        <v>870</v>
      </c>
      <c r="T368" s="55" t="str">
        <f t="shared" si="15"/>
        <v>{201,300},{2,9000}</v>
      </c>
      <c r="U368" s="55" t="s">
        <v>900</v>
      </c>
    </row>
    <row r="369" spans="1:21">
      <c r="A369" s="55">
        <v>65</v>
      </c>
      <c r="B369" s="55">
        <f t="shared" si="13"/>
        <v>1004</v>
      </c>
      <c r="C369" s="53" t="s">
        <v>59</v>
      </c>
      <c r="D369" s="54" t="s">
        <v>858</v>
      </c>
      <c r="E369" s="54" t="s">
        <v>1156</v>
      </c>
      <c r="F369" s="54" t="s">
        <v>873</v>
      </c>
      <c r="G369" s="77" t="s">
        <v>1738</v>
      </c>
      <c r="L369" s="55" t="str">
        <f t="shared" si="14"/>
        <v>{1},{3}</v>
      </c>
      <c r="M369" s="55" t="s">
        <v>445</v>
      </c>
      <c r="O369" s="54">
        <v>201</v>
      </c>
      <c r="P369" s="54" t="s">
        <v>884</v>
      </c>
      <c r="Q369" s="60">
        <v>2</v>
      </c>
      <c r="R369" s="54" t="s">
        <v>870</v>
      </c>
      <c r="T369" s="55" t="str">
        <f t="shared" si="15"/>
        <v>{201,300},{2,9000}</v>
      </c>
      <c r="U369" s="55" t="s">
        <v>900</v>
      </c>
    </row>
    <row r="370" spans="1:21">
      <c r="A370" s="55">
        <v>66</v>
      </c>
      <c r="B370" s="55">
        <f t="shared" ref="B370:B433" si="16">B270+1</f>
        <v>1004</v>
      </c>
      <c r="C370" s="53" t="s">
        <v>59</v>
      </c>
      <c r="D370" s="54" t="s">
        <v>858</v>
      </c>
      <c r="E370" s="54" t="s">
        <v>1157</v>
      </c>
      <c r="F370" s="54" t="s">
        <v>873</v>
      </c>
      <c r="G370" s="77" t="s">
        <v>1739</v>
      </c>
      <c r="L370" s="55" t="str">
        <f t="shared" si="14"/>
        <v>{1},{3}</v>
      </c>
      <c r="M370" s="55" t="s">
        <v>446</v>
      </c>
      <c r="O370" s="54">
        <v>201</v>
      </c>
      <c r="P370" s="54" t="s">
        <v>884</v>
      </c>
      <c r="Q370" s="60">
        <v>2</v>
      </c>
      <c r="R370" s="54" t="s">
        <v>870</v>
      </c>
      <c r="T370" s="55" t="str">
        <f t="shared" si="15"/>
        <v>{201,300},{2,9000}</v>
      </c>
      <c r="U370" s="55" t="s">
        <v>900</v>
      </c>
    </row>
    <row r="371" spans="1:21">
      <c r="A371" s="55">
        <v>67</v>
      </c>
      <c r="B371" s="55">
        <f t="shared" si="16"/>
        <v>1004</v>
      </c>
      <c r="C371" s="53" t="s">
        <v>59</v>
      </c>
      <c r="D371" s="54" t="s">
        <v>858</v>
      </c>
      <c r="E371" s="54" t="s">
        <v>1158</v>
      </c>
      <c r="F371" s="54" t="s">
        <v>873</v>
      </c>
      <c r="G371" s="77" t="s">
        <v>1740</v>
      </c>
      <c r="L371" s="55" t="str">
        <f t="shared" si="14"/>
        <v>{1},{3}</v>
      </c>
      <c r="M371" s="55" t="s">
        <v>447</v>
      </c>
      <c r="O371" s="54">
        <v>201</v>
      </c>
      <c r="P371" s="54" t="s">
        <v>884</v>
      </c>
      <c r="Q371" s="60">
        <v>2</v>
      </c>
      <c r="R371" s="54" t="s">
        <v>870</v>
      </c>
      <c r="T371" s="55" t="str">
        <f t="shared" si="15"/>
        <v>{201,300},{2,9000}</v>
      </c>
      <c r="U371" s="55" t="s">
        <v>900</v>
      </c>
    </row>
    <row r="372" spans="1:21">
      <c r="A372" s="55">
        <v>68</v>
      </c>
      <c r="B372" s="55">
        <f t="shared" si="16"/>
        <v>1004</v>
      </c>
      <c r="C372" s="53" t="s">
        <v>59</v>
      </c>
      <c r="D372" s="54" t="s">
        <v>858</v>
      </c>
      <c r="E372" s="54" t="s">
        <v>1159</v>
      </c>
      <c r="F372" s="54" t="s">
        <v>873</v>
      </c>
      <c r="G372" s="77" t="s">
        <v>1741</v>
      </c>
      <c r="L372" s="55" t="str">
        <f t="shared" si="14"/>
        <v>{1},{3}</v>
      </c>
      <c r="M372" s="55" t="s">
        <v>448</v>
      </c>
      <c r="O372" s="54">
        <v>201</v>
      </c>
      <c r="P372" s="54" t="s">
        <v>884</v>
      </c>
      <c r="Q372" s="60">
        <v>2</v>
      </c>
      <c r="R372" s="54" t="s">
        <v>870</v>
      </c>
      <c r="T372" s="55" t="str">
        <f t="shared" si="15"/>
        <v>{201,300},{2,9000}</v>
      </c>
      <c r="U372" s="55" t="s">
        <v>900</v>
      </c>
    </row>
    <row r="373" spans="1:21">
      <c r="A373" s="55">
        <v>69</v>
      </c>
      <c r="B373" s="55">
        <f t="shared" si="16"/>
        <v>1004</v>
      </c>
      <c r="C373" s="53" t="s">
        <v>59</v>
      </c>
      <c r="D373" s="54" t="s">
        <v>858</v>
      </c>
      <c r="E373" s="54" t="s">
        <v>1160</v>
      </c>
      <c r="F373" s="54" t="s">
        <v>873</v>
      </c>
      <c r="G373" s="77" t="s">
        <v>1742</v>
      </c>
      <c r="L373" s="55" t="str">
        <f t="shared" si="14"/>
        <v>{1},{3}</v>
      </c>
      <c r="M373" s="55" t="s">
        <v>449</v>
      </c>
      <c r="O373" s="54">
        <v>201</v>
      </c>
      <c r="P373" s="54" t="s">
        <v>884</v>
      </c>
      <c r="Q373" s="60">
        <v>2</v>
      </c>
      <c r="R373" s="54" t="s">
        <v>870</v>
      </c>
      <c r="T373" s="55" t="str">
        <f t="shared" si="15"/>
        <v>{201,300},{2,9000}</v>
      </c>
      <c r="U373" s="55" t="s">
        <v>900</v>
      </c>
    </row>
    <row r="374" spans="1:21">
      <c r="A374" s="55">
        <v>70</v>
      </c>
      <c r="B374" s="55">
        <f t="shared" si="16"/>
        <v>1004</v>
      </c>
      <c r="C374" s="53" t="s">
        <v>59</v>
      </c>
      <c r="D374" s="54" t="s">
        <v>858</v>
      </c>
      <c r="E374" s="54" t="s">
        <v>1161</v>
      </c>
      <c r="F374" s="54" t="s">
        <v>873</v>
      </c>
      <c r="G374" s="77" t="s">
        <v>1743</v>
      </c>
      <c r="L374" s="55" t="str">
        <f t="shared" si="14"/>
        <v>{1},{3}</v>
      </c>
      <c r="M374" s="55" t="s">
        <v>450</v>
      </c>
      <c r="O374" s="54">
        <v>201</v>
      </c>
      <c r="P374" s="54" t="s">
        <v>884</v>
      </c>
      <c r="Q374" s="60">
        <v>2</v>
      </c>
      <c r="R374" s="54" t="s">
        <v>870</v>
      </c>
      <c r="T374" s="55" t="str">
        <f t="shared" si="15"/>
        <v>{201,300},{2,9000}</v>
      </c>
      <c r="U374" s="55" t="s">
        <v>900</v>
      </c>
    </row>
    <row r="375" spans="1:21">
      <c r="A375" s="55">
        <v>71</v>
      </c>
      <c r="B375" s="55">
        <f t="shared" si="16"/>
        <v>1004</v>
      </c>
      <c r="C375" s="53" t="s">
        <v>59</v>
      </c>
      <c r="D375" s="54" t="s">
        <v>858</v>
      </c>
      <c r="E375" s="54" t="s">
        <v>1162</v>
      </c>
      <c r="F375" s="54" t="s">
        <v>873</v>
      </c>
      <c r="G375" s="77" t="s">
        <v>1744</v>
      </c>
      <c r="L375" s="55" t="str">
        <f t="shared" si="14"/>
        <v>{1},{3}</v>
      </c>
      <c r="M375" s="55" t="s">
        <v>451</v>
      </c>
      <c r="O375" s="54">
        <v>201</v>
      </c>
      <c r="P375" s="54" t="s">
        <v>884</v>
      </c>
      <c r="Q375" s="60">
        <v>2</v>
      </c>
      <c r="R375" s="54" t="s">
        <v>870</v>
      </c>
      <c r="T375" s="55" t="str">
        <f t="shared" si="15"/>
        <v>{201,300},{2,9000}</v>
      </c>
      <c r="U375" s="55" t="s">
        <v>900</v>
      </c>
    </row>
    <row r="376" spans="1:21">
      <c r="A376" s="55">
        <v>72</v>
      </c>
      <c r="B376" s="55">
        <f t="shared" si="16"/>
        <v>1004</v>
      </c>
      <c r="C376" s="53" t="s">
        <v>59</v>
      </c>
      <c r="D376" s="54" t="s">
        <v>858</v>
      </c>
      <c r="E376" s="54" t="s">
        <v>1163</v>
      </c>
      <c r="F376" s="54" t="s">
        <v>873</v>
      </c>
      <c r="G376" s="77" t="s">
        <v>1745</v>
      </c>
      <c r="L376" s="55" t="str">
        <f t="shared" si="14"/>
        <v>{1},{3}</v>
      </c>
      <c r="M376" s="55" t="s">
        <v>452</v>
      </c>
      <c r="O376" s="54">
        <v>201</v>
      </c>
      <c r="P376" s="54" t="s">
        <v>884</v>
      </c>
      <c r="Q376" s="60">
        <v>2</v>
      </c>
      <c r="R376" s="54" t="s">
        <v>870</v>
      </c>
      <c r="T376" s="55" t="str">
        <f t="shared" si="15"/>
        <v>{201,300},{2,9000}</v>
      </c>
      <c r="U376" s="55" t="s">
        <v>900</v>
      </c>
    </row>
    <row r="377" spans="1:21">
      <c r="A377" s="55">
        <v>73</v>
      </c>
      <c r="B377" s="55">
        <f t="shared" si="16"/>
        <v>1004</v>
      </c>
      <c r="C377" s="53" t="s">
        <v>59</v>
      </c>
      <c r="D377" s="54" t="s">
        <v>858</v>
      </c>
      <c r="E377" s="54" t="s">
        <v>1164</v>
      </c>
      <c r="F377" s="54" t="s">
        <v>873</v>
      </c>
      <c r="G377" s="77" t="s">
        <v>1746</v>
      </c>
      <c r="L377" s="55" t="str">
        <f t="shared" si="14"/>
        <v>{1},{3}</v>
      </c>
      <c r="M377" s="55" t="s">
        <v>453</v>
      </c>
      <c r="O377" s="54">
        <v>201</v>
      </c>
      <c r="P377" s="54" t="s">
        <v>884</v>
      </c>
      <c r="Q377" s="60">
        <v>2</v>
      </c>
      <c r="R377" s="54" t="s">
        <v>870</v>
      </c>
      <c r="T377" s="55" t="str">
        <f t="shared" si="15"/>
        <v>{201,300},{2,9000}</v>
      </c>
      <c r="U377" s="55" t="s">
        <v>900</v>
      </c>
    </row>
    <row r="378" spans="1:21">
      <c r="A378" s="55">
        <v>74</v>
      </c>
      <c r="B378" s="55">
        <f t="shared" si="16"/>
        <v>1004</v>
      </c>
      <c r="C378" s="53" t="s">
        <v>59</v>
      </c>
      <c r="D378" s="54" t="s">
        <v>858</v>
      </c>
      <c r="E378" s="54" t="s">
        <v>1165</v>
      </c>
      <c r="F378" s="54" t="s">
        <v>873</v>
      </c>
      <c r="G378" s="77" t="s">
        <v>1747</v>
      </c>
      <c r="L378" s="55" t="str">
        <f t="shared" si="14"/>
        <v>{1},{3}</v>
      </c>
      <c r="M378" s="55" t="s">
        <v>454</v>
      </c>
      <c r="O378" s="54">
        <v>201</v>
      </c>
      <c r="P378" s="54" t="s">
        <v>884</v>
      </c>
      <c r="Q378" s="60">
        <v>2</v>
      </c>
      <c r="R378" s="54" t="s">
        <v>870</v>
      </c>
      <c r="T378" s="55" t="str">
        <f t="shared" si="15"/>
        <v>{201,300},{2,9000}</v>
      </c>
      <c r="U378" s="55" t="s">
        <v>900</v>
      </c>
    </row>
    <row r="379" spans="1:21">
      <c r="A379" s="55">
        <v>75</v>
      </c>
      <c r="B379" s="55">
        <f t="shared" si="16"/>
        <v>1004</v>
      </c>
      <c r="C379" s="53" t="s">
        <v>59</v>
      </c>
      <c r="D379" s="54" t="s">
        <v>858</v>
      </c>
      <c r="E379" s="54" t="s">
        <v>1166</v>
      </c>
      <c r="F379" s="54" t="s">
        <v>873</v>
      </c>
      <c r="G379" s="77" t="s">
        <v>1748</v>
      </c>
      <c r="L379" s="55" t="str">
        <f t="shared" si="14"/>
        <v>{1},{3}</v>
      </c>
      <c r="M379" s="55" t="s">
        <v>455</v>
      </c>
      <c r="O379" s="54">
        <v>201</v>
      </c>
      <c r="P379" s="54" t="s">
        <v>884</v>
      </c>
      <c r="Q379" s="60">
        <v>2</v>
      </c>
      <c r="R379" s="54" t="s">
        <v>870</v>
      </c>
      <c r="T379" s="55" t="str">
        <f t="shared" si="15"/>
        <v>{201,300},{2,9000}</v>
      </c>
      <c r="U379" s="55" t="s">
        <v>900</v>
      </c>
    </row>
    <row r="380" spans="1:21">
      <c r="A380" s="55">
        <v>76</v>
      </c>
      <c r="B380" s="55">
        <f t="shared" si="16"/>
        <v>1004</v>
      </c>
      <c r="C380" s="53" t="s">
        <v>59</v>
      </c>
      <c r="D380" s="54" t="s">
        <v>858</v>
      </c>
      <c r="E380" s="54" t="s">
        <v>1167</v>
      </c>
      <c r="F380" s="54" t="s">
        <v>873</v>
      </c>
      <c r="G380" s="77" t="s">
        <v>1749</v>
      </c>
      <c r="L380" s="55" t="str">
        <f t="shared" si="14"/>
        <v>{1},{3}</v>
      </c>
      <c r="M380" s="55" t="s">
        <v>456</v>
      </c>
      <c r="O380" s="54">
        <v>201</v>
      </c>
      <c r="P380" s="54" t="s">
        <v>884</v>
      </c>
      <c r="Q380" s="60">
        <v>2</v>
      </c>
      <c r="R380" s="54" t="s">
        <v>870</v>
      </c>
      <c r="T380" s="55" t="str">
        <f t="shared" si="15"/>
        <v>{201,300},{2,9000}</v>
      </c>
      <c r="U380" s="55" t="s">
        <v>900</v>
      </c>
    </row>
    <row r="381" spans="1:21">
      <c r="A381" s="55">
        <v>77</v>
      </c>
      <c r="B381" s="55">
        <f t="shared" si="16"/>
        <v>1004</v>
      </c>
      <c r="C381" s="53" t="s">
        <v>59</v>
      </c>
      <c r="D381" s="54" t="s">
        <v>858</v>
      </c>
      <c r="E381" s="54" t="s">
        <v>1168</v>
      </c>
      <c r="F381" s="54" t="s">
        <v>873</v>
      </c>
      <c r="G381" s="77" t="s">
        <v>1750</v>
      </c>
      <c r="L381" s="55" t="str">
        <f t="shared" si="14"/>
        <v>{1},{3}</v>
      </c>
      <c r="M381" s="55" t="s">
        <v>457</v>
      </c>
      <c r="O381" s="54">
        <v>201</v>
      </c>
      <c r="P381" s="54" t="s">
        <v>884</v>
      </c>
      <c r="Q381" s="60">
        <v>2</v>
      </c>
      <c r="R381" s="54" t="s">
        <v>870</v>
      </c>
      <c r="T381" s="55" t="str">
        <f t="shared" si="15"/>
        <v>{201,300},{2,9000}</v>
      </c>
      <c r="U381" s="55" t="s">
        <v>900</v>
      </c>
    </row>
    <row r="382" spans="1:21">
      <c r="A382" s="55">
        <v>78</v>
      </c>
      <c r="B382" s="55">
        <f t="shared" si="16"/>
        <v>1004</v>
      </c>
      <c r="C382" s="53" t="s">
        <v>59</v>
      </c>
      <c r="D382" s="54" t="s">
        <v>858</v>
      </c>
      <c r="E382" s="54" t="s">
        <v>1169</v>
      </c>
      <c r="F382" s="54" t="s">
        <v>873</v>
      </c>
      <c r="G382" s="77" t="s">
        <v>1751</v>
      </c>
      <c r="L382" s="55" t="str">
        <f t="shared" si="14"/>
        <v>{1},{3}</v>
      </c>
      <c r="M382" s="55" t="s">
        <v>458</v>
      </c>
      <c r="O382" s="54">
        <v>201</v>
      </c>
      <c r="P382" s="54" t="s">
        <v>884</v>
      </c>
      <c r="Q382" s="60">
        <v>2</v>
      </c>
      <c r="R382" s="54" t="s">
        <v>870</v>
      </c>
      <c r="T382" s="55" t="str">
        <f t="shared" si="15"/>
        <v>{201,300},{2,9000}</v>
      </c>
      <c r="U382" s="55" t="s">
        <v>900</v>
      </c>
    </row>
    <row r="383" spans="1:21">
      <c r="A383" s="55">
        <v>79</v>
      </c>
      <c r="B383" s="55">
        <f t="shared" si="16"/>
        <v>1004</v>
      </c>
      <c r="C383" s="53" t="s">
        <v>59</v>
      </c>
      <c r="D383" s="54" t="s">
        <v>858</v>
      </c>
      <c r="E383" s="54" t="s">
        <v>1170</v>
      </c>
      <c r="F383" s="54" t="s">
        <v>873</v>
      </c>
      <c r="G383" s="77" t="s">
        <v>1752</v>
      </c>
      <c r="L383" s="55" t="str">
        <f t="shared" si="14"/>
        <v>{1},{3}</v>
      </c>
      <c r="M383" s="55" t="s">
        <v>459</v>
      </c>
      <c r="O383" s="54">
        <v>201</v>
      </c>
      <c r="P383" s="54" t="s">
        <v>884</v>
      </c>
      <c r="Q383" s="60">
        <v>2</v>
      </c>
      <c r="R383" s="54" t="s">
        <v>870</v>
      </c>
      <c r="T383" s="55" t="str">
        <f t="shared" si="15"/>
        <v>{201,300},{2,9000}</v>
      </c>
      <c r="U383" s="55" t="s">
        <v>900</v>
      </c>
    </row>
    <row r="384" spans="1:21" s="63" customFormat="1">
      <c r="A384" s="63">
        <v>80</v>
      </c>
      <c r="B384" s="63">
        <f t="shared" si="16"/>
        <v>1004</v>
      </c>
      <c r="C384" s="61" t="s">
        <v>60</v>
      </c>
      <c r="D384" s="62" t="s">
        <v>858</v>
      </c>
      <c r="E384" s="62" t="s">
        <v>1171</v>
      </c>
      <c r="F384" s="62" t="s">
        <v>873</v>
      </c>
      <c r="G384" s="78" t="s">
        <v>1753</v>
      </c>
      <c r="H384" s="78"/>
      <c r="I384" s="78"/>
      <c r="J384" s="78"/>
      <c r="L384" s="63" t="str">
        <f t="shared" si="14"/>
        <v>{1},{3}</v>
      </c>
      <c r="M384" s="63" t="s">
        <v>460</v>
      </c>
      <c r="O384" s="62" t="s">
        <v>886</v>
      </c>
      <c r="P384" s="62" t="s">
        <v>884</v>
      </c>
      <c r="Q384" s="64">
        <v>2</v>
      </c>
      <c r="R384" s="62" t="s">
        <v>871</v>
      </c>
      <c r="T384" s="55" t="str">
        <f t="shared" si="15"/>
        <v>{301,300},{2,10500}</v>
      </c>
      <c r="U384" s="63" t="s">
        <v>901</v>
      </c>
    </row>
    <row r="385" spans="1:21">
      <c r="A385" s="55">
        <v>81</v>
      </c>
      <c r="B385" s="55">
        <f t="shared" si="16"/>
        <v>1004</v>
      </c>
      <c r="C385" s="53" t="s">
        <v>61</v>
      </c>
      <c r="D385" s="54" t="s">
        <v>858</v>
      </c>
      <c r="E385" s="54" t="s">
        <v>1172</v>
      </c>
      <c r="F385" s="54" t="s">
        <v>873</v>
      </c>
      <c r="G385" s="77" t="s">
        <v>1754</v>
      </c>
      <c r="L385" s="55" t="str">
        <f t="shared" si="14"/>
        <v>{1},{3}</v>
      </c>
      <c r="M385" s="55" t="s">
        <v>461</v>
      </c>
      <c r="O385" s="54">
        <v>201</v>
      </c>
      <c r="P385" s="54" t="s">
        <v>885</v>
      </c>
      <c r="Q385" s="60">
        <v>2</v>
      </c>
      <c r="R385" s="54" t="s">
        <v>872</v>
      </c>
      <c r="T385" s="55" t="str">
        <f t="shared" si="15"/>
        <v>{201,450},{2,15750}</v>
      </c>
      <c r="U385" s="55" t="s">
        <v>902</v>
      </c>
    </row>
    <row r="386" spans="1:21">
      <c r="A386" s="55">
        <v>82</v>
      </c>
      <c r="B386" s="55">
        <f t="shared" si="16"/>
        <v>1004</v>
      </c>
      <c r="C386" s="53" t="s">
        <v>61</v>
      </c>
      <c r="D386" s="54" t="s">
        <v>858</v>
      </c>
      <c r="E386" s="54" t="s">
        <v>1173</v>
      </c>
      <c r="F386" s="54" t="s">
        <v>873</v>
      </c>
      <c r="G386" s="77" t="s">
        <v>1755</v>
      </c>
      <c r="L386" s="55" t="str">
        <f t="shared" si="14"/>
        <v>{1},{3}</v>
      </c>
      <c r="M386" s="55" t="s">
        <v>462</v>
      </c>
      <c r="O386" s="54">
        <v>201</v>
      </c>
      <c r="P386" s="54" t="s">
        <v>885</v>
      </c>
      <c r="Q386" s="60">
        <v>2</v>
      </c>
      <c r="R386" s="54" t="s">
        <v>872</v>
      </c>
      <c r="T386" s="55" t="str">
        <f t="shared" si="15"/>
        <v>{201,450},{2,15750}</v>
      </c>
      <c r="U386" s="55" t="s">
        <v>902</v>
      </c>
    </row>
    <row r="387" spans="1:21">
      <c r="A387" s="55">
        <v>83</v>
      </c>
      <c r="B387" s="55">
        <f t="shared" si="16"/>
        <v>1004</v>
      </c>
      <c r="C387" s="53" t="s">
        <v>61</v>
      </c>
      <c r="D387" s="54" t="s">
        <v>858</v>
      </c>
      <c r="E387" s="54" t="s">
        <v>1174</v>
      </c>
      <c r="F387" s="54" t="s">
        <v>873</v>
      </c>
      <c r="G387" s="77" t="s">
        <v>1756</v>
      </c>
      <c r="L387" s="55" t="str">
        <f t="shared" si="14"/>
        <v>{1},{3}</v>
      </c>
      <c r="M387" s="55" t="s">
        <v>463</v>
      </c>
      <c r="O387" s="54">
        <v>201</v>
      </c>
      <c r="P387" s="54" t="s">
        <v>885</v>
      </c>
      <c r="Q387" s="60">
        <v>2</v>
      </c>
      <c r="R387" s="54" t="s">
        <v>872</v>
      </c>
      <c r="T387" s="55" t="str">
        <f t="shared" si="15"/>
        <v>{201,450},{2,15750}</v>
      </c>
      <c r="U387" s="55" t="s">
        <v>902</v>
      </c>
    </row>
    <row r="388" spans="1:21">
      <c r="A388" s="55">
        <v>84</v>
      </c>
      <c r="B388" s="55">
        <f t="shared" si="16"/>
        <v>1004</v>
      </c>
      <c r="C388" s="53" t="s">
        <v>61</v>
      </c>
      <c r="D388" s="54" t="s">
        <v>858</v>
      </c>
      <c r="E388" s="54" t="s">
        <v>1175</v>
      </c>
      <c r="F388" s="54" t="s">
        <v>873</v>
      </c>
      <c r="G388" s="77" t="s">
        <v>1757</v>
      </c>
      <c r="L388" s="55" t="str">
        <f t="shared" si="14"/>
        <v>{1},{3}</v>
      </c>
      <c r="M388" s="55" t="s">
        <v>464</v>
      </c>
      <c r="O388" s="54">
        <v>201</v>
      </c>
      <c r="P388" s="54" t="s">
        <v>885</v>
      </c>
      <c r="Q388" s="60">
        <v>2</v>
      </c>
      <c r="R388" s="54" t="s">
        <v>872</v>
      </c>
      <c r="T388" s="55" t="str">
        <f t="shared" si="15"/>
        <v>{201,450},{2,15750}</v>
      </c>
      <c r="U388" s="55" t="s">
        <v>902</v>
      </c>
    </row>
    <row r="389" spans="1:21">
      <c r="A389" s="55">
        <v>85</v>
      </c>
      <c r="B389" s="55">
        <f t="shared" si="16"/>
        <v>1004</v>
      </c>
      <c r="C389" s="53" t="s">
        <v>61</v>
      </c>
      <c r="D389" s="54" t="s">
        <v>858</v>
      </c>
      <c r="E389" s="54" t="s">
        <v>1176</v>
      </c>
      <c r="F389" s="54" t="s">
        <v>873</v>
      </c>
      <c r="G389" s="77" t="s">
        <v>1758</v>
      </c>
      <c r="L389" s="55" t="str">
        <f t="shared" si="14"/>
        <v>{1},{3}</v>
      </c>
      <c r="M389" s="55" t="s">
        <v>465</v>
      </c>
      <c r="O389" s="54">
        <v>201</v>
      </c>
      <c r="P389" s="54" t="s">
        <v>885</v>
      </c>
      <c r="Q389" s="60">
        <v>2</v>
      </c>
      <c r="R389" s="54" t="s">
        <v>872</v>
      </c>
      <c r="T389" s="55" t="str">
        <f t="shared" si="15"/>
        <v>{201,450},{2,15750}</v>
      </c>
      <c r="U389" s="55" t="s">
        <v>902</v>
      </c>
    </row>
    <row r="390" spans="1:21">
      <c r="A390" s="55">
        <v>86</v>
      </c>
      <c r="B390" s="55">
        <f t="shared" si="16"/>
        <v>1004</v>
      </c>
      <c r="C390" s="53" t="s">
        <v>61</v>
      </c>
      <c r="D390" s="54" t="s">
        <v>858</v>
      </c>
      <c r="E390" s="54" t="s">
        <v>1177</v>
      </c>
      <c r="F390" s="54" t="s">
        <v>873</v>
      </c>
      <c r="G390" s="77" t="s">
        <v>1759</v>
      </c>
      <c r="L390" s="55" t="str">
        <f t="shared" ref="L390:L453" si="17">"{"&amp;D390&amp;"}"&amp;","&amp;"{"&amp;F390&amp;"}"</f>
        <v>{1},{3}</v>
      </c>
      <c r="M390" s="55" t="s">
        <v>466</v>
      </c>
      <c r="O390" s="54">
        <v>201</v>
      </c>
      <c r="P390" s="54" t="s">
        <v>885</v>
      </c>
      <c r="Q390" s="60">
        <v>2</v>
      </c>
      <c r="R390" s="54" t="s">
        <v>872</v>
      </c>
      <c r="T390" s="55" t="str">
        <f t="shared" ref="T390:T453" si="18">"{"&amp;O390&amp;","&amp;P390&amp;"}"&amp;","&amp;"{"&amp;Q390&amp;","&amp;R390&amp;"}"</f>
        <v>{201,450},{2,15750}</v>
      </c>
      <c r="U390" s="55" t="s">
        <v>902</v>
      </c>
    </row>
    <row r="391" spans="1:21">
      <c r="A391" s="55">
        <v>87</v>
      </c>
      <c r="B391" s="55">
        <f t="shared" si="16"/>
        <v>1004</v>
      </c>
      <c r="C391" s="53" t="s">
        <v>61</v>
      </c>
      <c r="D391" s="54" t="s">
        <v>858</v>
      </c>
      <c r="E391" s="54" t="s">
        <v>1178</v>
      </c>
      <c r="F391" s="54" t="s">
        <v>873</v>
      </c>
      <c r="G391" s="77" t="s">
        <v>1760</v>
      </c>
      <c r="L391" s="55" t="str">
        <f t="shared" si="17"/>
        <v>{1},{3}</v>
      </c>
      <c r="M391" s="55" t="s">
        <v>467</v>
      </c>
      <c r="O391" s="54">
        <v>201</v>
      </c>
      <c r="P391" s="54" t="s">
        <v>885</v>
      </c>
      <c r="Q391" s="60">
        <v>2</v>
      </c>
      <c r="R391" s="54" t="s">
        <v>872</v>
      </c>
      <c r="T391" s="55" t="str">
        <f t="shared" si="18"/>
        <v>{201,450},{2,15750}</v>
      </c>
      <c r="U391" s="55" t="s">
        <v>902</v>
      </c>
    </row>
    <row r="392" spans="1:21">
      <c r="A392" s="55">
        <v>88</v>
      </c>
      <c r="B392" s="55">
        <f t="shared" si="16"/>
        <v>1004</v>
      </c>
      <c r="C392" s="53" t="s">
        <v>61</v>
      </c>
      <c r="D392" s="54" t="s">
        <v>858</v>
      </c>
      <c r="E392" s="54" t="s">
        <v>1179</v>
      </c>
      <c r="F392" s="54" t="s">
        <v>873</v>
      </c>
      <c r="G392" s="77" t="s">
        <v>1761</v>
      </c>
      <c r="L392" s="55" t="str">
        <f t="shared" si="17"/>
        <v>{1},{3}</v>
      </c>
      <c r="M392" s="55" t="s">
        <v>468</v>
      </c>
      <c r="O392" s="54">
        <v>201</v>
      </c>
      <c r="P392" s="54" t="s">
        <v>885</v>
      </c>
      <c r="Q392" s="60">
        <v>2</v>
      </c>
      <c r="R392" s="54" t="s">
        <v>872</v>
      </c>
      <c r="T392" s="55" t="str">
        <f t="shared" si="18"/>
        <v>{201,450},{2,15750}</v>
      </c>
      <c r="U392" s="55" t="s">
        <v>902</v>
      </c>
    </row>
    <row r="393" spans="1:21">
      <c r="A393" s="55">
        <v>89</v>
      </c>
      <c r="B393" s="55">
        <f t="shared" si="16"/>
        <v>1004</v>
      </c>
      <c r="C393" s="53" t="s">
        <v>61</v>
      </c>
      <c r="D393" s="54" t="s">
        <v>858</v>
      </c>
      <c r="E393" s="54" t="s">
        <v>1180</v>
      </c>
      <c r="F393" s="54" t="s">
        <v>873</v>
      </c>
      <c r="G393" s="77" t="s">
        <v>1762</v>
      </c>
      <c r="L393" s="55" t="str">
        <f t="shared" si="17"/>
        <v>{1},{3}</v>
      </c>
      <c r="M393" s="55" t="s">
        <v>469</v>
      </c>
      <c r="O393" s="54">
        <v>201</v>
      </c>
      <c r="P393" s="54" t="s">
        <v>885</v>
      </c>
      <c r="Q393" s="60">
        <v>2</v>
      </c>
      <c r="R393" s="54" t="s">
        <v>872</v>
      </c>
      <c r="T393" s="55" t="str">
        <f t="shared" si="18"/>
        <v>{201,450},{2,15750}</v>
      </c>
      <c r="U393" s="55" t="s">
        <v>902</v>
      </c>
    </row>
    <row r="394" spans="1:21">
      <c r="A394" s="55">
        <v>90</v>
      </c>
      <c r="B394" s="55">
        <f t="shared" si="16"/>
        <v>1004</v>
      </c>
      <c r="C394" s="53" t="s">
        <v>61</v>
      </c>
      <c r="D394" s="54" t="s">
        <v>858</v>
      </c>
      <c r="E394" s="54" t="s">
        <v>1181</v>
      </c>
      <c r="F394" s="54" t="s">
        <v>873</v>
      </c>
      <c r="G394" s="77" t="s">
        <v>1763</v>
      </c>
      <c r="L394" s="55" t="str">
        <f t="shared" si="17"/>
        <v>{1},{3}</v>
      </c>
      <c r="M394" s="55" t="s">
        <v>470</v>
      </c>
      <c r="O394" s="54">
        <v>201</v>
      </c>
      <c r="P394" s="54" t="s">
        <v>885</v>
      </c>
      <c r="Q394" s="60">
        <v>2</v>
      </c>
      <c r="R394" s="54" t="s">
        <v>872</v>
      </c>
      <c r="T394" s="55" t="str">
        <f t="shared" si="18"/>
        <v>{201,450},{2,15750}</v>
      </c>
      <c r="U394" s="55" t="s">
        <v>902</v>
      </c>
    </row>
    <row r="395" spans="1:21">
      <c r="A395" s="55">
        <v>91</v>
      </c>
      <c r="B395" s="55">
        <f t="shared" si="16"/>
        <v>1004</v>
      </c>
      <c r="C395" s="53" t="s">
        <v>61</v>
      </c>
      <c r="D395" s="54" t="s">
        <v>858</v>
      </c>
      <c r="E395" s="54" t="s">
        <v>1182</v>
      </c>
      <c r="F395" s="54" t="s">
        <v>873</v>
      </c>
      <c r="G395" s="77" t="s">
        <v>1764</v>
      </c>
      <c r="L395" s="55" t="str">
        <f t="shared" si="17"/>
        <v>{1},{3}</v>
      </c>
      <c r="M395" s="55" t="s">
        <v>471</v>
      </c>
      <c r="O395" s="54">
        <v>201</v>
      </c>
      <c r="P395" s="54" t="s">
        <v>885</v>
      </c>
      <c r="Q395" s="60">
        <v>2</v>
      </c>
      <c r="R395" s="54" t="s">
        <v>872</v>
      </c>
      <c r="T395" s="55" t="str">
        <f t="shared" si="18"/>
        <v>{201,450},{2,15750}</v>
      </c>
      <c r="U395" s="55" t="s">
        <v>902</v>
      </c>
    </row>
    <row r="396" spans="1:21">
      <c r="A396" s="55">
        <v>92</v>
      </c>
      <c r="B396" s="55">
        <f t="shared" si="16"/>
        <v>1004</v>
      </c>
      <c r="C396" s="53" t="s">
        <v>61</v>
      </c>
      <c r="D396" s="54" t="s">
        <v>858</v>
      </c>
      <c r="E396" s="54" t="s">
        <v>1183</v>
      </c>
      <c r="F396" s="54" t="s">
        <v>873</v>
      </c>
      <c r="G396" s="77" t="s">
        <v>1765</v>
      </c>
      <c r="L396" s="55" t="str">
        <f t="shared" si="17"/>
        <v>{1},{3}</v>
      </c>
      <c r="M396" s="55" t="s">
        <v>472</v>
      </c>
      <c r="O396" s="54">
        <v>201</v>
      </c>
      <c r="P396" s="54" t="s">
        <v>885</v>
      </c>
      <c r="Q396" s="60">
        <v>2</v>
      </c>
      <c r="R396" s="54" t="s">
        <v>872</v>
      </c>
      <c r="T396" s="55" t="str">
        <f t="shared" si="18"/>
        <v>{201,450},{2,15750}</v>
      </c>
      <c r="U396" s="55" t="s">
        <v>902</v>
      </c>
    </row>
    <row r="397" spans="1:21">
      <c r="A397" s="55">
        <v>93</v>
      </c>
      <c r="B397" s="55">
        <f t="shared" si="16"/>
        <v>1004</v>
      </c>
      <c r="C397" s="53" t="s">
        <v>61</v>
      </c>
      <c r="D397" s="54" t="s">
        <v>858</v>
      </c>
      <c r="E397" s="54" t="s">
        <v>1184</v>
      </c>
      <c r="F397" s="54" t="s">
        <v>873</v>
      </c>
      <c r="G397" s="77" t="s">
        <v>1766</v>
      </c>
      <c r="L397" s="55" t="str">
        <f t="shared" si="17"/>
        <v>{1},{3}</v>
      </c>
      <c r="M397" s="55" t="s">
        <v>473</v>
      </c>
      <c r="O397" s="54">
        <v>201</v>
      </c>
      <c r="P397" s="54" t="s">
        <v>885</v>
      </c>
      <c r="Q397" s="60">
        <v>2</v>
      </c>
      <c r="R397" s="54" t="s">
        <v>872</v>
      </c>
      <c r="T397" s="55" t="str">
        <f t="shared" si="18"/>
        <v>{201,450},{2,15750}</v>
      </c>
      <c r="U397" s="55" t="s">
        <v>902</v>
      </c>
    </row>
    <row r="398" spans="1:21">
      <c r="A398" s="55">
        <v>94</v>
      </c>
      <c r="B398" s="55">
        <f t="shared" si="16"/>
        <v>1004</v>
      </c>
      <c r="C398" s="53" t="s">
        <v>61</v>
      </c>
      <c r="D398" s="54" t="s">
        <v>858</v>
      </c>
      <c r="E398" s="54" t="s">
        <v>1185</v>
      </c>
      <c r="F398" s="54" t="s">
        <v>873</v>
      </c>
      <c r="G398" s="77" t="s">
        <v>1767</v>
      </c>
      <c r="L398" s="55" t="str">
        <f t="shared" si="17"/>
        <v>{1},{3}</v>
      </c>
      <c r="M398" s="55" t="s">
        <v>474</v>
      </c>
      <c r="O398" s="54">
        <v>201</v>
      </c>
      <c r="P398" s="54" t="s">
        <v>885</v>
      </c>
      <c r="Q398" s="60">
        <v>2</v>
      </c>
      <c r="R398" s="54" t="s">
        <v>872</v>
      </c>
      <c r="T398" s="55" t="str">
        <f t="shared" si="18"/>
        <v>{201,450},{2,15750}</v>
      </c>
      <c r="U398" s="55" t="s">
        <v>902</v>
      </c>
    </row>
    <row r="399" spans="1:21">
      <c r="A399" s="55">
        <v>95</v>
      </c>
      <c r="B399" s="55">
        <f t="shared" si="16"/>
        <v>1004</v>
      </c>
      <c r="C399" s="53" t="s">
        <v>61</v>
      </c>
      <c r="D399" s="54" t="s">
        <v>858</v>
      </c>
      <c r="E399" s="54" t="s">
        <v>1186</v>
      </c>
      <c r="F399" s="54" t="s">
        <v>873</v>
      </c>
      <c r="G399" s="77" t="s">
        <v>1768</v>
      </c>
      <c r="L399" s="55" t="str">
        <f t="shared" si="17"/>
        <v>{1},{3}</v>
      </c>
      <c r="M399" s="55" t="s">
        <v>475</v>
      </c>
      <c r="O399" s="54">
        <v>201</v>
      </c>
      <c r="P399" s="54" t="s">
        <v>885</v>
      </c>
      <c r="Q399" s="60">
        <v>2</v>
      </c>
      <c r="R399" s="54" t="s">
        <v>872</v>
      </c>
      <c r="T399" s="55" t="str">
        <f t="shared" si="18"/>
        <v>{201,450},{2,15750}</v>
      </c>
      <c r="U399" s="55" t="s">
        <v>902</v>
      </c>
    </row>
    <row r="400" spans="1:21">
      <c r="A400" s="55">
        <v>96</v>
      </c>
      <c r="B400" s="55">
        <f t="shared" si="16"/>
        <v>1004</v>
      </c>
      <c r="C400" s="53" t="s">
        <v>61</v>
      </c>
      <c r="D400" s="54" t="s">
        <v>858</v>
      </c>
      <c r="E400" s="54" t="s">
        <v>1187</v>
      </c>
      <c r="F400" s="54" t="s">
        <v>873</v>
      </c>
      <c r="G400" s="77" t="s">
        <v>1769</v>
      </c>
      <c r="L400" s="55" t="str">
        <f t="shared" si="17"/>
        <v>{1},{3}</v>
      </c>
      <c r="M400" s="55" t="s">
        <v>476</v>
      </c>
      <c r="O400" s="54">
        <v>201</v>
      </c>
      <c r="P400" s="54" t="s">
        <v>885</v>
      </c>
      <c r="Q400" s="60">
        <v>2</v>
      </c>
      <c r="R400" s="54" t="s">
        <v>872</v>
      </c>
      <c r="T400" s="55" t="str">
        <f t="shared" si="18"/>
        <v>{201,450},{2,15750}</v>
      </c>
      <c r="U400" s="55" t="s">
        <v>902</v>
      </c>
    </row>
    <row r="401" spans="1:21">
      <c r="A401" s="55">
        <v>97</v>
      </c>
      <c r="B401" s="55">
        <f t="shared" si="16"/>
        <v>1004</v>
      </c>
      <c r="C401" s="53" t="s">
        <v>61</v>
      </c>
      <c r="D401" s="54" t="s">
        <v>858</v>
      </c>
      <c r="E401" s="54" t="s">
        <v>1188</v>
      </c>
      <c r="F401" s="54" t="s">
        <v>873</v>
      </c>
      <c r="G401" s="77" t="s">
        <v>1770</v>
      </c>
      <c r="L401" s="55" t="str">
        <f t="shared" si="17"/>
        <v>{1},{3}</v>
      </c>
      <c r="M401" s="55" t="s">
        <v>477</v>
      </c>
      <c r="O401" s="54">
        <v>201</v>
      </c>
      <c r="P401" s="54" t="s">
        <v>885</v>
      </c>
      <c r="Q401" s="60">
        <v>2</v>
      </c>
      <c r="R401" s="54" t="s">
        <v>872</v>
      </c>
      <c r="T401" s="55" t="str">
        <f t="shared" si="18"/>
        <v>{201,450},{2,15750}</v>
      </c>
      <c r="U401" s="55" t="s">
        <v>902</v>
      </c>
    </row>
    <row r="402" spans="1:21">
      <c r="A402" s="55">
        <v>98</v>
      </c>
      <c r="B402" s="55">
        <f t="shared" si="16"/>
        <v>1004</v>
      </c>
      <c r="C402" s="53" t="s">
        <v>61</v>
      </c>
      <c r="D402" s="54" t="s">
        <v>858</v>
      </c>
      <c r="E402" s="54" t="s">
        <v>1189</v>
      </c>
      <c r="F402" s="54" t="s">
        <v>873</v>
      </c>
      <c r="G402" s="77" t="s">
        <v>1771</v>
      </c>
      <c r="L402" s="55" t="str">
        <f t="shared" si="17"/>
        <v>{1},{3}</v>
      </c>
      <c r="M402" s="55" t="s">
        <v>478</v>
      </c>
      <c r="O402" s="54">
        <v>201</v>
      </c>
      <c r="P402" s="54" t="s">
        <v>885</v>
      </c>
      <c r="Q402" s="60">
        <v>2</v>
      </c>
      <c r="R402" s="54" t="s">
        <v>872</v>
      </c>
      <c r="T402" s="55" t="str">
        <f t="shared" si="18"/>
        <v>{201,450},{2,15750}</v>
      </c>
      <c r="U402" s="55" t="s">
        <v>902</v>
      </c>
    </row>
    <row r="403" spans="1:21">
      <c r="A403" s="55">
        <v>99</v>
      </c>
      <c r="B403" s="55">
        <f t="shared" si="16"/>
        <v>1004</v>
      </c>
      <c r="C403" s="53" t="s">
        <v>61</v>
      </c>
      <c r="D403" s="54" t="s">
        <v>858</v>
      </c>
      <c r="E403" s="54" t="s">
        <v>1190</v>
      </c>
      <c r="F403" s="54" t="s">
        <v>873</v>
      </c>
      <c r="G403" s="77" t="s">
        <v>1772</v>
      </c>
      <c r="L403" s="55" t="str">
        <f t="shared" si="17"/>
        <v>{1},{3}</v>
      </c>
      <c r="M403" s="55" t="s">
        <v>479</v>
      </c>
      <c r="O403" s="54">
        <v>201</v>
      </c>
      <c r="P403" s="54" t="s">
        <v>885</v>
      </c>
      <c r="Q403" s="60">
        <v>2</v>
      </c>
      <c r="R403" s="54" t="s">
        <v>872</v>
      </c>
      <c r="T403" s="55" t="str">
        <f t="shared" si="18"/>
        <v>{201,450},{2,15750}</v>
      </c>
      <c r="U403" s="55" t="s">
        <v>902</v>
      </c>
    </row>
    <row r="404" spans="1:21">
      <c r="A404" s="55">
        <v>100</v>
      </c>
      <c r="B404" s="55">
        <f t="shared" si="16"/>
        <v>1004</v>
      </c>
      <c r="D404" s="54" t="s">
        <v>858</v>
      </c>
      <c r="E404" s="54" t="s">
        <v>1191</v>
      </c>
      <c r="F404" s="54" t="s">
        <v>873</v>
      </c>
      <c r="G404" s="77" t="s">
        <v>1773</v>
      </c>
      <c r="L404" s="55" t="str">
        <f t="shared" si="17"/>
        <v>{1},{3}</v>
      </c>
      <c r="M404" s="55" t="s">
        <v>480</v>
      </c>
      <c r="Q404" s="65"/>
      <c r="T404" s="55" t="str">
        <f t="shared" si="18"/>
        <v>{,},{,}</v>
      </c>
      <c r="U404" s="55" t="s">
        <v>903</v>
      </c>
    </row>
    <row r="405" spans="1:21">
      <c r="A405" s="55">
        <v>1</v>
      </c>
      <c r="B405" s="55">
        <f t="shared" si="16"/>
        <v>1005</v>
      </c>
      <c r="C405" s="53" t="s">
        <v>46</v>
      </c>
      <c r="D405" s="54" t="s">
        <v>858</v>
      </c>
      <c r="E405" s="54" t="s">
        <v>920</v>
      </c>
      <c r="F405" s="54" t="s">
        <v>873</v>
      </c>
      <c r="G405" s="77" t="s">
        <v>1301</v>
      </c>
      <c r="L405" s="55" t="str">
        <f t="shared" si="17"/>
        <v>{1},{3}</v>
      </c>
      <c r="M405" s="55" t="s">
        <v>481</v>
      </c>
      <c r="O405" s="54">
        <v>201</v>
      </c>
      <c r="P405" s="54" t="s">
        <v>874</v>
      </c>
      <c r="Q405" s="60">
        <v>2</v>
      </c>
      <c r="R405" s="54" t="s">
        <v>859</v>
      </c>
      <c r="T405" s="55" t="str">
        <f t="shared" si="18"/>
        <v>{201,20},{2,400}</v>
      </c>
      <c r="U405" s="55" t="s">
        <v>887</v>
      </c>
    </row>
    <row r="406" spans="1:21">
      <c r="A406" s="55">
        <v>2</v>
      </c>
      <c r="B406" s="55">
        <f t="shared" si="16"/>
        <v>1005</v>
      </c>
      <c r="C406" s="53" t="s">
        <v>47</v>
      </c>
      <c r="D406" s="54" t="s">
        <v>858</v>
      </c>
      <c r="E406" s="54" t="s">
        <v>1192</v>
      </c>
      <c r="F406" s="54" t="s">
        <v>873</v>
      </c>
      <c r="G406" s="77" t="s">
        <v>1458</v>
      </c>
      <c r="L406" s="55" t="str">
        <f t="shared" si="17"/>
        <v>{1},{3}</v>
      </c>
      <c r="M406" s="55" t="s">
        <v>482</v>
      </c>
      <c r="O406" s="54">
        <v>201</v>
      </c>
      <c r="P406" s="54" t="s">
        <v>875</v>
      </c>
      <c r="Q406" s="60">
        <v>2</v>
      </c>
      <c r="R406" s="54" t="s">
        <v>860</v>
      </c>
      <c r="T406" s="55" t="str">
        <f t="shared" si="18"/>
        <v>{201,22},{2,440}</v>
      </c>
      <c r="U406" s="55" t="s">
        <v>888</v>
      </c>
    </row>
    <row r="407" spans="1:21">
      <c r="A407" s="55">
        <v>3</v>
      </c>
      <c r="B407" s="55">
        <f t="shared" si="16"/>
        <v>1005</v>
      </c>
      <c r="C407" s="53" t="s">
        <v>48</v>
      </c>
      <c r="D407" s="54" t="s">
        <v>858</v>
      </c>
      <c r="E407" s="54" t="s">
        <v>1193</v>
      </c>
      <c r="F407" s="54" t="s">
        <v>873</v>
      </c>
      <c r="G407" s="77" t="s">
        <v>1127</v>
      </c>
      <c r="L407" s="55" t="str">
        <f t="shared" si="17"/>
        <v>{1},{3}</v>
      </c>
      <c r="M407" s="55" t="s">
        <v>483</v>
      </c>
      <c r="O407" s="54">
        <v>201</v>
      </c>
      <c r="P407" s="54" t="s">
        <v>876</v>
      </c>
      <c r="Q407" s="60">
        <v>2</v>
      </c>
      <c r="R407" s="54" t="s">
        <v>861</v>
      </c>
      <c r="T407" s="55" t="str">
        <f t="shared" si="18"/>
        <v>{201,24},{2,480}</v>
      </c>
      <c r="U407" s="55" t="s">
        <v>889</v>
      </c>
    </row>
    <row r="408" spans="1:21">
      <c r="A408" s="55">
        <v>4</v>
      </c>
      <c r="B408" s="55">
        <f t="shared" si="16"/>
        <v>1005</v>
      </c>
      <c r="C408" s="53" t="s">
        <v>49</v>
      </c>
      <c r="D408" s="54" t="s">
        <v>858</v>
      </c>
      <c r="E408" s="54" t="s">
        <v>1194</v>
      </c>
      <c r="F408" s="54" t="s">
        <v>873</v>
      </c>
      <c r="G408" s="77" t="s">
        <v>1463</v>
      </c>
      <c r="L408" s="55" t="str">
        <f t="shared" si="17"/>
        <v>{1},{3}</v>
      </c>
      <c r="M408" s="55" t="s">
        <v>484</v>
      </c>
      <c r="O408" s="54">
        <v>201</v>
      </c>
      <c r="P408" s="54" t="s">
        <v>877</v>
      </c>
      <c r="Q408" s="60">
        <v>2</v>
      </c>
      <c r="R408" s="54" t="s">
        <v>862</v>
      </c>
      <c r="T408" s="55" t="str">
        <f t="shared" si="18"/>
        <v>{201,25},{2,500}</v>
      </c>
      <c r="U408" s="55" t="s">
        <v>890</v>
      </c>
    </row>
    <row r="409" spans="1:21">
      <c r="A409" s="55">
        <v>5</v>
      </c>
      <c r="B409" s="55">
        <f t="shared" si="16"/>
        <v>1005</v>
      </c>
      <c r="C409" s="53" t="s">
        <v>50</v>
      </c>
      <c r="D409" s="54" t="s">
        <v>858</v>
      </c>
      <c r="E409" s="54" t="s">
        <v>1195</v>
      </c>
      <c r="F409" s="54" t="s">
        <v>873</v>
      </c>
      <c r="G409" s="77" t="s">
        <v>1687</v>
      </c>
      <c r="L409" s="55" t="str">
        <f t="shared" si="17"/>
        <v>{1},{3}</v>
      </c>
      <c r="M409" s="55" t="s">
        <v>485</v>
      </c>
      <c r="O409" s="54">
        <v>201</v>
      </c>
      <c r="P409" s="54" t="s">
        <v>878</v>
      </c>
      <c r="Q409" s="60">
        <v>2</v>
      </c>
      <c r="R409" s="54" t="s">
        <v>863</v>
      </c>
      <c r="T409" s="55" t="str">
        <f t="shared" si="18"/>
        <v>{201,27},{2,540}</v>
      </c>
      <c r="U409" s="55" t="s">
        <v>891</v>
      </c>
    </row>
    <row r="410" spans="1:21">
      <c r="A410" s="55">
        <v>6</v>
      </c>
      <c r="B410" s="55">
        <f t="shared" si="16"/>
        <v>1005</v>
      </c>
      <c r="C410" s="53" t="s">
        <v>51</v>
      </c>
      <c r="D410" s="54" t="s">
        <v>858</v>
      </c>
      <c r="E410" s="54" t="s">
        <v>861</v>
      </c>
      <c r="F410" s="54" t="s">
        <v>873</v>
      </c>
      <c r="G410" s="77" t="s">
        <v>869</v>
      </c>
      <c r="L410" s="55" t="str">
        <f t="shared" si="17"/>
        <v>{1},{3}</v>
      </c>
      <c r="M410" s="55" t="s">
        <v>486</v>
      </c>
      <c r="O410" s="54">
        <v>201</v>
      </c>
      <c r="P410" s="54" t="s">
        <v>879</v>
      </c>
      <c r="Q410" s="60">
        <v>2</v>
      </c>
      <c r="R410" s="54" t="s">
        <v>864</v>
      </c>
      <c r="T410" s="55" t="str">
        <f t="shared" si="18"/>
        <v>{201,29},{2,580}</v>
      </c>
      <c r="U410" s="55" t="s">
        <v>892</v>
      </c>
    </row>
    <row r="411" spans="1:21">
      <c r="A411" s="55">
        <v>7</v>
      </c>
      <c r="B411" s="55">
        <f t="shared" si="16"/>
        <v>1005</v>
      </c>
      <c r="C411" s="53" t="s">
        <v>52</v>
      </c>
      <c r="D411" s="54" t="s">
        <v>858</v>
      </c>
      <c r="E411" s="54" t="s">
        <v>1196</v>
      </c>
      <c r="F411" s="54" t="s">
        <v>873</v>
      </c>
      <c r="G411" s="77" t="s">
        <v>1690</v>
      </c>
      <c r="L411" s="55" t="str">
        <f t="shared" si="17"/>
        <v>{1},{3}</v>
      </c>
      <c r="M411" s="55" t="s">
        <v>487</v>
      </c>
      <c r="O411" s="54">
        <v>201</v>
      </c>
      <c r="P411" s="54" t="s">
        <v>880</v>
      </c>
      <c r="Q411" s="60">
        <v>2</v>
      </c>
      <c r="R411" s="54" t="s">
        <v>865</v>
      </c>
      <c r="T411" s="55" t="str">
        <f t="shared" si="18"/>
        <v>{201,30},{2,600}</v>
      </c>
      <c r="U411" s="55" t="s">
        <v>893</v>
      </c>
    </row>
    <row r="412" spans="1:21">
      <c r="A412" s="55">
        <v>8</v>
      </c>
      <c r="B412" s="55">
        <f t="shared" si="16"/>
        <v>1005</v>
      </c>
      <c r="C412" s="53" t="s">
        <v>53</v>
      </c>
      <c r="D412" s="54" t="s">
        <v>858</v>
      </c>
      <c r="E412" s="54" t="s">
        <v>1197</v>
      </c>
      <c r="F412" s="54" t="s">
        <v>873</v>
      </c>
      <c r="G412" s="77" t="s">
        <v>1312</v>
      </c>
      <c r="L412" s="55" t="str">
        <f t="shared" si="17"/>
        <v>{1},{3}</v>
      </c>
      <c r="M412" s="55" t="s">
        <v>488</v>
      </c>
      <c r="O412" s="54">
        <v>201</v>
      </c>
      <c r="P412" s="54" t="s">
        <v>881</v>
      </c>
      <c r="Q412" s="60">
        <v>2</v>
      </c>
      <c r="R412" s="54" t="s">
        <v>866</v>
      </c>
      <c r="T412" s="55" t="str">
        <f t="shared" si="18"/>
        <v>{201,50},{2,1000}</v>
      </c>
      <c r="U412" s="55" t="s">
        <v>894</v>
      </c>
    </row>
    <row r="413" spans="1:21">
      <c r="A413" s="55">
        <v>9</v>
      </c>
      <c r="B413" s="55">
        <f t="shared" si="16"/>
        <v>1005</v>
      </c>
      <c r="C413" s="53" t="s">
        <v>53</v>
      </c>
      <c r="D413" s="54" t="s">
        <v>858</v>
      </c>
      <c r="E413" s="54" t="s">
        <v>1096</v>
      </c>
      <c r="F413" s="54" t="s">
        <v>873</v>
      </c>
      <c r="G413" s="77" t="s">
        <v>1134</v>
      </c>
      <c r="L413" s="55" t="str">
        <f t="shared" si="17"/>
        <v>{1},{3}</v>
      </c>
      <c r="M413" s="55" t="s">
        <v>489</v>
      </c>
      <c r="O413" s="54">
        <v>201</v>
      </c>
      <c r="P413" s="54" t="s">
        <v>881</v>
      </c>
      <c r="Q413" s="60">
        <v>2</v>
      </c>
      <c r="R413" s="54" t="s">
        <v>866</v>
      </c>
      <c r="T413" s="55" t="str">
        <f t="shared" si="18"/>
        <v>{201,50},{2,1000}</v>
      </c>
      <c r="U413" s="55" t="s">
        <v>894</v>
      </c>
    </row>
    <row r="414" spans="1:21">
      <c r="A414" s="55">
        <v>10</v>
      </c>
      <c r="B414" s="55">
        <f t="shared" si="16"/>
        <v>1005</v>
      </c>
      <c r="C414" s="53" t="s">
        <v>53</v>
      </c>
      <c r="D414" s="54" t="s">
        <v>858</v>
      </c>
      <c r="E414" s="54" t="s">
        <v>1198</v>
      </c>
      <c r="F414" s="54" t="s">
        <v>873</v>
      </c>
      <c r="G414" s="77" t="s">
        <v>1317</v>
      </c>
      <c r="L414" s="55" t="str">
        <f t="shared" si="17"/>
        <v>{1},{3}</v>
      </c>
      <c r="M414" s="55" t="s">
        <v>490</v>
      </c>
      <c r="O414" s="54">
        <v>201</v>
      </c>
      <c r="P414" s="54" t="s">
        <v>881</v>
      </c>
      <c r="Q414" s="60">
        <v>2</v>
      </c>
      <c r="R414" s="54" t="s">
        <v>866</v>
      </c>
      <c r="T414" s="55" t="str">
        <f t="shared" si="18"/>
        <v>{201,50},{2,1000}</v>
      </c>
      <c r="U414" s="55" t="s">
        <v>894</v>
      </c>
    </row>
    <row r="415" spans="1:21">
      <c r="A415" s="55">
        <v>11</v>
      </c>
      <c r="B415" s="55">
        <f t="shared" si="16"/>
        <v>1005</v>
      </c>
      <c r="C415" s="53" t="s">
        <v>53</v>
      </c>
      <c r="D415" s="54" t="s">
        <v>858</v>
      </c>
      <c r="E415" s="54" t="s">
        <v>1199</v>
      </c>
      <c r="F415" s="54" t="s">
        <v>873</v>
      </c>
      <c r="G415" s="77" t="s">
        <v>1774</v>
      </c>
      <c r="L415" s="55" t="str">
        <f t="shared" si="17"/>
        <v>{1},{3}</v>
      </c>
      <c r="M415" s="55" t="s">
        <v>491</v>
      </c>
      <c r="O415" s="54">
        <v>201</v>
      </c>
      <c r="P415" s="54" t="s">
        <v>881</v>
      </c>
      <c r="Q415" s="60">
        <v>2</v>
      </c>
      <c r="R415" s="54" t="s">
        <v>866</v>
      </c>
      <c r="T415" s="55" t="str">
        <f t="shared" si="18"/>
        <v>{201,50},{2,1000}</v>
      </c>
      <c r="U415" s="55" t="s">
        <v>894</v>
      </c>
    </row>
    <row r="416" spans="1:21">
      <c r="A416" s="55">
        <v>12</v>
      </c>
      <c r="B416" s="55">
        <f t="shared" si="16"/>
        <v>1005</v>
      </c>
      <c r="C416" s="53" t="s">
        <v>53</v>
      </c>
      <c r="D416" s="54" t="s">
        <v>858</v>
      </c>
      <c r="E416" s="54" t="s">
        <v>1098</v>
      </c>
      <c r="F416" s="54" t="s">
        <v>873</v>
      </c>
      <c r="G416" s="77" t="s">
        <v>1322</v>
      </c>
      <c r="L416" s="55" t="str">
        <f t="shared" si="17"/>
        <v>{1},{3}</v>
      </c>
      <c r="M416" s="55" t="s">
        <v>492</v>
      </c>
      <c r="O416" s="54">
        <v>201</v>
      </c>
      <c r="P416" s="54" t="s">
        <v>881</v>
      </c>
      <c r="Q416" s="60">
        <v>2</v>
      </c>
      <c r="R416" s="54" t="s">
        <v>866</v>
      </c>
      <c r="T416" s="55" t="str">
        <f t="shared" si="18"/>
        <v>{201,50},{2,1000}</v>
      </c>
      <c r="U416" s="55" t="s">
        <v>894</v>
      </c>
    </row>
    <row r="417" spans="1:21">
      <c r="A417" s="55">
        <v>13</v>
      </c>
      <c r="B417" s="55">
        <f t="shared" si="16"/>
        <v>1005</v>
      </c>
      <c r="C417" s="53" t="s">
        <v>53</v>
      </c>
      <c r="D417" s="54" t="s">
        <v>858</v>
      </c>
      <c r="E417" s="54" t="s">
        <v>1200</v>
      </c>
      <c r="F417" s="54" t="s">
        <v>873</v>
      </c>
      <c r="G417" s="77" t="s">
        <v>1532</v>
      </c>
      <c r="L417" s="55" t="str">
        <f t="shared" si="17"/>
        <v>{1},{3}</v>
      </c>
      <c r="M417" s="55" t="s">
        <v>493</v>
      </c>
      <c r="O417" s="54">
        <v>201</v>
      </c>
      <c r="P417" s="54" t="s">
        <v>881</v>
      </c>
      <c r="Q417" s="60">
        <v>2</v>
      </c>
      <c r="R417" s="54" t="s">
        <v>866</v>
      </c>
      <c r="T417" s="55" t="str">
        <f t="shared" si="18"/>
        <v>{201,50},{2,1000}</v>
      </c>
      <c r="U417" s="55" t="s">
        <v>894</v>
      </c>
    </row>
    <row r="418" spans="1:21">
      <c r="A418" s="55">
        <v>14</v>
      </c>
      <c r="B418" s="55">
        <f t="shared" si="16"/>
        <v>1005</v>
      </c>
      <c r="C418" s="53" t="s">
        <v>53</v>
      </c>
      <c r="D418" s="54" t="s">
        <v>858</v>
      </c>
      <c r="E418" s="54" t="s">
        <v>1201</v>
      </c>
      <c r="F418" s="54" t="s">
        <v>873</v>
      </c>
      <c r="G418" s="77" t="s">
        <v>1775</v>
      </c>
      <c r="L418" s="55" t="str">
        <f t="shared" si="17"/>
        <v>{1},{3}</v>
      </c>
      <c r="M418" s="55" t="s">
        <v>494</v>
      </c>
      <c r="O418" s="54">
        <v>201</v>
      </c>
      <c r="P418" s="54" t="s">
        <v>881</v>
      </c>
      <c r="Q418" s="60">
        <v>2</v>
      </c>
      <c r="R418" s="54" t="s">
        <v>866</v>
      </c>
      <c r="T418" s="55" t="str">
        <f t="shared" si="18"/>
        <v>{201,50},{2,1000}</v>
      </c>
      <c r="U418" s="55" t="s">
        <v>894</v>
      </c>
    </row>
    <row r="419" spans="1:21">
      <c r="A419" s="55">
        <v>15</v>
      </c>
      <c r="B419" s="55">
        <f t="shared" si="16"/>
        <v>1005</v>
      </c>
      <c r="C419" s="53" t="s">
        <v>53</v>
      </c>
      <c r="D419" s="54" t="s">
        <v>858</v>
      </c>
      <c r="E419" s="54" t="s">
        <v>1099</v>
      </c>
      <c r="F419" s="54" t="s">
        <v>873</v>
      </c>
      <c r="G419" s="77" t="s">
        <v>1776</v>
      </c>
      <c r="L419" s="55" t="str">
        <f t="shared" si="17"/>
        <v>{1},{3}</v>
      </c>
      <c r="M419" s="55" t="s">
        <v>495</v>
      </c>
      <c r="O419" s="54">
        <v>201</v>
      </c>
      <c r="P419" s="54" t="s">
        <v>881</v>
      </c>
      <c r="Q419" s="60">
        <v>2</v>
      </c>
      <c r="R419" s="54" t="s">
        <v>866</v>
      </c>
      <c r="T419" s="55" t="str">
        <f t="shared" si="18"/>
        <v>{201,50},{2,1000}</v>
      </c>
      <c r="U419" s="55" t="s">
        <v>894</v>
      </c>
    </row>
    <row r="420" spans="1:21">
      <c r="A420" s="55">
        <v>16</v>
      </c>
      <c r="B420" s="55">
        <f t="shared" si="16"/>
        <v>1005</v>
      </c>
      <c r="C420" s="53" t="s">
        <v>53</v>
      </c>
      <c r="D420" s="54" t="s">
        <v>858</v>
      </c>
      <c r="E420" s="54" t="s">
        <v>1202</v>
      </c>
      <c r="F420" s="54" t="s">
        <v>873</v>
      </c>
      <c r="G420" s="77" t="s">
        <v>1777</v>
      </c>
      <c r="L420" s="55" t="str">
        <f t="shared" si="17"/>
        <v>{1},{3}</v>
      </c>
      <c r="M420" s="55" t="s">
        <v>496</v>
      </c>
      <c r="O420" s="54">
        <v>201</v>
      </c>
      <c r="P420" s="54" t="s">
        <v>881</v>
      </c>
      <c r="Q420" s="60">
        <v>2</v>
      </c>
      <c r="R420" s="54" t="s">
        <v>866</v>
      </c>
      <c r="T420" s="55" t="str">
        <f t="shared" si="18"/>
        <v>{201,50},{2,1000}</v>
      </c>
      <c r="U420" s="55" t="s">
        <v>894</v>
      </c>
    </row>
    <row r="421" spans="1:21">
      <c r="A421" s="55">
        <v>17</v>
      </c>
      <c r="B421" s="55">
        <f t="shared" si="16"/>
        <v>1005</v>
      </c>
      <c r="C421" s="53" t="s">
        <v>53</v>
      </c>
      <c r="D421" s="54" t="s">
        <v>858</v>
      </c>
      <c r="E421" s="54" t="s">
        <v>1203</v>
      </c>
      <c r="F421" s="54" t="s">
        <v>873</v>
      </c>
      <c r="G421" s="77" t="s">
        <v>1535</v>
      </c>
      <c r="L421" s="55" t="str">
        <f t="shared" si="17"/>
        <v>{1},{3}</v>
      </c>
      <c r="M421" s="55" t="s">
        <v>497</v>
      </c>
      <c r="O421" s="54">
        <v>201</v>
      </c>
      <c r="P421" s="54" t="s">
        <v>881</v>
      </c>
      <c r="Q421" s="60">
        <v>2</v>
      </c>
      <c r="R421" s="54" t="s">
        <v>866</v>
      </c>
      <c r="T421" s="55" t="str">
        <f t="shared" si="18"/>
        <v>{201,50},{2,1000}</v>
      </c>
      <c r="U421" s="55" t="s">
        <v>894</v>
      </c>
    </row>
    <row r="422" spans="1:21">
      <c r="A422" s="55">
        <v>18</v>
      </c>
      <c r="B422" s="55">
        <f t="shared" si="16"/>
        <v>1005</v>
      </c>
      <c r="C422" s="53" t="s">
        <v>53</v>
      </c>
      <c r="D422" s="54" t="s">
        <v>858</v>
      </c>
      <c r="E422" s="54" t="s">
        <v>1101</v>
      </c>
      <c r="F422" s="54" t="s">
        <v>873</v>
      </c>
      <c r="G422" s="77" t="s">
        <v>1610</v>
      </c>
      <c r="L422" s="55" t="str">
        <f t="shared" si="17"/>
        <v>{1},{3}</v>
      </c>
      <c r="M422" s="55" t="s">
        <v>498</v>
      </c>
      <c r="O422" s="54">
        <v>201</v>
      </c>
      <c r="P422" s="54" t="s">
        <v>881</v>
      </c>
      <c r="Q422" s="60">
        <v>2</v>
      </c>
      <c r="R422" s="54" t="s">
        <v>866</v>
      </c>
      <c r="T422" s="55" t="str">
        <f t="shared" si="18"/>
        <v>{201,50},{2,1000}</v>
      </c>
      <c r="U422" s="55" t="s">
        <v>894</v>
      </c>
    </row>
    <row r="423" spans="1:21">
      <c r="A423" s="55">
        <v>19</v>
      </c>
      <c r="B423" s="55">
        <f t="shared" si="16"/>
        <v>1005</v>
      </c>
      <c r="C423" s="53" t="s">
        <v>53</v>
      </c>
      <c r="D423" s="54" t="s">
        <v>858</v>
      </c>
      <c r="E423" s="54" t="s">
        <v>1204</v>
      </c>
      <c r="F423" s="54" t="s">
        <v>873</v>
      </c>
      <c r="G423" s="77" t="s">
        <v>1778</v>
      </c>
      <c r="L423" s="55" t="str">
        <f t="shared" si="17"/>
        <v>{1},{3}</v>
      </c>
      <c r="M423" s="55" t="s">
        <v>499</v>
      </c>
      <c r="O423" s="54">
        <v>201</v>
      </c>
      <c r="P423" s="54" t="s">
        <v>881</v>
      </c>
      <c r="Q423" s="60">
        <v>2</v>
      </c>
      <c r="R423" s="54" t="s">
        <v>866</v>
      </c>
      <c r="T423" s="55" t="str">
        <f t="shared" si="18"/>
        <v>{201,50},{2,1000}</v>
      </c>
      <c r="U423" s="55" t="s">
        <v>894</v>
      </c>
    </row>
    <row r="424" spans="1:21" s="63" customFormat="1">
      <c r="A424" s="63">
        <v>20</v>
      </c>
      <c r="B424" s="63">
        <f t="shared" si="16"/>
        <v>1005</v>
      </c>
      <c r="C424" s="61" t="s">
        <v>54</v>
      </c>
      <c r="D424" s="62" t="s">
        <v>858</v>
      </c>
      <c r="E424" s="62" t="s">
        <v>1205</v>
      </c>
      <c r="F424" s="62" t="s">
        <v>873</v>
      </c>
      <c r="G424" s="78" t="s">
        <v>1779</v>
      </c>
      <c r="H424" s="78"/>
      <c r="I424" s="78"/>
      <c r="J424" s="78"/>
      <c r="L424" s="63" t="str">
        <f t="shared" si="17"/>
        <v>{1},{3}</v>
      </c>
      <c r="M424" s="63" t="s">
        <v>500</v>
      </c>
      <c r="O424" s="62" t="s">
        <v>886</v>
      </c>
      <c r="P424" s="62" t="s">
        <v>881</v>
      </c>
      <c r="Q424" s="64">
        <v>2</v>
      </c>
      <c r="R424" s="62" t="s">
        <v>866</v>
      </c>
      <c r="T424" s="55" t="str">
        <f t="shared" si="18"/>
        <v>{301,50},{2,1000}</v>
      </c>
      <c r="U424" s="63" t="s">
        <v>895</v>
      </c>
    </row>
    <row r="425" spans="1:21">
      <c r="A425" s="55">
        <v>21</v>
      </c>
      <c r="B425" s="55">
        <f t="shared" si="16"/>
        <v>1005</v>
      </c>
      <c r="C425" s="53" t="s">
        <v>55</v>
      </c>
      <c r="D425" s="54" t="s">
        <v>858</v>
      </c>
      <c r="E425" s="54" t="s">
        <v>1206</v>
      </c>
      <c r="F425" s="54" t="s">
        <v>873</v>
      </c>
      <c r="G425" s="77" t="s">
        <v>1546</v>
      </c>
      <c r="L425" s="55" t="str">
        <f t="shared" si="17"/>
        <v>{1},{3}</v>
      </c>
      <c r="M425" s="55" t="s">
        <v>501</v>
      </c>
      <c r="O425" s="54">
        <v>201</v>
      </c>
      <c r="P425" s="54" t="s">
        <v>882</v>
      </c>
      <c r="Q425" s="60">
        <v>2</v>
      </c>
      <c r="R425" s="54" t="s">
        <v>867</v>
      </c>
      <c r="T425" s="55" t="str">
        <f t="shared" si="18"/>
        <v>{201,100},{2,2000}</v>
      </c>
      <c r="U425" s="55" t="s">
        <v>896</v>
      </c>
    </row>
    <row r="426" spans="1:21">
      <c r="A426" s="55">
        <v>22</v>
      </c>
      <c r="B426" s="55">
        <f t="shared" si="16"/>
        <v>1005</v>
      </c>
      <c r="C426" s="53" t="s">
        <v>55</v>
      </c>
      <c r="D426" s="54" t="s">
        <v>858</v>
      </c>
      <c r="E426" s="54" t="s">
        <v>1207</v>
      </c>
      <c r="F426" s="54" t="s">
        <v>873</v>
      </c>
      <c r="G426" s="77" t="s">
        <v>1780</v>
      </c>
      <c r="L426" s="55" t="str">
        <f t="shared" si="17"/>
        <v>{1},{3}</v>
      </c>
      <c r="M426" s="55" t="s">
        <v>502</v>
      </c>
      <c r="O426" s="54">
        <v>201</v>
      </c>
      <c r="P426" s="54" t="s">
        <v>882</v>
      </c>
      <c r="Q426" s="60">
        <v>2</v>
      </c>
      <c r="R426" s="54" t="s">
        <v>867</v>
      </c>
      <c r="T426" s="55" t="str">
        <f t="shared" si="18"/>
        <v>{201,100},{2,2000}</v>
      </c>
      <c r="U426" s="55" t="s">
        <v>896</v>
      </c>
    </row>
    <row r="427" spans="1:21">
      <c r="A427" s="55">
        <v>23</v>
      </c>
      <c r="B427" s="55">
        <f t="shared" si="16"/>
        <v>1005</v>
      </c>
      <c r="C427" s="53" t="s">
        <v>55</v>
      </c>
      <c r="D427" s="54" t="s">
        <v>858</v>
      </c>
      <c r="E427" s="54" t="s">
        <v>1208</v>
      </c>
      <c r="F427" s="54" t="s">
        <v>873</v>
      </c>
      <c r="G427" s="77" t="s">
        <v>1781</v>
      </c>
      <c r="L427" s="55" t="str">
        <f t="shared" si="17"/>
        <v>{1},{3}</v>
      </c>
      <c r="M427" s="55" t="s">
        <v>503</v>
      </c>
      <c r="O427" s="54">
        <v>201</v>
      </c>
      <c r="P427" s="54" t="s">
        <v>882</v>
      </c>
      <c r="Q427" s="60">
        <v>2</v>
      </c>
      <c r="R427" s="54" t="s">
        <v>867</v>
      </c>
      <c r="T427" s="55" t="str">
        <f t="shared" si="18"/>
        <v>{201,100},{2,2000}</v>
      </c>
      <c r="U427" s="55" t="s">
        <v>896</v>
      </c>
    </row>
    <row r="428" spans="1:21">
      <c r="A428" s="55">
        <v>24</v>
      </c>
      <c r="B428" s="55">
        <f t="shared" si="16"/>
        <v>1005</v>
      </c>
      <c r="C428" s="53" t="s">
        <v>55</v>
      </c>
      <c r="D428" s="54" t="s">
        <v>858</v>
      </c>
      <c r="E428" s="54" t="s">
        <v>1209</v>
      </c>
      <c r="F428" s="54" t="s">
        <v>873</v>
      </c>
      <c r="G428" s="77" t="s">
        <v>1551</v>
      </c>
      <c r="L428" s="55" t="str">
        <f t="shared" si="17"/>
        <v>{1},{3}</v>
      </c>
      <c r="M428" s="55" t="s">
        <v>504</v>
      </c>
      <c r="O428" s="54">
        <v>201</v>
      </c>
      <c r="P428" s="54" t="s">
        <v>882</v>
      </c>
      <c r="Q428" s="60">
        <v>2</v>
      </c>
      <c r="R428" s="54" t="s">
        <v>867</v>
      </c>
      <c r="T428" s="55" t="str">
        <f t="shared" si="18"/>
        <v>{201,100},{2,2000}</v>
      </c>
      <c r="U428" s="55" t="s">
        <v>896</v>
      </c>
    </row>
    <row r="429" spans="1:21">
      <c r="A429" s="55">
        <v>25</v>
      </c>
      <c r="B429" s="55">
        <f t="shared" si="16"/>
        <v>1005</v>
      </c>
      <c r="C429" s="53" t="s">
        <v>55</v>
      </c>
      <c r="D429" s="54" t="s">
        <v>858</v>
      </c>
      <c r="E429" s="54" t="s">
        <v>1210</v>
      </c>
      <c r="F429" s="54" t="s">
        <v>873</v>
      </c>
      <c r="G429" s="77" t="s">
        <v>1782</v>
      </c>
      <c r="L429" s="55" t="str">
        <f t="shared" si="17"/>
        <v>{1},{3}</v>
      </c>
      <c r="M429" s="55" t="s">
        <v>505</v>
      </c>
      <c r="O429" s="54">
        <v>201</v>
      </c>
      <c r="P429" s="54" t="s">
        <v>882</v>
      </c>
      <c r="Q429" s="60">
        <v>2</v>
      </c>
      <c r="R429" s="54" t="s">
        <v>867</v>
      </c>
      <c r="T429" s="55" t="str">
        <f t="shared" si="18"/>
        <v>{201,100},{2,2000}</v>
      </c>
      <c r="U429" s="55" t="s">
        <v>896</v>
      </c>
    </row>
    <row r="430" spans="1:21">
      <c r="A430" s="55">
        <v>26</v>
      </c>
      <c r="B430" s="55">
        <f t="shared" si="16"/>
        <v>1005</v>
      </c>
      <c r="C430" s="53" t="s">
        <v>55</v>
      </c>
      <c r="D430" s="54" t="s">
        <v>858</v>
      </c>
      <c r="E430" s="54" t="s">
        <v>1211</v>
      </c>
      <c r="F430" s="54" t="s">
        <v>873</v>
      </c>
      <c r="G430" s="77" t="s">
        <v>1783</v>
      </c>
      <c r="L430" s="55" t="str">
        <f t="shared" si="17"/>
        <v>{1},{3}</v>
      </c>
      <c r="M430" s="55" t="s">
        <v>506</v>
      </c>
      <c r="O430" s="54">
        <v>201</v>
      </c>
      <c r="P430" s="54" t="s">
        <v>882</v>
      </c>
      <c r="Q430" s="60">
        <v>2</v>
      </c>
      <c r="R430" s="54" t="s">
        <v>867</v>
      </c>
      <c r="T430" s="55" t="str">
        <f t="shared" si="18"/>
        <v>{201,100},{2,2000}</v>
      </c>
      <c r="U430" s="55" t="s">
        <v>896</v>
      </c>
    </row>
    <row r="431" spans="1:21">
      <c r="A431" s="55">
        <v>27</v>
      </c>
      <c r="B431" s="55">
        <f t="shared" si="16"/>
        <v>1005</v>
      </c>
      <c r="C431" s="53" t="s">
        <v>55</v>
      </c>
      <c r="D431" s="54" t="s">
        <v>858</v>
      </c>
      <c r="E431" s="54" t="s">
        <v>1212</v>
      </c>
      <c r="F431" s="54" t="s">
        <v>873</v>
      </c>
      <c r="G431" s="77" t="s">
        <v>1556</v>
      </c>
      <c r="L431" s="55" t="str">
        <f t="shared" si="17"/>
        <v>{1},{3}</v>
      </c>
      <c r="M431" s="55" t="s">
        <v>507</v>
      </c>
      <c r="O431" s="54">
        <v>201</v>
      </c>
      <c r="P431" s="54" t="s">
        <v>882</v>
      </c>
      <c r="Q431" s="60">
        <v>2</v>
      </c>
      <c r="R431" s="54" t="s">
        <v>867</v>
      </c>
      <c r="T431" s="55" t="str">
        <f t="shared" si="18"/>
        <v>{201,100},{2,2000}</v>
      </c>
      <c r="U431" s="55" t="s">
        <v>896</v>
      </c>
    </row>
    <row r="432" spans="1:21">
      <c r="A432" s="55">
        <v>28</v>
      </c>
      <c r="B432" s="55">
        <f t="shared" si="16"/>
        <v>1005</v>
      </c>
      <c r="C432" s="53" t="s">
        <v>55</v>
      </c>
      <c r="D432" s="54" t="s">
        <v>858</v>
      </c>
      <c r="E432" s="54" t="s">
        <v>1213</v>
      </c>
      <c r="F432" s="54" t="s">
        <v>873</v>
      </c>
      <c r="G432" s="77" t="s">
        <v>1784</v>
      </c>
      <c r="L432" s="55" t="str">
        <f t="shared" si="17"/>
        <v>{1},{3}</v>
      </c>
      <c r="M432" s="55" t="s">
        <v>508</v>
      </c>
      <c r="O432" s="54">
        <v>201</v>
      </c>
      <c r="P432" s="54" t="s">
        <v>882</v>
      </c>
      <c r="Q432" s="60">
        <v>2</v>
      </c>
      <c r="R432" s="54" t="s">
        <v>867</v>
      </c>
      <c r="T432" s="55" t="str">
        <f t="shared" si="18"/>
        <v>{201,100},{2,2000}</v>
      </c>
      <c r="U432" s="55" t="s">
        <v>896</v>
      </c>
    </row>
    <row r="433" spans="1:21">
      <c r="A433" s="55">
        <v>29</v>
      </c>
      <c r="B433" s="55">
        <f t="shared" si="16"/>
        <v>1005</v>
      </c>
      <c r="C433" s="53" t="s">
        <v>55</v>
      </c>
      <c r="D433" s="54" t="s">
        <v>858</v>
      </c>
      <c r="E433" s="54" t="s">
        <v>1214</v>
      </c>
      <c r="F433" s="54" t="s">
        <v>873</v>
      </c>
      <c r="G433" s="77" t="s">
        <v>1785</v>
      </c>
      <c r="L433" s="55" t="str">
        <f t="shared" si="17"/>
        <v>{1},{3}</v>
      </c>
      <c r="M433" s="55" t="s">
        <v>509</v>
      </c>
      <c r="O433" s="54">
        <v>201</v>
      </c>
      <c r="P433" s="54" t="s">
        <v>882</v>
      </c>
      <c r="Q433" s="60">
        <v>2</v>
      </c>
      <c r="R433" s="54" t="s">
        <v>867</v>
      </c>
      <c r="T433" s="55" t="str">
        <f t="shared" si="18"/>
        <v>{201,100},{2,2000}</v>
      </c>
      <c r="U433" s="55" t="s">
        <v>896</v>
      </c>
    </row>
    <row r="434" spans="1:21">
      <c r="A434" s="55">
        <v>30</v>
      </c>
      <c r="B434" s="55">
        <f t="shared" ref="B434:B497" si="19">B334+1</f>
        <v>1005</v>
      </c>
      <c r="C434" s="53" t="s">
        <v>55</v>
      </c>
      <c r="D434" s="54" t="s">
        <v>858</v>
      </c>
      <c r="E434" s="54" t="s">
        <v>1215</v>
      </c>
      <c r="F434" s="54" t="s">
        <v>873</v>
      </c>
      <c r="G434" s="77" t="s">
        <v>1561</v>
      </c>
      <c r="L434" s="55" t="str">
        <f t="shared" si="17"/>
        <v>{1},{3}</v>
      </c>
      <c r="M434" s="55" t="s">
        <v>510</v>
      </c>
      <c r="O434" s="54">
        <v>201</v>
      </c>
      <c r="P434" s="54" t="s">
        <v>882</v>
      </c>
      <c r="Q434" s="60">
        <v>2</v>
      </c>
      <c r="R434" s="54" t="s">
        <v>867</v>
      </c>
      <c r="T434" s="55" t="str">
        <f t="shared" si="18"/>
        <v>{201,100},{2,2000}</v>
      </c>
      <c r="U434" s="55" t="s">
        <v>896</v>
      </c>
    </row>
    <row r="435" spans="1:21">
      <c r="A435" s="55">
        <v>31</v>
      </c>
      <c r="B435" s="55">
        <f t="shared" si="19"/>
        <v>1005</v>
      </c>
      <c r="C435" s="53" t="s">
        <v>55</v>
      </c>
      <c r="D435" s="54" t="s">
        <v>858</v>
      </c>
      <c r="E435" s="54" t="s">
        <v>1216</v>
      </c>
      <c r="F435" s="54" t="s">
        <v>873</v>
      </c>
      <c r="G435" s="77" t="s">
        <v>1786</v>
      </c>
      <c r="L435" s="55" t="str">
        <f t="shared" si="17"/>
        <v>{1},{3}</v>
      </c>
      <c r="M435" s="55" t="s">
        <v>511</v>
      </c>
      <c r="O435" s="54">
        <v>201</v>
      </c>
      <c r="P435" s="54" t="s">
        <v>882</v>
      </c>
      <c r="Q435" s="60">
        <v>2</v>
      </c>
      <c r="R435" s="54" t="s">
        <v>867</v>
      </c>
      <c r="T435" s="55" t="str">
        <f t="shared" si="18"/>
        <v>{201,100},{2,2000}</v>
      </c>
      <c r="U435" s="55" t="s">
        <v>896</v>
      </c>
    </row>
    <row r="436" spans="1:21">
      <c r="A436" s="55">
        <v>32</v>
      </c>
      <c r="B436" s="55">
        <f t="shared" si="19"/>
        <v>1005</v>
      </c>
      <c r="C436" s="53" t="s">
        <v>55</v>
      </c>
      <c r="D436" s="54" t="s">
        <v>858</v>
      </c>
      <c r="E436" s="54" t="s">
        <v>1217</v>
      </c>
      <c r="F436" s="54" t="s">
        <v>873</v>
      </c>
      <c r="G436" s="77" t="s">
        <v>1787</v>
      </c>
      <c r="L436" s="55" t="str">
        <f t="shared" si="17"/>
        <v>{1},{3}</v>
      </c>
      <c r="M436" s="55" t="s">
        <v>512</v>
      </c>
      <c r="O436" s="54">
        <v>201</v>
      </c>
      <c r="P436" s="54" t="s">
        <v>882</v>
      </c>
      <c r="Q436" s="60">
        <v>2</v>
      </c>
      <c r="R436" s="54" t="s">
        <v>867</v>
      </c>
      <c r="T436" s="55" t="str">
        <f t="shared" si="18"/>
        <v>{201,100},{2,2000}</v>
      </c>
      <c r="U436" s="55" t="s">
        <v>896</v>
      </c>
    </row>
    <row r="437" spans="1:21">
      <c r="A437" s="55">
        <v>33</v>
      </c>
      <c r="B437" s="55">
        <f t="shared" si="19"/>
        <v>1005</v>
      </c>
      <c r="C437" s="53" t="s">
        <v>55</v>
      </c>
      <c r="D437" s="54" t="s">
        <v>858</v>
      </c>
      <c r="E437" s="54" t="s">
        <v>1218</v>
      </c>
      <c r="F437" s="54" t="s">
        <v>873</v>
      </c>
      <c r="G437" s="77" t="s">
        <v>1713</v>
      </c>
      <c r="L437" s="55" t="str">
        <f t="shared" si="17"/>
        <v>{1},{3}</v>
      </c>
      <c r="M437" s="55" t="s">
        <v>513</v>
      </c>
      <c r="O437" s="54">
        <v>201</v>
      </c>
      <c r="P437" s="54" t="s">
        <v>882</v>
      </c>
      <c r="Q437" s="60">
        <v>2</v>
      </c>
      <c r="R437" s="54" t="s">
        <v>867</v>
      </c>
      <c r="T437" s="55" t="str">
        <f t="shared" si="18"/>
        <v>{201,100},{2,2000}</v>
      </c>
      <c r="U437" s="55" t="s">
        <v>896</v>
      </c>
    </row>
    <row r="438" spans="1:21">
      <c r="A438" s="55">
        <v>34</v>
      </c>
      <c r="B438" s="55">
        <f t="shared" si="19"/>
        <v>1005</v>
      </c>
      <c r="C438" s="53" t="s">
        <v>55</v>
      </c>
      <c r="D438" s="54" t="s">
        <v>858</v>
      </c>
      <c r="E438" s="54" t="s">
        <v>1219</v>
      </c>
      <c r="F438" s="54" t="s">
        <v>873</v>
      </c>
      <c r="G438" s="77" t="s">
        <v>1714</v>
      </c>
      <c r="L438" s="55" t="str">
        <f t="shared" si="17"/>
        <v>{1},{3}</v>
      </c>
      <c r="M438" s="55" t="s">
        <v>514</v>
      </c>
      <c r="O438" s="54">
        <v>201</v>
      </c>
      <c r="P438" s="54" t="s">
        <v>882</v>
      </c>
      <c r="Q438" s="60">
        <v>2</v>
      </c>
      <c r="R438" s="54" t="s">
        <v>867</v>
      </c>
      <c r="T438" s="55" t="str">
        <f t="shared" si="18"/>
        <v>{201,100},{2,2000}</v>
      </c>
      <c r="U438" s="55" t="s">
        <v>896</v>
      </c>
    </row>
    <row r="439" spans="1:21">
      <c r="A439" s="55">
        <v>35</v>
      </c>
      <c r="B439" s="55">
        <f t="shared" si="19"/>
        <v>1005</v>
      </c>
      <c r="C439" s="53" t="s">
        <v>55</v>
      </c>
      <c r="D439" s="54" t="s">
        <v>858</v>
      </c>
      <c r="E439" s="54" t="s">
        <v>1220</v>
      </c>
      <c r="F439" s="54" t="s">
        <v>873</v>
      </c>
      <c r="G439" s="77" t="s">
        <v>1715</v>
      </c>
      <c r="L439" s="55" t="str">
        <f t="shared" si="17"/>
        <v>{1},{3}</v>
      </c>
      <c r="M439" s="55" t="s">
        <v>515</v>
      </c>
      <c r="O439" s="54">
        <v>201</v>
      </c>
      <c r="P439" s="54" t="s">
        <v>882</v>
      </c>
      <c r="Q439" s="60">
        <v>2</v>
      </c>
      <c r="R439" s="54" t="s">
        <v>867</v>
      </c>
      <c r="T439" s="55" t="str">
        <f t="shared" si="18"/>
        <v>{201,100},{2,2000}</v>
      </c>
      <c r="U439" s="55" t="s">
        <v>896</v>
      </c>
    </row>
    <row r="440" spans="1:21">
      <c r="A440" s="55">
        <v>36</v>
      </c>
      <c r="B440" s="55">
        <f t="shared" si="19"/>
        <v>1005</v>
      </c>
      <c r="C440" s="53" t="s">
        <v>55</v>
      </c>
      <c r="D440" s="54" t="s">
        <v>858</v>
      </c>
      <c r="E440" s="54" t="s">
        <v>1221</v>
      </c>
      <c r="F440" s="54" t="s">
        <v>873</v>
      </c>
      <c r="G440" s="77" t="s">
        <v>1716</v>
      </c>
      <c r="L440" s="55" t="str">
        <f t="shared" si="17"/>
        <v>{1},{3}</v>
      </c>
      <c r="M440" s="55" t="s">
        <v>516</v>
      </c>
      <c r="O440" s="54">
        <v>201</v>
      </c>
      <c r="P440" s="54" t="s">
        <v>882</v>
      </c>
      <c r="Q440" s="60">
        <v>2</v>
      </c>
      <c r="R440" s="54" t="s">
        <v>867</v>
      </c>
      <c r="T440" s="55" t="str">
        <f t="shared" si="18"/>
        <v>{201,100},{2,2000}</v>
      </c>
      <c r="U440" s="55" t="s">
        <v>896</v>
      </c>
    </row>
    <row r="441" spans="1:21">
      <c r="A441" s="55">
        <v>37</v>
      </c>
      <c r="B441" s="55">
        <f t="shared" si="19"/>
        <v>1005</v>
      </c>
      <c r="C441" s="53" t="s">
        <v>55</v>
      </c>
      <c r="D441" s="54" t="s">
        <v>858</v>
      </c>
      <c r="E441" s="54" t="s">
        <v>1222</v>
      </c>
      <c r="F441" s="54" t="s">
        <v>873</v>
      </c>
      <c r="G441" s="77" t="s">
        <v>1717</v>
      </c>
      <c r="L441" s="55" t="str">
        <f t="shared" si="17"/>
        <v>{1},{3}</v>
      </c>
      <c r="M441" s="55" t="s">
        <v>517</v>
      </c>
      <c r="O441" s="54">
        <v>201</v>
      </c>
      <c r="P441" s="54" t="s">
        <v>882</v>
      </c>
      <c r="Q441" s="60">
        <v>2</v>
      </c>
      <c r="R441" s="54" t="s">
        <v>867</v>
      </c>
      <c r="T441" s="55" t="str">
        <f t="shared" si="18"/>
        <v>{201,100},{2,2000}</v>
      </c>
      <c r="U441" s="55" t="s">
        <v>896</v>
      </c>
    </row>
    <row r="442" spans="1:21">
      <c r="A442" s="55">
        <v>38</v>
      </c>
      <c r="B442" s="55">
        <f t="shared" si="19"/>
        <v>1005</v>
      </c>
      <c r="C442" s="53" t="s">
        <v>55</v>
      </c>
      <c r="D442" s="54" t="s">
        <v>858</v>
      </c>
      <c r="E442" s="54" t="s">
        <v>1223</v>
      </c>
      <c r="F442" s="54" t="s">
        <v>873</v>
      </c>
      <c r="G442" s="77" t="s">
        <v>1718</v>
      </c>
      <c r="L442" s="55" t="str">
        <f t="shared" si="17"/>
        <v>{1},{3}</v>
      </c>
      <c r="M442" s="55" t="s">
        <v>518</v>
      </c>
      <c r="O442" s="54">
        <v>201</v>
      </c>
      <c r="P442" s="54" t="s">
        <v>882</v>
      </c>
      <c r="Q442" s="60">
        <v>2</v>
      </c>
      <c r="R442" s="54" t="s">
        <v>867</v>
      </c>
      <c r="T442" s="55" t="str">
        <f t="shared" si="18"/>
        <v>{201,100},{2,2000}</v>
      </c>
      <c r="U442" s="55" t="s">
        <v>896</v>
      </c>
    </row>
    <row r="443" spans="1:21">
      <c r="A443" s="55">
        <v>39</v>
      </c>
      <c r="B443" s="55">
        <f t="shared" si="19"/>
        <v>1005</v>
      </c>
      <c r="C443" s="53" t="s">
        <v>55</v>
      </c>
      <c r="D443" s="54" t="s">
        <v>858</v>
      </c>
      <c r="E443" s="54" t="s">
        <v>1224</v>
      </c>
      <c r="F443" s="54" t="s">
        <v>873</v>
      </c>
      <c r="G443" s="77" t="s">
        <v>1719</v>
      </c>
      <c r="L443" s="55" t="str">
        <f t="shared" si="17"/>
        <v>{1},{3}</v>
      </c>
      <c r="M443" s="55" t="s">
        <v>519</v>
      </c>
      <c r="O443" s="54">
        <v>201</v>
      </c>
      <c r="P443" s="54" t="s">
        <v>882</v>
      </c>
      <c r="Q443" s="60">
        <v>2</v>
      </c>
      <c r="R443" s="54" t="s">
        <v>867</v>
      </c>
      <c r="T443" s="55" t="str">
        <f t="shared" si="18"/>
        <v>{201,100},{2,2000}</v>
      </c>
      <c r="U443" s="55" t="s">
        <v>896</v>
      </c>
    </row>
    <row r="444" spans="1:21" s="63" customFormat="1">
      <c r="A444" s="63">
        <v>40</v>
      </c>
      <c r="B444" s="63">
        <f t="shared" si="19"/>
        <v>1005</v>
      </c>
      <c r="C444" s="61" t="s">
        <v>56</v>
      </c>
      <c r="D444" s="62" t="s">
        <v>858</v>
      </c>
      <c r="E444" s="62" t="s">
        <v>1124</v>
      </c>
      <c r="F444" s="62" t="s">
        <v>873</v>
      </c>
      <c r="G444" s="78" t="s">
        <v>1788</v>
      </c>
      <c r="H444" s="78"/>
      <c r="I444" s="78"/>
      <c r="J444" s="78"/>
      <c r="L444" s="63" t="str">
        <f t="shared" si="17"/>
        <v>{1},{3}</v>
      </c>
      <c r="M444" s="63" t="s">
        <v>520</v>
      </c>
      <c r="O444" s="62" t="s">
        <v>886</v>
      </c>
      <c r="P444" s="62" t="s">
        <v>882</v>
      </c>
      <c r="Q444" s="64">
        <v>2</v>
      </c>
      <c r="R444" s="62" t="s">
        <v>867</v>
      </c>
      <c r="T444" s="55" t="str">
        <f t="shared" si="18"/>
        <v>{301,100},{2,2000}</v>
      </c>
      <c r="U444" s="63" t="s">
        <v>897</v>
      </c>
    </row>
    <row r="445" spans="1:21">
      <c r="A445" s="55">
        <v>41</v>
      </c>
      <c r="B445" s="55">
        <f t="shared" si="19"/>
        <v>1005</v>
      </c>
      <c r="C445" s="53" t="s">
        <v>57</v>
      </c>
      <c r="D445" s="54" t="s">
        <v>858</v>
      </c>
      <c r="E445" s="54" t="s">
        <v>1125</v>
      </c>
      <c r="F445" s="54" t="s">
        <v>873</v>
      </c>
      <c r="G445" s="77" t="s">
        <v>1789</v>
      </c>
      <c r="L445" s="55" t="str">
        <f t="shared" si="17"/>
        <v>{1},{3}</v>
      </c>
      <c r="M445" s="55" t="s">
        <v>521</v>
      </c>
      <c r="O445" s="54">
        <v>201</v>
      </c>
      <c r="P445" s="54" t="s">
        <v>883</v>
      </c>
      <c r="Q445" s="60">
        <v>2</v>
      </c>
      <c r="R445" s="54" t="s">
        <v>868</v>
      </c>
      <c r="T445" s="55" t="str">
        <f t="shared" si="18"/>
        <v>{201,150},{2,3750}</v>
      </c>
      <c r="U445" s="55" t="s">
        <v>898</v>
      </c>
    </row>
    <row r="446" spans="1:21">
      <c r="A446" s="55">
        <v>42</v>
      </c>
      <c r="B446" s="55">
        <f t="shared" si="19"/>
        <v>1005</v>
      </c>
      <c r="C446" s="53" t="s">
        <v>57</v>
      </c>
      <c r="D446" s="54" t="s">
        <v>858</v>
      </c>
      <c r="E446" s="54" t="s">
        <v>1126</v>
      </c>
      <c r="F446" s="54" t="s">
        <v>873</v>
      </c>
      <c r="G446" s="77" t="s">
        <v>1790</v>
      </c>
      <c r="L446" s="55" t="str">
        <f t="shared" si="17"/>
        <v>{1},{3}</v>
      </c>
      <c r="M446" s="55" t="s">
        <v>522</v>
      </c>
      <c r="O446" s="54">
        <v>201</v>
      </c>
      <c r="P446" s="54" t="s">
        <v>883</v>
      </c>
      <c r="Q446" s="60">
        <v>2</v>
      </c>
      <c r="R446" s="54" t="s">
        <v>868</v>
      </c>
      <c r="T446" s="55" t="str">
        <f t="shared" si="18"/>
        <v>{201,150},{2,3750}</v>
      </c>
      <c r="U446" s="55" t="s">
        <v>898</v>
      </c>
    </row>
    <row r="447" spans="1:21">
      <c r="A447" s="55">
        <v>43</v>
      </c>
      <c r="B447" s="55">
        <f t="shared" si="19"/>
        <v>1005</v>
      </c>
      <c r="C447" s="53" t="s">
        <v>57</v>
      </c>
      <c r="D447" s="54" t="s">
        <v>858</v>
      </c>
      <c r="E447" s="54" t="s">
        <v>1127</v>
      </c>
      <c r="F447" s="54" t="s">
        <v>873</v>
      </c>
      <c r="G447" s="77" t="s">
        <v>1791</v>
      </c>
      <c r="L447" s="55" t="str">
        <f t="shared" si="17"/>
        <v>{1},{3}</v>
      </c>
      <c r="M447" s="55" t="s">
        <v>523</v>
      </c>
      <c r="O447" s="54">
        <v>201</v>
      </c>
      <c r="P447" s="54" t="s">
        <v>883</v>
      </c>
      <c r="Q447" s="60">
        <v>2</v>
      </c>
      <c r="R447" s="54" t="s">
        <v>868</v>
      </c>
      <c r="T447" s="55" t="str">
        <f t="shared" si="18"/>
        <v>{201,150},{2,3750}</v>
      </c>
      <c r="U447" s="55" t="s">
        <v>898</v>
      </c>
    </row>
    <row r="448" spans="1:21">
      <c r="A448" s="55">
        <v>44</v>
      </c>
      <c r="B448" s="55">
        <f t="shared" si="19"/>
        <v>1005</v>
      </c>
      <c r="C448" s="53" t="s">
        <v>57</v>
      </c>
      <c r="D448" s="54" t="s">
        <v>858</v>
      </c>
      <c r="E448" s="54" t="s">
        <v>1128</v>
      </c>
      <c r="F448" s="54" t="s">
        <v>873</v>
      </c>
      <c r="G448" s="77" t="s">
        <v>1792</v>
      </c>
      <c r="L448" s="55" t="str">
        <f t="shared" si="17"/>
        <v>{1},{3}</v>
      </c>
      <c r="M448" s="55" t="s">
        <v>524</v>
      </c>
      <c r="O448" s="54">
        <v>201</v>
      </c>
      <c r="P448" s="54" t="s">
        <v>883</v>
      </c>
      <c r="Q448" s="60">
        <v>2</v>
      </c>
      <c r="R448" s="54" t="s">
        <v>868</v>
      </c>
      <c r="T448" s="55" t="str">
        <f t="shared" si="18"/>
        <v>{201,150},{2,3750}</v>
      </c>
      <c r="U448" s="55" t="s">
        <v>898</v>
      </c>
    </row>
    <row r="449" spans="1:21">
      <c r="A449" s="55">
        <v>45</v>
      </c>
      <c r="B449" s="55">
        <f t="shared" si="19"/>
        <v>1005</v>
      </c>
      <c r="C449" s="53" t="s">
        <v>57</v>
      </c>
      <c r="D449" s="54" t="s">
        <v>858</v>
      </c>
      <c r="E449" s="54" t="s">
        <v>1129</v>
      </c>
      <c r="F449" s="54" t="s">
        <v>873</v>
      </c>
      <c r="G449" s="77" t="s">
        <v>1793</v>
      </c>
      <c r="L449" s="55" t="str">
        <f t="shared" si="17"/>
        <v>{1},{3}</v>
      </c>
      <c r="M449" s="55" t="s">
        <v>525</v>
      </c>
      <c r="O449" s="54">
        <v>201</v>
      </c>
      <c r="P449" s="54" t="s">
        <v>883</v>
      </c>
      <c r="Q449" s="60">
        <v>2</v>
      </c>
      <c r="R449" s="54" t="s">
        <v>868</v>
      </c>
      <c r="T449" s="55" t="str">
        <f t="shared" si="18"/>
        <v>{201,150},{2,3750}</v>
      </c>
      <c r="U449" s="55" t="s">
        <v>898</v>
      </c>
    </row>
    <row r="450" spans="1:21">
      <c r="A450" s="55">
        <v>46</v>
      </c>
      <c r="B450" s="55">
        <f t="shared" si="19"/>
        <v>1005</v>
      </c>
      <c r="C450" s="53" t="s">
        <v>57</v>
      </c>
      <c r="D450" s="54" t="s">
        <v>858</v>
      </c>
      <c r="E450" s="54" t="s">
        <v>1130</v>
      </c>
      <c r="F450" s="54" t="s">
        <v>873</v>
      </c>
      <c r="G450" s="77" t="s">
        <v>1794</v>
      </c>
      <c r="L450" s="55" t="str">
        <f t="shared" si="17"/>
        <v>{1},{3}</v>
      </c>
      <c r="M450" s="55" t="s">
        <v>526</v>
      </c>
      <c r="O450" s="54">
        <v>201</v>
      </c>
      <c r="P450" s="54" t="s">
        <v>883</v>
      </c>
      <c r="Q450" s="60">
        <v>2</v>
      </c>
      <c r="R450" s="54" t="s">
        <v>868</v>
      </c>
      <c r="T450" s="55" t="str">
        <f t="shared" si="18"/>
        <v>{201,150},{2,3750}</v>
      </c>
      <c r="U450" s="55" t="s">
        <v>898</v>
      </c>
    </row>
    <row r="451" spans="1:21">
      <c r="A451" s="55">
        <v>47</v>
      </c>
      <c r="B451" s="55">
        <f t="shared" si="19"/>
        <v>1005</v>
      </c>
      <c r="C451" s="53" t="s">
        <v>57</v>
      </c>
      <c r="D451" s="54" t="s">
        <v>858</v>
      </c>
      <c r="E451" s="54" t="s">
        <v>1225</v>
      </c>
      <c r="F451" s="54" t="s">
        <v>873</v>
      </c>
      <c r="G451" s="77" t="s">
        <v>1795</v>
      </c>
      <c r="L451" s="55" t="str">
        <f t="shared" si="17"/>
        <v>{1},{3}</v>
      </c>
      <c r="M451" s="55" t="s">
        <v>527</v>
      </c>
      <c r="O451" s="54">
        <v>201</v>
      </c>
      <c r="P451" s="54" t="s">
        <v>883</v>
      </c>
      <c r="Q451" s="60">
        <v>2</v>
      </c>
      <c r="R451" s="54" t="s">
        <v>868</v>
      </c>
      <c r="T451" s="55" t="str">
        <f t="shared" si="18"/>
        <v>{201,150},{2,3750}</v>
      </c>
      <c r="U451" s="55" t="s">
        <v>898</v>
      </c>
    </row>
    <row r="452" spans="1:21">
      <c r="A452" s="55">
        <v>48</v>
      </c>
      <c r="B452" s="55">
        <f t="shared" si="19"/>
        <v>1005</v>
      </c>
      <c r="C452" s="53" t="s">
        <v>57</v>
      </c>
      <c r="D452" s="54" t="s">
        <v>858</v>
      </c>
      <c r="E452" s="54" t="s">
        <v>1226</v>
      </c>
      <c r="F452" s="54" t="s">
        <v>873</v>
      </c>
      <c r="G452" s="77" t="s">
        <v>1796</v>
      </c>
      <c r="L452" s="55" t="str">
        <f t="shared" si="17"/>
        <v>{1},{3}</v>
      </c>
      <c r="M452" s="55" t="s">
        <v>528</v>
      </c>
      <c r="O452" s="54">
        <v>201</v>
      </c>
      <c r="P452" s="54" t="s">
        <v>883</v>
      </c>
      <c r="Q452" s="60">
        <v>2</v>
      </c>
      <c r="R452" s="54" t="s">
        <v>868</v>
      </c>
      <c r="T452" s="55" t="str">
        <f t="shared" si="18"/>
        <v>{201,150},{2,3750}</v>
      </c>
      <c r="U452" s="55" t="s">
        <v>898</v>
      </c>
    </row>
    <row r="453" spans="1:21">
      <c r="A453" s="55">
        <v>49</v>
      </c>
      <c r="B453" s="55">
        <f t="shared" si="19"/>
        <v>1005</v>
      </c>
      <c r="C453" s="53" t="s">
        <v>57</v>
      </c>
      <c r="D453" s="54" t="s">
        <v>858</v>
      </c>
      <c r="E453" s="54" t="s">
        <v>1227</v>
      </c>
      <c r="F453" s="54" t="s">
        <v>873</v>
      </c>
      <c r="G453" s="77" t="s">
        <v>1797</v>
      </c>
      <c r="L453" s="55" t="str">
        <f t="shared" si="17"/>
        <v>{1},{3}</v>
      </c>
      <c r="M453" s="55" t="s">
        <v>529</v>
      </c>
      <c r="O453" s="54">
        <v>201</v>
      </c>
      <c r="P453" s="54" t="s">
        <v>883</v>
      </c>
      <c r="Q453" s="60">
        <v>2</v>
      </c>
      <c r="R453" s="54" t="s">
        <v>868</v>
      </c>
      <c r="T453" s="55" t="str">
        <f t="shared" si="18"/>
        <v>{201,150},{2,3750}</v>
      </c>
      <c r="U453" s="55" t="s">
        <v>898</v>
      </c>
    </row>
    <row r="454" spans="1:21">
      <c r="A454" s="55">
        <v>50</v>
      </c>
      <c r="B454" s="55">
        <f t="shared" si="19"/>
        <v>1005</v>
      </c>
      <c r="C454" s="53" t="s">
        <v>57</v>
      </c>
      <c r="D454" s="54" t="s">
        <v>858</v>
      </c>
      <c r="E454" s="54" t="s">
        <v>1228</v>
      </c>
      <c r="F454" s="54" t="s">
        <v>873</v>
      </c>
      <c r="G454" s="77" t="s">
        <v>1798</v>
      </c>
      <c r="L454" s="55" t="str">
        <f t="shared" ref="L454:L517" si="20">"{"&amp;D454&amp;"}"&amp;","&amp;"{"&amp;F454&amp;"}"</f>
        <v>{1},{3}</v>
      </c>
      <c r="M454" s="55" t="s">
        <v>530</v>
      </c>
      <c r="O454" s="54">
        <v>201</v>
      </c>
      <c r="P454" s="54" t="s">
        <v>883</v>
      </c>
      <c r="Q454" s="60">
        <v>2</v>
      </c>
      <c r="R454" s="54" t="s">
        <v>868</v>
      </c>
      <c r="T454" s="55" t="str">
        <f t="shared" ref="T454:T517" si="21">"{"&amp;O454&amp;","&amp;P454&amp;"}"&amp;","&amp;"{"&amp;Q454&amp;","&amp;R454&amp;"}"</f>
        <v>{201,150},{2,3750}</v>
      </c>
      <c r="U454" s="55" t="s">
        <v>898</v>
      </c>
    </row>
    <row r="455" spans="1:21">
      <c r="A455" s="55">
        <v>51</v>
      </c>
      <c r="B455" s="55">
        <f t="shared" si="19"/>
        <v>1005</v>
      </c>
      <c r="C455" s="53" t="s">
        <v>57</v>
      </c>
      <c r="D455" s="54" t="s">
        <v>858</v>
      </c>
      <c r="E455" s="54" t="s">
        <v>1229</v>
      </c>
      <c r="F455" s="54" t="s">
        <v>873</v>
      </c>
      <c r="G455" s="77" t="s">
        <v>1799</v>
      </c>
      <c r="L455" s="55" t="str">
        <f t="shared" si="20"/>
        <v>{1},{3}</v>
      </c>
      <c r="M455" s="55" t="s">
        <v>531</v>
      </c>
      <c r="O455" s="54">
        <v>201</v>
      </c>
      <c r="P455" s="54" t="s">
        <v>883</v>
      </c>
      <c r="Q455" s="60">
        <v>2</v>
      </c>
      <c r="R455" s="54" t="s">
        <v>868</v>
      </c>
      <c r="T455" s="55" t="str">
        <f t="shared" si="21"/>
        <v>{201,150},{2,3750}</v>
      </c>
      <c r="U455" s="55" t="s">
        <v>898</v>
      </c>
    </row>
    <row r="456" spans="1:21">
      <c r="A456" s="55">
        <v>52</v>
      </c>
      <c r="B456" s="55">
        <f t="shared" si="19"/>
        <v>1005</v>
      </c>
      <c r="C456" s="53" t="s">
        <v>57</v>
      </c>
      <c r="D456" s="54" t="s">
        <v>858</v>
      </c>
      <c r="E456" s="54" t="s">
        <v>1230</v>
      </c>
      <c r="F456" s="54" t="s">
        <v>873</v>
      </c>
      <c r="G456" s="77" t="s">
        <v>1800</v>
      </c>
      <c r="L456" s="55" t="str">
        <f t="shared" si="20"/>
        <v>{1},{3}</v>
      </c>
      <c r="M456" s="55" t="s">
        <v>532</v>
      </c>
      <c r="O456" s="54">
        <v>201</v>
      </c>
      <c r="P456" s="54" t="s">
        <v>883</v>
      </c>
      <c r="Q456" s="60">
        <v>2</v>
      </c>
      <c r="R456" s="54" t="s">
        <v>868</v>
      </c>
      <c r="T456" s="55" t="str">
        <f t="shared" si="21"/>
        <v>{201,150},{2,3750}</v>
      </c>
      <c r="U456" s="55" t="s">
        <v>898</v>
      </c>
    </row>
    <row r="457" spans="1:21">
      <c r="A457" s="55">
        <v>53</v>
      </c>
      <c r="B457" s="55">
        <f t="shared" si="19"/>
        <v>1005</v>
      </c>
      <c r="C457" s="53" t="s">
        <v>57</v>
      </c>
      <c r="D457" s="54" t="s">
        <v>858</v>
      </c>
      <c r="E457" s="54" t="s">
        <v>1231</v>
      </c>
      <c r="F457" s="54" t="s">
        <v>873</v>
      </c>
      <c r="G457" s="77" t="s">
        <v>1801</v>
      </c>
      <c r="L457" s="55" t="str">
        <f t="shared" si="20"/>
        <v>{1},{3}</v>
      </c>
      <c r="M457" s="55" t="s">
        <v>533</v>
      </c>
      <c r="O457" s="54">
        <v>201</v>
      </c>
      <c r="P457" s="54" t="s">
        <v>883</v>
      </c>
      <c r="Q457" s="60">
        <v>2</v>
      </c>
      <c r="R457" s="54" t="s">
        <v>868</v>
      </c>
      <c r="T457" s="55" t="str">
        <f t="shared" si="21"/>
        <v>{201,150},{2,3750}</v>
      </c>
      <c r="U457" s="55" t="s">
        <v>898</v>
      </c>
    </row>
    <row r="458" spans="1:21">
      <c r="A458" s="55">
        <v>54</v>
      </c>
      <c r="B458" s="55">
        <f t="shared" si="19"/>
        <v>1005</v>
      </c>
      <c r="C458" s="53" t="s">
        <v>57</v>
      </c>
      <c r="D458" s="54" t="s">
        <v>858</v>
      </c>
      <c r="E458" s="54" t="s">
        <v>1232</v>
      </c>
      <c r="F458" s="54" t="s">
        <v>873</v>
      </c>
      <c r="G458" s="77" t="s">
        <v>1802</v>
      </c>
      <c r="L458" s="55" t="str">
        <f t="shared" si="20"/>
        <v>{1},{3}</v>
      </c>
      <c r="M458" s="55" t="s">
        <v>534</v>
      </c>
      <c r="O458" s="54">
        <v>201</v>
      </c>
      <c r="P458" s="54" t="s">
        <v>883</v>
      </c>
      <c r="Q458" s="60">
        <v>2</v>
      </c>
      <c r="R458" s="54" t="s">
        <v>868</v>
      </c>
      <c r="T458" s="55" t="str">
        <f t="shared" si="21"/>
        <v>{201,150},{2,3750}</v>
      </c>
      <c r="U458" s="55" t="s">
        <v>898</v>
      </c>
    </row>
    <row r="459" spans="1:21">
      <c r="A459" s="55">
        <v>55</v>
      </c>
      <c r="B459" s="55">
        <f t="shared" si="19"/>
        <v>1005</v>
      </c>
      <c r="C459" s="53" t="s">
        <v>57</v>
      </c>
      <c r="D459" s="54" t="s">
        <v>858</v>
      </c>
      <c r="E459" s="54" t="s">
        <v>1233</v>
      </c>
      <c r="F459" s="54" t="s">
        <v>873</v>
      </c>
      <c r="G459" s="77" t="s">
        <v>1803</v>
      </c>
      <c r="L459" s="55" t="str">
        <f t="shared" si="20"/>
        <v>{1},{3}</v>
      </c>
      <c r="M459" s="55" t="s">
        <v>535</v>
      </c>
      <c r="O459" s="54">
        <v>201</v>
      </c>
      <c r="P459" s="54" t="s">
        <v>883</v>
      </c>
      <c r="Q459" s="60">
        <v>2</v>
      </c>
      <c r="R459" s="54" t="s">
        <v>868</v>
      </c>
      <c r="T459" s="55" t="str">
        <f t="shared" si="21"/>
        <v>{201,150},{2,3750}</v>
      </c>
      <c r="U459" s="55" t="s">
        <v>898</v>
      </c>
    </row>
    <row r="460" spans="1:21">
      <c r="A460" s="55">
        <v>56</v>
      </c>
      <c r="B460" s="55">
        <f t="shared" si="19"/>
        <v>1005</v>
      </c>
      <c r="C460" s="53" t="s">
        <v>57</v>
      </c>
      <c r="D460" s="54" t="s">
        <v>858</v>
      </c>
      <c r="E460" s="54" t="s">
        <v>1234</v>
      </c>
      <c r="F460" s="54" t="s">
        <v>873</v>
      </c>
      <c r="G460" s="77" t="s">
        <v>1804</v>
      </c>
      <c r="L460" s="55" t="str">
        <f t="shared" si="20"/>
        <v>{1},{3}</v>
      </c>
      <c r="M460" s="55" t="s">
        <v>536</v>
      </c>
      <c r="O460" s="54">
        <v>201</v>
      </c>
      <c r="P460" s="54" t="s">
        <v>883</v>
      </c>
      <c r="Q460" s="60">
        <v>2</v>
      </c>
      <c r="R460" s="54" t="s">
        <v>868</v>
      </c>
      <c r="T460" s="55" t="str">
        <f t="shared" si="21"/>
        <v>{201,150},{2,3750}</v>
      </c>
      <c r="U460" s="55" t="s">
        <v>898</v>
      </c>
    </row>
    <row r="461" spans="1:21">
      <c r="A461" s="55">
        <v>57</v>
      </c>
      <c r="B461" s="55">
        <f t="shared" si="19"/>
        <v>1005</v>
      </c>
      <c r="C461" s="53" t="s">
        <v>57</v>
      </c>
      <c r="D461" s="54" t="s">
        <v>858</v>
      </c>
      <c r="E461" s="54" t="s">
        <v>1235</v>
      </c>
      <c r="F461" s="54" t="s">
        <v>873</v>
      </c>
      <c r="G461" s="77" t="s">
        <v>1805</v>
      </c>
      <c r="L461" s="55" t="str">
        <f t="shared" si="20"/>
        <v>{1},{3}</v>
      </c>
      <c r="M461" s="55" t="s">
        <v>537</v>
      </c>
      <c r="O461" s="54">
        <v>201</v>
      </c>
      <c r="P461" s="54" t="s">
        <v>883</v>
      </c>
      <c r="Q461" s="60">
        <v>2</v>
      </c>
      <c r="R461" s="54" t="s">
        <v>868</v>
      </c>
      <c r="T461" s="55" t="str">
        <f t="shared" si="21"/>
        <v>{201,150},{2,3750}</v>
      </c>
      <c r="U461" s="55" t="s">
        <v>898</v>
      </c>
    </row>
    <row r="462" spans="1:21">
      <c r="A462" s="55">
        <v>58</v>
      </c>
      <c r="B462" s="55">
        <f t="shared" si="19"/>
        <v>1005</v>
      </c>
      <c r="C462" s="53" t="s">
        <v>57</v>
      </c>
      <c r="D462" s="54" t="s">
        <v>858</v>
      </c>
      <c r="E462" s="54" t="s">
        <v>1236</v>
      </c>
      <c r="F462" s="54" t="s">
        <v>873</v>
      </c>
      <c r="G462" s="77" t="s">
        <v>1806</v>
      </c>
      <c r="L462" s="55" t="str">
        <f t="shared" si="20"/>
        <v>{1},{3}</v>
      </c>
      <c r="M462" s="55" t="s">
        <v>538</v>
      </c>
      <c r="O462" s="54">
        <v>201</v>
      </c>
      <c r="P462" s="54" t="s">
        <v>883</v>
      </c>
      <c r="Q462" s="60">
        <v>2</v>
      </c>
      <c r="R462" s="54" t="s">
        <v>868</v>
      </c>
      <c r="T462" s="55" t="str">
        <f t="shared" si="21"/>
        <v>{201,150},{2,3750}</v>
      </c>
      <c r="U462" s="55" t="s">
        <v>898</v>
      </c>
    </row>
    <row r="463" spans="1:21">
      <c r="A463" s="55">
        <v>59</v>
      </c>
      <c r="B463" s="55">
        <f t="shared" si="19"/>
        <v>1005</v>
      </c>
      <c r="C463" s="53" t="s">
        <v>57</v>
      </c>
      <c r="D463" s="54" t="s">
        <v>858</v>
      </c>
      <c r="E463" s="54" t="s">
        <v>1237</v>
      </c>
      <c r="F463" s="54" t="s">
        <v>873</v>
      </c>
      <c r="G463" s="77" t="s">
        <v>1807</v>
      </c>
      <c r="L463" s="55" t="str">
        <f t="shared" si="20"/>
        <v>{1},{3}</v>
      </c>
      <c r="M463" s="55" t="s">
        <v>539</v>
      </c>
      <c r="O463" s="54">
        <v>201</v>
      </c>
      <c r="P463" s="54" t="s">
        <v>883</v>
      </c>
      <c r="Q463" s="60">
        <v>2</v>
      </c>
      <c r="R463" s="54" t="s">
        <v>868</v>
      </c>
      <c r="T463" s="55" t="str">
        <f t="shared" si="21"/>
        <v>{201,150},{2,3750}</v>
      </c>
      <c r="U463" s="55" t="s">
        <v>898</v>
      </c>
    </row>
    <row r="464" spans="1:21" s="63" customFormat="1">
      <c r="A464" s="63">
        <v>60</v>
      </c>
      <c r="B464" s="63">
        <f t="shared" si="19"/>
        <v>1005</v>
      </c>
      <c r="C464" s="61" t="s">
        <v>58</v>
      </c>
      <c r="D464" s="62" t="s">
        <v>858</v>
      </c>
      <c r="E464" s="62" t="s">
        <v>1238</v>
      </c>
      <c r="F464" s="62" t="s">
        <v>873</v>
      </c>
      <c r="G464" s="78" t="s">
        <v>1808</v>
      </c>
      <c r="H464" s="78"/>
      <c r="I464" s="78"/>
      <c r="J464" s="78"/>
      <c r="L464" s="63" t="str">
        <f t="shared" si="20"/>
        <v>{1},{3}</v>
      </c>
      <c r="M464" s="63" t="s">
        <v>540</v>
      </c>
      <c r="O464" s="62" t="s">
        <v>886</v>
      </c>
      <c r="P464" s="62" t="s">
        <v>883</v>
      </c>
      <c r="Q464" s="64">
        <v>2</v>
      </c>
      <c r="R464" s="62" t="s">
        <v>869</v>
      </c>
      <c r="T464" s="55" t="str">
        <f t="shared" si="21"/>
        <v>{301,150},{2,4500}</v>
      </c>
      <c r="U464" s="63" t="s">
        <v>899</v>
      </c>
    </row>
    <row r="465" spans="1:21">
      <c r="A465" s="55">
        <v>61</v>
      </c>
      <c r="B465" s="55">
        <f t="shared" si="19"/>
        <v>1005</v>
      </c>
      <c r="C465" s="53" t="s">
        <v>59</v>
      </c>
      <c r="D465" s="54" t="s">
        <v>858</v>
      </c>
      <c r="E465" s="54" t="s">
        <v>1239</v>
      </c>
      <c r="F465" s="54" t="s">
        <v>873</v>
      </c>
      <c r="G465" s="77" t="s">
        <v>1809</v>
      </c>
      <c r="L465" s="55" t="str">
        <f t="shared" si="20"/>
        <v>{1},{3}</v>
      </c>
      <c r="M465" s="55" t="s">
        <v>541</v>
      </c>
      <c r="O465" s="54">
        <v>201</v>
      </c>
      <c r="P465" s="54" t="s">
        <v>884</v>
      </c>
      <c r="Q465" s="60">
        <v>2</v>
      </c>
      <c r="R465" s="54" t="s">
        <v>870</v>
      </c>
      <c r="T465" s="55" t="str">
        <f t="shared" si="21"/>
        <v>{201,300},{2,9000}</v>
      </c>
      <c r="U465" s="55" t="s">
        <v>900</v>
      </c>
    </row>
    <row r="466" spans="1:21">
      <c r="A466" s="55">
        <v>62</v>
      </c>
      <c r="B466" s="55">
        <f t="shared" si="19"/>
        <v>1005</v>
      </c>
      <c r="C466" s="53" t="s">
        <v>59</v>
      </c>
      <c r="D466" s="54" t="s">
        <v>858</v>
      </c>
      <c r="E466" s="54" t="s">
        <v>1240</v>
      </c>
      <c r="F466" s="54" t="s">
        <v>873</v>
      </c>
      <c r="G466" s="77" t="s">
        <v>1810</v>
      </c>
      <c r="L466" s="55" t="str">
        <f t="shared" si="20"/>
        <v>{1},{3}</v>
      </c>
      <c r="M466" s="55" t="s">
        <v>542</v>
      </c>
      <c r="O466" s="54">
        <v>201</v>
      </c>
      <c r="P466" s="54" t="s">
        <v>884</v>
      </c>
      <c r="Q466" s="60">
        <v>2</v>
      </c>
      <c r="R466" s="54" t="s">
        <v>870</v>
      </c>
      <c r="T466" s="55" t="str">
        <f t="shared" si="21"/>
        <v>{201,300},{2,9000}</v>
      </c>
      <c r="U466" s="55" t="s">
        <v>900</v>
      </c>
    </row>
    <row r="467" spans="1:21">
      <c r="A467" s="55">
        <v>63</v>
      </c>
      <c r="B467" s="55">
        <f t="shared" si="19"/>
        <v>1005</v>
      </c>
      <c r="C467" s="53" t="s">
        <v>59</v>
      </c>
      <c r="D467" s="54" t="s">
        <v>858</v>
      </c>
      <c r="E467" s="54" t="s">
        <v>1241</v>
      </c>
      <c r="F467" s="54" t="s">
        <v>873</v>
      </c>
      <c r="G467" s="77" t="s">
        <v>1811</v>
      </c>
      <c r="L467" s="55" t="str">
        <f t="shared" si="20"/>
        <v>{1},{3}</v>
      </c>
      <c r="M467" s="55" t="s">
        <v>543</v>
      </c>
      <c r="O467" s="54">
        <v>201</v>
      </c>
      <c r="P467" s="54" t="s">
        <v>884</v>
      </c>
      <c r="Q467" s="60">
        <v>2</v>
      </c>
      <c r="R467" s="54" t="s">
        <v>870</v>
      </c>
      <c r="T467" s="55" t="str">
        <f t="shared" si="21"/>
        <v>{201,300},{2,9000}</v>
      </c>
      <c r="U467" s="55" t="s">
        <v>900</v>
      </c>
    </row>
    <row r="468" spans="1:21">
      <c r="A468" s="55">
        <v>64</v>
      </c>
      <c r="B468" s="55">
        <f t="shared" si="19"/>
        <v>1005</v>
      </c>
      <c r="C468" s="53" t="s">
        <v>59</v>
      </c>
      <c r="D468" s="54" t="s">
        <v>858</v>
      </c>
      <c r="E468" s="54" t="s">
        <v>1242</v>
      </c>
      <c r="F468" s="54" t="s">
        <v>873</v>
      </c>
      <c r="G468" s="77" t="s">
        <v>1812</v>
      </c>
      <c r="L468" s="55" t="str">
        <f t="shared" si="20"/>
        <v>{1},{3}</v>
      </c>
      <c r="M468" s="55" t="s">
        <v>544</v>
      </c>
      <c r="O468" s="54">
        <v>201</v>
      </c>
      <c r="P468" s="54" t="s">
        <v>884</v>
      </c>
      <c r="Q468" s="60">
        <v>2</v>
      </c>
      <c r="R468" s="54" t="s">
        <v>870</v>
      </c>
      <c r="T468" s="55" t="str">
        <f t="shared" si="21"/>
        <v>{201,300},{2,9000}</v>
      </c>
      <c r="U468" s="55" t="s">
        <v>900</v>
      </c>
    </row>
    <row r="469" spans="1:21">
      <c r="A469" s="55">
        <v>65</v>
      </c>
      <c r="B469" s="55">
        <f t="shared" si="19"/>
        <v>1005</v>
      </c>
      <c r="C469" s="53" t="s">
        <v>59</v>
      </c>
      <c r="D469" s="54" t="s">
        <v>858</v>
      </c>
      <c r="E469" s="54" t="s">
        <v>1243</v>
      </c>
      <c r="F469" s="54" t="s">
        <v>873</v>
      </c>
      <c r="G469" s="77" t="s">
        <v>1813</v>
      </c>
      <c r="L469" s="55" t="str">
        <f t="shared" si="20"/>
        <v>{1},{3}</v>
      </c>
      <c r="M469" s="55" t="s">
        <v>545</v>
      </c>
      <c r="O469" s="54">
        <v>201</v>
      </c>
      <c r="P469" s="54" t="s">
        <v>884</v>
      </c>
      <c r="Q469" s="60">
        <v>2</v>
      </c>
      <c r="R469" s="54" t="s">
        <v>870</v>
      </c>
      <c r="T469" s="55" t="str">
        <f t="shared" si="21"/>
        <v>{201,300},{2,9000}</v>
      </c>
      <c r="U469" s="55" t="s">
        <v>900</v>
      </c>
    </row>
    <row r="470" spans="1:21">
      <c r="A470" s="55">
        <v>66</v>
      </c>
      <c r="B470" s="55">
        <f t="shared" si="19"/>
        <v>1005</v>
      </c>
      <c r="C470" s="53" t="s">
        <v>59</v>
      </c>
      <c r="D470" s="54" t="s">
        <v>858</v>
      </c>
      <c r="E470" s="54" t="s">
        <v>1244</v>
      </c>
      <c r="F470" s="54" t="s">
        <v>873</v>
      </c>
      <c r="G470" s="77" t="s">
        <v>1814</v>
      </c>
      <c r="L470" s="55" t="str">
        <f t="shared" si="20"/>
        <v>{1},{3}</v>
      </c>
      <c r="M470" s="55" t="s">
        <v>546</v>
      </c>
      <c r="O470" s="54">
        <v>201</v>
      </c>
      <c r="P470" s="54" t="s">
        <v>884</v>
      </c>
      <c r="Q470" s="60">
        <v>2</v>
      </c>
      <c r="R470" s="54" t="s">
        <v>870</v>
      </c>
      <c r="T470" s="55" t="str">
        <f t="shared" si="21"/>
        <v>{201,300},{2,9000}</v>
      </c>
      <c r="U470" s="55" t="s">
        <v>900</v>
      </c>
    </row>
    <row r="471" spans="1:21">
      <c r="A471" s="55">
        <v>67</v>
      </c>
      <c r="B471" s="55">
        <f t="shared" si="19"/>
        <v>1005</v>
      </c>
      <c r="C471" s="53" t="s">
        <v>59</v>
      </c>
      <c r="D471" s="54" t="s">
        <v>858</v>
      </c>
      <c r="E471" s="54" t="s">
        <v>1245</v>
      </c>
      <c r="F471" s="54" t="s">
        <v>873</v>
      </c>
      <c r="G471" s="77" t="s">
        <v>1815</v>
      </c>
      <c r="L471" s="55" t="str">
        <f t="shared" si="20"/>
        <v>{1},{3}</v>
      </c>
      <c r="M471" s="55" t="s">
        <v>547</v>
      </c>
      <c r="O471" s="54">
        <v>201</v>
      </c>
      <c r="P471" s="54" t="s">
        <v>884</v>
      </c>
      <c r="Q471" s="60">
        <v>2</v>
      </c>
      <c r="R471" s="54" t="s">
        <v>870</v>
      </c>
      <c r="T471" s="55" t="str">
        <f t="shared" si="21"/>
        <v>{201,300},{2,9000}</v>
      </c>
      <c r="U471" s="55" t="s">
        <v>900</v>
      </c>
    </row>
    <row r="472" spans="1:21">
      <c r="A472" s="55">
        <v>68</v>
      </c>
      <c r="B472" s="55">
        <f t="shared" si="19"/>
        <v>1005</v>
      </c>
      <c r="C472" s="53" t="s">
        <v>59</v>
      </c>
      <c r="D472" s="54" t="s">
        <v>858</v>
      </c>
      <c r="E472" s="54" t="s">
        <v>1246</v>
      </c>
      <c r="F472" s="54" t="s">
        <v>873</v>
      </c>
      <c r="G472" s="77" t="s">
        <v>1816</v>
      </c>
      <c r="L472" s="55" t="str">
        <f t="shared" si="20"/>
        <v>{1},{3}</v>
      </c>
      <c r="M472" s="55" t="s">
        <v>548</v>
      </c>
      <c r="O472" s="54">
        <v>201</v>
      </c>
      <c r="P472" s="54" t="s">
        <v>884</v>
      </c>
      <c r="Q472" s="60">
        <v>2</v>
      </c>
      <c r="R472" s="54" t="s">
        <v>870</v>
      </c>
      <c r="T472" s="55" t="str">
        <f t="shared" si="21"/>
        <v>{201,300},{2,9000}</v>
      </c>
      <c r="U472" s="55" t="s">
        <v>900</v>
      </c>
    </row>
    <row r="473" spans="1:21">
      <c r="A473" s="55">
        <v>69</v>
      </c>
      <c r="B473" s="55">
        <f t="shared" si="19"/>
        <v>1005</v>
      </c>
      <c r="C473" s="53" t="s">
        <v>59</v>
      </c>
      <c r="D473" s="54" t="s">
        <v>858</v>
      </c>
      <c r="E473" s="54" t="s">
        <v>1247</v>
      </c>
      <c r="F473" s="54" t="s">
        <v>873</v>
      </c>
      <c r="G473" s="77" t="s">
        <v>1817</v>
      </c>
      <c r="L473" s="55" t="str">
        <f t="shared" si="20"/>
        <v>{1},{3}</v>
      </c>
      <c r="M473" s="55" t="s">
        <v>549</v>
      </c>
      <c r="O473" s="54">
        <v>201</v>
      </c>
      <c r="P473" s="54" t="s">
        <v>884</v>
      </c>
      <c r="Q473" s="60">
        <v>2</v>
      </c>
      <c r="R473" s="54" t="s">
        <v>870</v>
      </c>
      <c r="T473" s="55" t="str">
        <f t="shared" si="21"/>
        <v>{201,300},{2,9000}</v>
      </c>
      <c r="U473" s="55" t="s">
        <v>900</v>
      </c>
    </row>
    <row r="474" spans="1:21">
      <c r="A474" s="55">
        <v>70</v>
      </c>
      <c r="B474" s="55">
        <f t="shared" si="19"/>
        <v>1005</v>
      </c>
      <c r="C474" s="53" t="s">
        <v>59</v>
      </c>
      <c r="D474" s="54" t="s">
        <v>858</v>
      </c>
      <c r="E474" s="54" t="s">
        <v>1248</v>
      </c>
      <c r="F474" s="54" t="s">
        <v>873</v>
      </c>
      <c r="G474" s="77" t="s">
        <v>1818</v>
      </c>
      <c r="L474" s="55" t="str">
        <f t="shared" si="20"/>
        <v>{1},{3}</v>
      </c>
      <c r="M474" s="55" t="s">
        <v>550</v>
      </c>
      <c r="O474" s="54">
        <v>201</v>
      </c>
      <c r="P474" s="54" t="s">
        <v>884</v>
      </c>
      <c r="Q474" s="60">
        <v>2</v>
      </c>
      <c r="R474" s="54" t="s">
        <v>870</v>
      </c>
      <c r="T474" s="55" t="str">
        <f t="shared" si="21"/>
        <v>{201,300},{2,9000}</v>
      </c>
      <c r="U474" s="55" t="s">
        <v>900</v>
      </c>
    </row>
    <row r="475" spans="1:21">
      <c r="A475" s="55">
        <v>71</v>
      </c>
      <c r="B475" s="55">
        <f t="shared" si="19"/>
        <v>1005</v>
      </c>
      <c r="C475" s="53" t="s">
        <v>59</v>
      </c>
      <c r="D475" s="54" t="s">
        <v>858</v>
      </c>
      <c r="E475" s="54" t="s">
        <v>1249</v>
      </c>
      <c r="F475" s="54" t="s">
        <v>873</v>
      </c>
      <c r="G475" s="77" t="s">
        <v>1819</v>
      </c>
      <c r="L475" s="55" t="str">
        <f t="shared" si="20"/>
        <v>{1},{3}</v>
      </c>
      <c r="M475" s="55" t="s">
        <v>551</v>
      </c>
      <c r="O475" s="54">
        <v>201</v>
      </c>
      <c r="P475" s="54" t="s">
        <v>884</v>
      </c>
      <c r="Q475" s="60">
        <v>2</v>
      </c>
      <c r="R475" s="54" t="s">
        <v>870</v>
      </c>
      <c r="T475" s="55" t="str">
        <f t="shared" si="21"/>
        <v>{201,300},{2,9000}</v>
      </c>
      <c r="U475" s="55" t="s">
        <v>900</v>
      </c>
    </row>
    <row r="476" spans="1:21">
      <c r="A476" s="55">
        <v>72</v>
      </c>
      <c r="B476" s="55">
        <f t="shared" si="19"/>
        <v>1005</v>
      </c>
      <c r="C476" s="53" t="s">
        <v>59</v>
      </c>
      <c r="D476" s="54" t="s">
        <v>858</v>
      </c>
      <c r="E476" s="54" t="s">
        <v>1250</v>
      </c>
      <c r="F476" s="54" t="s">
        <v>873</v>
      </c>
      <c r="G476" s="77" t="s">
        <v>1820</v>
      </c>
      <c r="L476" s="55" t="str">
        <f t="shared" si="20"/>
        <v>{1},{3}</v>
      </c>
      <c r="M476" s="55" t="s">
        <v>552</v>
      </c>
      <c r="O476" s="54">
        <v>201</v>
      </c>
      <c r="P476" s="54" t="s">
        <v>884</v>
      </c>
      <c r="Q476" s="60">
        <v>2</v>
      </c>
      <c r="R476" s="54" t="s">
        <v>870</v>
      </c>
      <c r="T476" s="55" t="str">
        <f t="shared" si="21"/>
        <v>{201,300},{2,9000}</v>
      </c>
      <c r="U476" s="55" t="s">
        <v>900</v>
      </c>
    </row>
    <row r="477" spans="1:21">
      <c r="A477" s="55">
        <v>73</v>
      </c>
      <c r="B477" s="55">
        <f t="shared" si="19"/>
        <v>1005</v>
      </c>
      <c r="C477" s="53" t="s">
        <v>59</v>
      </c>
      <c r="D477" s="54" t="s">
        <v>858</v>
      </c>
      <c r="E477" s="54" t="s">
        <v>1251</v>
      </c>
      <c r="F477" s="54" t="s">
        <v>873</v>
      </c>
      <c r="G477" s="77" t="s">
        <v>1821</v>
      </c>
      <c r="L477" s="55" t="str">
        <f t="shared" si="20"/>
        <v>{1},{3}</v>
      </c>
      <c r="M477" s="55" t="s">
        <v>553</v>
      </c>
      <c r="O477" s="54">
        <v>201</v>
      </c>
      <c r="P477" s="54" t="s">
        <v>884</v>
      </c>
      <c r="Q477" s="60">
        <v>2</v>
      </c>
      <c r="R477" s="54" t="s">
        <v>870</v>
      </c>
      <c r="T477" s="55" t="str">
        <f t="shared" si="21"/>
        <v>{201,300},{2,9000}</v>
      </c>
      <c r="U477" s="55" t="s">
        <v>900</v>
      </c>
    </row>
    <row r="478" spans="1:21">
      <c r="A478" s="55">
        <v>74</v>
      </c>
      <c r="B478" s="55">
        <f t="shared" si="19"/>
        <v>1005</v>
      </c>
      <c r="C478" s="53" t="s">
        <v>59</v>
      </c>
      <c r="D478" s="54" t="s">
        <v>858</v>
      </c>
      <c r="E478" s="54" t="s">
        <v>1252</v>
      </c>
      <c r="F478" s="54" t="s">
        <v>873</v>
      </c>
      <c r="G478" s="77" t="s">
        <v>1822</v>
      </c>
      <c r="L478" s="55" t="str">
        <f t="shared" si="20"/>
        <v>{1},{3}</v>
      </c>
      <c r="M478" s="55" t="s">
        <v>554</v>
      </c>
      <c r="O478" s="54">
        <v>201</v>
      </c>
      <c r="P478" s="54" t="s">
        <v>884</v>
      </c>
      <c r="Q478" s="60">
        <v>2</v>
      </c>
      <c r="R478" s="54" t="s">
        <v>870</v>
      </c>
      <c r="T478" s="55" t="str">
        <f t="shared" si="21"/>
        <v>{201,300},{2,9000}</v>
      </c>
      <c r="U478" s="55" t="s">
        <v>900</v>
      </c>
    </row>
    <row r="479" spans="1:21">
      <c r="A479" s="55">
        <v>75</v>
      </c>
      <c r="B479" s="55">
        <f t="shared" si="19"/>
        <v>1005</v>
      </c>
      <c r="C479" s="53" t="s">
        <v>59</v>
      </c>
      <c r="D479" s="54" t="s">
        <v>858</v>
      </c>
      <c r="E479" s="54" t="s">
        <v>1253</v>
      </c>
      <c r="F479" s="54" t="s">
        <v>873</v>
      </c>
      <c r="G479" s="77" t="s">
        <v>1823</v>
      </c>
      <c r="L479" s="55" t="str">
        <f t="shared" si="20"/>
        <v>{1},{3}</v>
      </c>
      <c r="M479" s="55" t="s">
        <v>555</v>
      </c>
      <c r="O479" s="54">
        <v>201</v>
      </c>
      <c r="P479" s="54" t="s">
        <v>884</v>
      </c>
      <c r="Q479" s="60">
        <v>2</v>
      </c>
      <c r="R479" s="54" t="s">
        <v>870</v>
      </c>
      <c r="T479" s="55" t="str">
        <f t="shared" si="21"/>
        <v>{201,300},{2,9000}</v>
      </c>
      <c r="U479" s="55" t="s">
        <v>900</v>
      </c>
    </row>
    <row r="480" spans="1:21">
      <c r="A480" s="55">
        <v>76</v>
      </c>
      <c r="B480" s="55">
        <f t="shared" si="19"/>
        <v>1005</v>
      </c>
      <c r="C480" s="53" t="s">
        <v>59</v>
      </c>
      <c r="D480" s="54" t="s">
        <v>858</v>
      </c>
      <c r="E480" s="54" t="s">
        <v>1254</v>
      </c>
      <c r="F480" s="54" t="s">
        <v>873</v>
      </c>
      <c r="G480" s="77" t="s">
        <v>1824</v>
      </c>
      <c r="L480" s="55" t="str">
        <f t="shared" si="20"/>
        <v>{1},{3}</v>
      </c>
      <c r="M480" s="55" t="s">
        <v>556</v>
      </c>
      <c r="O480" s="54">
        <v>201</v>
      </c>
      <c r="P480" s="54" t="s">
        <v>884</v>
      </c>
      <c r="Q480" s="60">
        <v>2</v>
      </c>
      <c r="R480" s="54" t="s">
        <v>870</v>
      </c>
      <c r="T480" s="55" t="str">
        <f t="shared" si="21"/>
        <v>{201,300},{2,9000}</v>
      </c>
      <c r="U480" s="55" t="s">
        <v>900</v>
      </c>
    </row>
    <row r="481" spans="1:21">
      <c r="A481" s="55">
        <v>77</v>
      </c>
      <c r="B481" s="55">
        <f t="shared" si="19"/>
        <v>1005</v>
      </c>
      <c r="C481" s="53" t="s">
        <v>59</v>
      </c>
      <c r="D481" s="54" t="s">
        <v>858</v>
      </c>
      <c r="E481" s="54" t="s">
        <v>1255</v>
      </c>
      <c r="F481" s="54" t="s">
        <v>873</v>
      </c>
      <c r="G481" s="77" t="s">
        <v>1825</v>
      </c>
      <c r="L481" s="55" t="str">
        <f t="shared" si="20"/>
        <v>{1},{3}</v>
      </c>
      <c r="M481" s="55" t="s">
        <v>557</v>
      </c>
      <c r="O481" s="54">
        <v>201</v>
      </c>
      <c r="P481" s="54" t="s">
        <v>884</v>
      </c>
      <c r="Q481" s="60">
        <v>2</v>
      </c>
      <c r="R481" s="54" t="s">
        <v>870</v>
      </c>
      <c r="T481" s="55" t="str">
        <f t="shared" si="21"/>
        <v>{201,300},{2,9000}</v>
      </c>
      <c r="U481" s="55" t="s">
        <v>900</v>
      </c>
    </row>
    <row r="482" spans="1:21">
      <c r="A482" s="55">
        <v>78</v>
      </c>
      <c r="B482" s="55">
        <f t="shared" si="19"/>
        <v>1005</v>
      </c>
      <c r="C482" s="53" t="s">
        <v>59</v>
      </c>
      <c r="D482" s="54" t="s">
        <v>858</v>
      </c>
      <c r="E482" s="54" t="s">
        <v>1256</v>
      </c>
      <c r="F482" s="54" t="s">
        <v>873</v>
      </c>
      <c r="G482" s="77" t="s">
        <v>1826</v>
      </c>
      <c r="L482" s="55" t="str">
        <f t="shared" si="20"/>
        <v>{1},{3}</v>
      </c>
      <c r="M482" s="55" t="s">
        <v>558</v>
      </c>
      <c r="O482" s="54">
        <v>201</v>
      </c>
      <c r="P482" s="54" t="s">
        <v>884</v>
      </c>
      <c r="Q482" s="60">
        <v>2</v>
      </c>
      <c r="R482" s="54" t="s">
        <v>870</v>
      </c>
      <c r="T482" s="55" t="str">
        <f t="shared" si="21"/>
        <v>{201,300},{2,9000}</v>
      </c>
      <c r="U482" s="55" t="s">
        <v>900</v>
      </c>
    </row>
    <row r="483" spans="1:21">
      <c r="A483" s="55">
        <v>79</v>
      </c>
      <c r="B483" s="55">
        <f t="shared" si="19"/>
        <v>1005</v>
      </c>
      <c r="C483" s="53" t="s">
        <v>59</v>
      </c>
      <c r="D483" s="54" t="s">
        <v>858</v>
      </c>
      <c r="E483" s="54" t="s">
        <v>1257</v>
      </c>
      <c r="F483" s="54" t="s">
        <v>873</v>
      </c>
      <c r="G483" s="77" t="s">
        <v>1827</v>
      </c>
      <c r="L483" s="55" t="str">
        <f t="shared" si="20"/>
        <v>{1},{3}</v>
      </c>
      <c r="M483" s="55" t="s">
        <v>559</v>
      </c>
      <c r="O483" s="54">
        <v>201</v>
      </c>
      <c r="P483" s="54" t="s">
        <v>884</v>
      </c>
      <c r="Q483" s="60">
        <v>2</v>
      </c>
      <c r="R483" s="54" t="s">
        <v>870</v>
      </c>
      <c r="T483" s="55" t="str">
        <f t="shared" si="21"/>
        <v>{201,300},{2,9000}</v>
      </c>
      <c r="U483" s="55" t="s">
        <v>900</v>
      </c>
    </row>
    <row r="484" spans="1:21" s="63" customFormat="1">
      <c r="A484" s="63">
        <v>80</v>
      </c>
      <c r="B484" s="63">
        <f t="shared" si="19"/>
        <v>1005</v>
      </c>
      <c r="C484" s="61" t="s">
        <v>60</v>
      </c>
      <c r="D484" s="62" t="s">
        <v>858</v>
      </c>
      <c r="E484" s="62" t="s">
        <v>1258</v>
      </c>
      <c r="F484" s="62" t="s">
        <v>873</v>
      </c>
      <c r="G484" s="78" t="s">
        <v>1828</v>
      </c>
      <c r="H484" s="78"/>
      <c r="I484" s="78"/>
      <c r="J484" s="78"/>
      <c r="L484" s="63" t="str">
        <f t="shared" si="20"/>
        <v>{1},{3}</v>
      </c>
      <c r="M484" s="63" t="s">
        <v>560</v>
      </c>
      <c r="O484" s="62" t="s">
        <v>886</v>
      </c>
      <c r="P484" s="62" t="s">
        <v>884</v>
      </c>
      <c r="Q484" s="64">
        <v>2</v>
      </c>
      <c r="R484" s="62" t="s">
        <v>871</v>
      </c>
      <c r="T484" s="55" t="str">
        <f t="shared" si="21"/>
        <v>{301,300},{2,10500}</v>
      </c>
      <c r="U484" s="63" t="s">
        <v>901</v>
      </c>
    </row>
    <row r="485" spans="1:21">
      <c r="A485" s="55">
        <v>81</v>
      </c>
      <c r="B485" s="55">
        <f t="shared" si="19"/>
        <v>1005</v>
      </c>
      <c r="C485" s="53" t="s">
        <v>61</v>
      </c>
      <c r="D485" s="54" t="s">
        <v>858</v>
      </c>
      <c r="E485" s="54" t="s">
        <v>1259</v>
      </c>
      <c r="F485" s="54" t="s">
        <v>873</v>
      </c>
      <c r="G485" s="77" t="s">
        <v>1829</v>
      </c>
      <c r="L485" s="55" t="str">
        <f t="shared" si="20"/>
        <v>{1},{3}</v>
      </c>
      <c r="M485" s="55" t="s">
        <v>561</v>
      </c>
      <c r="O485" s="54">
        <v>201</v>
      </c>
      <c r="P485" s="54" t="s">
        <v>885</v>
      </c>
      <c r="Q485" s="60">
        <v>2</v>
      </c>
      <c r="R485" s="54" t="s">
        <v>872</v>
      </c>
      <c r="T485" s="55" t="str">
        <f t="shared" si="21"/>
        <v>{201,450},{2,15750}</v>
      </c>
      <c r="U485" s="55" t="s">
        <v>902</v>
      </c>
    </row>
    <row r="486" spans="1:21">
      <c r="A486" s="55">
        <v>82</v>
      </c>
      <c r="B486" s="55">
        <f t="shared" si="19"/>
        <v>1005</v>
      </c>
      <c r="C486" s="53" t="s">
        <v>61</v>
      </c>
      <c r="D486" s="54" t="s">
        <v>858</v>
      </c>
      <c r="E486" s="54" t="s">
        <v>1260</v>
      </c>
      <c r="F486" s="54" t="s">
        <v>873</v>
      </c>
      <c r="G486" s="77" t="s">
        <v>1830</v>
      </c>
      <c r="L486" s="55" t="str">
        <f t="shared" si="20"/>
        <v>{1},{3}</v>
      </c>
      <c r="M486" s="55" t="s">
        <v>562</v>
      </c>
      <c r="O486" s="54">
        <v>201</v>
      </c>
      <c r="P486" s="54" t="s">
        <v>885</v>
      </c>
      <c r="Q486" s="60">
        <v>2</v>
      </c>
      <c r="R486" s="54" t="s">
        <v>872</v>
      </c>
      <c r="T486" s="55" t="str">
        <f t="shared" si="21"/>
        <v>{201,450},{2,15750}</v>
      </c>
      <c r="U486" s="55" t="s">
        <v>902</v>
      </c>
    </row>
    <row r="487" spans="1:21">
      <c r="A487" s="55">
        <v>83</v>
      </c>
      <c r="B487" s="55">
        <f t="shared" si="19"/>
        <v>1005</v>
      </c>
      <c r="C487" s="53" t="s">
        <v>61</v>
      </c>
      <c r="D487" s="54" t="s">
        <v>858</v>
      </c>
      <c r="E487" s="54" t="s">
        <v>1261</v>
      </c>
      <c r="F487" s="54" t="s">
        <v>873</v>
      </c>
      <c r="G487" s="77" t="s">
        <v>1831</v>
      </c>
      <c r="L487" s="55" t="str">
        <f t="shared" si="20"/>
        <v>{1},{3}</v>
      </c>
      <c r="M487" s="55" t="s">
        <v>563</v>
      </c>
      <c r="O487" s="54">
        <v>201</v>
      </c>
      <c r="P487" s="54" t="s">
        <v>885</v>
      </c>
      <c r="Q487" s="60">
        <v>2</v>
      </c>
      <c r="R487" s="54" t="s">
        <v>872</v>
      </c>
      <c r="T487" s="55" t="str">
        <f t="shared" si="21"/>
        <v>{201,450},{2,15750}</v>
      </c>
      <c r="U487" s="55" t="s">
        <v>902</v>
      </c>
    </row>
    <row r="488" spans="1:21">
      <c r="A488" s="55">
        <v>84</v>
      </c>
      <c r="B488" s="55">
        <f t="shared" si="19"/>
        <v>1005</v>
      </c>
      <c r="C488" s="53" t="s">
        <v>61</v>
      </c>
      <c r="D488" s="54" t="s">
        <v>858</v>
      </c>
      <c r="E488" s="54" t="s">
        <v>1262</v>
      </c>
      <c r="F488" s="54" t="s">
        <v>873</v>
      </c>
      <c r="G488" s="77" t="s">
        <v>1832</v>
      </c>
      <c r="L488" s="55" t="str">
        <f t="shared" si="20"/>
        <v>{1},{3}</v>
      </c>
      <c r="M488" s="55" t="s">
        <v>564</v>
      </c>
      <c r="O488" s="54">
        <v>201</v>
      </c>
      <c r="P488" s="54" t="s">
        <v>885</v>
      </c>
      <c r="Q488" s="60">
        <v>2</v>
      </c>
      <c r="R488" s="54" t="s">
        <v>872</v>
      </c>
      <c r="T488" s="55" t="str">
        <f t="shared" si="21"/>
        <v>{201,450},{2,15750}</v>
      </c>
      <c r="U488" s="55" t="s">
        <v>902</v>
      </c>
    </row>
    <row r="489" spans="1:21">
      <c r="A489" s="55">
        <v>85</v>
      </c>
      <c r="B489" s="55">
        <f t="shared" si="19"/>
        <v>1005</v>
      </c>
      <c r="C489" s="53" t="s">
        <v>61</v>
      </c>
      <c r="D489" s="54" t="s">
        <v>858</v>
      </c>
      <c r="E489" s="54" t="s">
        <v>1263</v>
      </c>
      <c r="F489" s="54" t="s">
        <v>873</v>
      </c>
      <c r="G489" s="77" t="s">
        <v>1833</v>
      </c>
      <c r="L489" s="55" t="str">
        <f t="shared" si="20"/>
        <v>{1},{3}</v>
      </c>
      <c r="M489" s="55" t="s">
        <v>565</v>
      </c>
      <c r="O489" s="54">
        <v>201</v>
      </c>
      <c r="P489" s="54" t="s">
        <v>885</v>
      </c>
      <c r="Q489" s="60">
        <v>2</v>
      </c>
      <c r="R489" s="54" t="s">
        <v>872</v>
      </c>
      <c r="T489" s="55" t="str">
        <f t="shared" si="21"/>
        <v>{201,450},{2,15750}</v>
      </c>
      <c r="U489" s="55" t="s">
        <v>902</v>
      </c>
    </row>
    <row r="490" spans="1:21">
      <c r="A490" s="55">
        <v>86</v>
      </c>
      <c r="B490" s="55">
        <f t="shared" si="19"/>
        <v>1005</v>
      </c>
      <c r="C490" s="53" t="s">
        <v>61</v>
      </c>
      <c r="D490" s="54" t="s">
        <v>858</v>
      </c>
      <c r="E490" s="54" t="s">
        <v>1264</v>
      </c>
      <c r="F490" s="54" t="s">
        <v>873</v>
      </c>
      <c r="G490" s="77" t="s">
        <v>1834</v>
      </c>
      <c r="L490" s="55" t="str">
        <f t="shared" si="20"/>
        <v>{1},{3}</v>
      </c>
      <c r="M490" s="55" t="s">
        <v>566</v>
      </c>
      <c r="O490" s="54">
        <v>201</v>
      </c>
      <c r="P490" s="54" t="s">
        <v>885</v>
      </c>
      <c r="Q490" s="60">
        <v>2</v>
      </c>
      <c r="R490" s="54" t="s">
        <v>872</v>
      </c>
      <c r="T490" s="55" t="str">
        <f t="shared" si="21"/>
        <v>{201,450},{2,15750}</v>
      </c>
      <c r="U490" s="55" t="s">
        <v>902</v>
      </c>
    </row>
    <row r="491" spans="1:21">
      <c r="A491" s="55">
        <v>87</v>
      </c>
      <c r="B491" s="55">
        <f t="shared" si="19"/>
        <v>1005</v>
      </c>
      <c r="C491" s="53" t="s">
        <v>61</v>
      </c>
      <c r="D491" s="54" t="s">
        <v>858</v>
      </c>
      <c r="E491" s="54" t="s">
        <v>1265</v>
      </c>
      <c r="F491" s="54" t="s">
        <v>873</v>
      </c>
      <c r="G491" s="77" t="s">
        <v>1835</v>
      </c>
      <c r="L491" s="55" t="str">
        <f t="shared" si="20"/>
        <v>{1},{3}</v>
      </c>
      <c r="M491" s="55" t="s">
        <v>567</v>
      </c>
      <c r="O491" s="54">
        <v>201</v>
      </c>
      <c r="P491" s="54" t="s">
        <v>885</v>
      </c>
      <c r="Q491" s="60">
        <v>2</v>
      </c>
      <c r="R491" s="54" t="s">
        <v>872</v>
      </c>
      <c r="T491" s="55" t="str">
        <f t="shared" si="21"/>
        <v>{201,450},{2,15750}</v>
      </c>
      <c r="U491" s="55" t="s">
        <v>902</v>
      </c>
    </row>
    <row r="492" spans="1:21">
      <c r="A492" s="55">
        <v>88</v>
      </c>
      <c r="B492" s="55">
        <f t="shared" si="19"/>
        <v>1005</v>
      </c>
      <c r="C492" s="53" t="s">
        <v>61</v>
      </c>
      <c r="D492" s="54" t="s">
        <v>858</v>
      </c>
      <c r="E492" s="54" t="s">
        <v>1266</v>
      </c>
      <c r="F492" s="54" t="s">
        <v>873</v>
      </c>
      <c r="G492" s="77" t="s">
        <v>1836</v>
      </c>
      <c r="L492" s="55" t="str">
        <f t="shared" si="20"/>
        <v>{1},{3}</v>
      </c>
      <c r="M492" s="55" t="s">
        <v>568</v>
      </c>
      <c r="O492" s="54">
        <v>201</v>
      </c>
      <c r="P492" s="54" t="s">
        <v>885</v>
      </c>
      <c r="Q492" s="60">
        <v>2</v>
      </c>
      <c r="R492" s="54" t="s">
        <v>872</v>
      </c>
      <c r="T492" s="55" t="str">
        <f t="shared" si="21"/>
        <v>{201,450},{2,15750}</v>
      </c>
      <c r="U492" s="55" t="s">
        <v>902</v>
      </c>
    </row>
    <row r="493" spans="1:21">
      <c r="A493" s="55">
        <v>89</v>
      </c>
      <c r="B493" s="55">
        <f t="shared" si="19"/>
        <v>1005</v>
      </c>
      <c r="C493" s="53" t="s">
        <v>61</v>
      </c>
      <c r="D493" s="54" t="s">
        <v>858</v>
      </c>
      <c r="E493" s="54" t="s">
        <v>1267</v>
      </c>
      <c r="F493" s="54" t="s">
        <v>873</v>
      </c>
      <c r="G493" s="77" t="s">
        <v>1837</v>
      </c>
      <c r="L493" s="55" t="str">
        <f t="shared" si="20"/>
        <v>{1},{3}</v>
      </c>
      <c r="M493" s="55" t="s">
        <v>569</v>
      </c>
      <c r="O493" s="54">
        <v>201</v>
      </c>
      <c r="P493" s="54" t="s">
        <v>885</v>
      </c>
      <c r="Q493" s="60">
        <v>2</v>
      </c>
      <c r="R493" s="54" t="s">
        <v>872</v>
      </c>
      <c r="T493" s="55" t="str">
        <f t="shared" si="21"/>
        <v>{201,450},{2,15750}</v>
      </c>
      <c r="U493" s="55" t="s">
        <v>902</v>
      </c>
    </row>
    <row r="494" spans="1:21">
      <c r="A494" s="55">
        <v>90</v>
      </c>
      <c r="B494" s="55">
        <f t="shared" si="19"/>
        <v>1005</v>
      </c>
      <c r="C494" s="53" t="s">
        <v>61</v>
      </c>
      <c r="D494" s="54" t="s">
        <v>858</v>
      </c>
      <c r="E494" s="54" t="s">
        <v>1268</v>
      </c>
      <c r="F494" s="54" t="s">
        <v>873</v>
      </c>
      <c r="G494" s="77" t="s">
        <v>1838</v>
      </c>
      <c r="L494" s="55" t="str">
        <f t="shared" si="20"/>
        <v>{1},{3}</v>
      </c>
      <c r="M494" s="55" t="s">
        <v>570</v>
      </c>
      <c r="O494" s="54">
        <v>201</v>
      </c>
      <c r="P494" s="54" t="s">
        <v>885</v>
      </c>
      <c r="Q494" s="60">
        <v>2</v>
      </c>
      <c r="R494" s="54" t="s">
        <v>872</v>
      </c>
      <c r="T494" s="55" t="str">
        <f t="shared" si="21"/>
        <v>{201,450},{2,15750}</v>
      </c>
      <c r="U494" s="55" t="s">
        <v>902</v>
      </c>
    </row>
    <row r="495" spans="1:21">
      <c r="A495" s="55">
        <v>91</v>
      </c>
      <c r="B495" s="55">
        <f t="shared" si="19"/>
        <v>1005</v>
      </c>
      <c r="C495" s="53" t="s">
        <v>61</v>
      </c>
      <c r="D495" s="54" t="s">
        <v>858</v>
      </c>
      <c r="E495" s="54" t="s">
        <v>1269</v>
      </c>
      <c r="F495" s="54" t="s">
        <v>873</v>
      </c>
      <c r="G495" s="77" t="s">
        <v>1839</v>
      </c>
      <c r="L495" s="55" t="str">
        <f t="shared" si="20"/>
        <v>{1},{3}</v>
      </c>
      <c r="M495" s="55" t="s">
        <v>571</v>
      </c>
      <c r="O495" s="54">
        <v>201</v>
      </c>
      <c r="P495" s="54" t="s">
        <v>885</v>
      </c>
      <c r="Q495" s="60">
        <v>2</v>
      </c>
      <c r="R495" s="54" t="s">
        <v>872</v>
      </c>
      <c r="T495" s="55" t="str">
        <f t="shared" si="21"/>
        <v>{201,450},{2,15750}</v>
      </c>
      <c r="U495" s="55" t="s">
        <v>902</v>
      </c>
    </row>
    <row r="496" spans="1:21">
      <c r="A496" s="55">
        <v>92</v>
      </c>
      <c r="B496" s="55">
        <f t="shared" si="19"/>
        <v>1005</v>
      </c>
      <c r="C496" s="53" t="s">
        <v>61</v>
      </c>
      <c r="D496" s="54" t="s">
        <v>858</v>
      </c>
      <c r="E496" s="54" t="s">
        <v>1270</v>
      </c>
      <c r="F496" s="54" t="s">
        <v>873</v>
      </c>
      <c r="G496" s="77" t="s">
        <v>1840</v>
      </c>
      <c r="L496" s="55" t="str">
        <f t="shared" si="20"/>
        <v>{1},{3}</v>
      </c>
      <c r="M496" s="55" t="s">
        <v>572</v>
      </c>
      <c r="O496" s="54">
        <v>201</v>
      </c>
      <c r="P496" s="54" t="s">
        <v>885</v>
      </c>
      <c r="Q496" s="60">
        <v>2</v>
      </c>
      <c r="R496" s="54" t="s">
        <v>872</v>
      </c>
      <c r="T496" s="55" t="str">
        <f t="shared" si="21"/>
        <v>{201,450},{2,15750}</v>
      </c>
      <c r="U496" s="55" t="s">
        <v>902</v>
      </c>
    </row>
    <row r="497" spans="1:21">
      <c r="A497" s="55">
        <v>93</v>
      </c>
      <c r="B497" s="55">
        <f t="shared" si="19"/>
        <v>1005</v>
      </c>
      <c r="C497" s="53" t="s">
        <v>61</v>
      </c>
      <c r="D497" s="54" t="s">
        <v>858</v>
      </c>
      <c r="E497" s="54" t="s">
        <v>1271</v>
      </c>
      <c r="F497" s="54" t="s">
        <v>873</v>
      </c>
      <c r="G497" s="77" t="s">
        <v>1841</v>
      </c>
      <c r="L497" s="55" t="str">
        <f t="shared" si="20"/>
        <v>{1},{3}</v>
      </c>
      <c r="M497" s="55" t="s">
        <v>573</v>
      </c>
      <c r="O497" s="54">
        <v>201</v>
      </c>
      <c r="P497" s="54" t="s">
        <v>885</v>
      </c>
      <c r="Q497" s="60">
        <v>2</v>
      </c>
      <c r="R497" s="54" t="s">
        <v>872</v>
      </c>
      <c r="T497" s="55" t="str">
        <f t="shared" si="21"/>
        <v>{201,450},{2,15750}</v>
      </c>
      <c r="U497" s="55" t="s">
        <v>902</v>
      </c>
    </row>
    <row r="498" spans="1:21">
      <c r="A498" s="55">
        <v>94</v>
      </c>
      <c r="B498" s="55">
        <f t="shared" ref="B498:B561" si="22">B398+1</f>
        <v>1005</v>
      </c>
      <c r="C498" s="53" t="s">
        <v>61</v>
      </c>
      <c r="D498" s="54" t="s">
        <v>858</v>
      </c>
      <c r="E498" s="54" t="s">
        <v>1272</v>
      </c>
      <c r="F498" s="54" t="s">
        <v>873</v>
      </c>
      <c r="G498" s="77" t="s">
        <v>1842</v>
      </c>
      <c r="L498" s="55" t="str">
        <f t="shared" si="20"/>
        <v>{1},{3}</v>
      </c>
      <c r="M498" s="55" t="s">
        <v>574</v>
      </c>
      <c r="O498" s="54">
        <v>201</v>
      </c>
      <c r="P498" s="54" t="s">
        <v>885</v>
      </c>
      <c r="Q498" s="60">
        <v>2</v>
      </c>
      <c r="R498" s="54" t="s">
        <v>872</v>
      </c>
      <c r="T498" s="55" t="str">
        <f t="shared" si="21"/>
        <v>{201,450},{2,15750}</v>
      </c>
      <c r="U498" s="55" t="s">
        <v>902</v>
      </c>
    </row>
    <row r="499" spans="1:21">
      <c r="A499" s="55">
        <v>95</v>
      </c>
      <c r="B499" s="55">
        <f t="shared" si="22"/>
        <v>1005</v>
      </c>
      <c r="C499" s="53" t="s">
        <v>61</v>
      </c>
      <c r="D499" s="54" t="s">
        <v>858</v>
      </c>
      <c r="E499" s="54" t="s">
        <v>1273</v>
      </c>
      <c r="F499" s="54" t="s">
        <v>873</v>
      </c>
      <c r="G499" s="77" t="s">
        <v>1843</v>
      </c>
      <c r="L499" s="55" t="str">
        <f t="shared" si="20"/>
        <v>{1},{3}</v>
      </c>
      <c r="M499" s="55" t="s">
        <v>575</v>
      </c>
      <c r="O499" s="54">
        <v>201</v>
      </c>
      <c r="P499" s="54" t="s">
        <v>885</v>
      </c>
      <c r="Q499" s="60">
        <v>2</v>
      </c>
      <c r="R499" s="54" t="s">
        <v>872</v>
      </c>
      <c r="T499" s="55" t="str">
        <f t="shared" si="21"/>
        <v>{201,450},{2,15750}</v>
      </c>
      <c r="U499" s="55" t="s">
        <v>902</v>
      </c>
    </row>
    <row r="500" spans="1:21">
      <c r="A500" s="55">
        <v>96</v>
      </c>
      <c r="B500" s="55">
        <f t="shared" si="22"/>
        <v>1005</v>
      </c>
      <c r="C500" s="53" t="s">
        <v>61</v>
      </c>
      <c r="D500" s="54" t="s">
        <v>858</v>
      </c>
      <c r="E500" s="54" t="s">
        <v>1274</v>
      </c>
      <c r="F500" s="54" t="s">
        <v>873</v>
      </c>
      <c r="G500" s="77" t="s">
        <v>1844</v>
      </c>
      <c r="L500" s="55" t="str">
        <f t="shared" si="20"/>
        <v>{1},{3}</v>
      </c>
      <c r="M500" s="55" t="s">
        <v>576</v>
      </c>
      <c r="O500" s="54">
        <v>201</v>
      </c>
      <c r="P500" s="54" t="s">
        <v>885</v>
      </c>
      <c r="Q500" s="60">
        <v>2</v>
      </c>
      <c r="R500" s="54" t="s">
        <v>872</v>
      </c>
      <c r="T500" s="55" t="str">
        <f t="shared" si="21"/>
        <v>{201,450},{2,15750}</v>
      </c>
      <c r="U500" s="55" t="s">
        <v>902</v>
      </c>
    </row>
    <row r="501" spans="1:21">
      <c r="A501" s="55">
        <v>97</v>
      </c>
      <c r="B501" s="55">
        <f t="shared" si="22"/>
        <v>1005</v>
      </c>
      <c r="C501" s="53" t="s">
        <v>61</v>
      </c>
      <c r="D501" s="54" t="s">
        <v>858</v>
      </c>
      <c r="E501" s="54" t="s">
        <v>1275</v>
      </c>
      <c r="F501" s="54" t="s">
        <v>873</v>
      </c>
      <c r="G501" s="77" t="s">
        <v>1845</v>
      </c>
      <c r="L501" s="55" t="str">
        <f t="shared" si="20"/>
        <v>{1},{3}</v>
      </c>
      <c r="M501" s="55" t="s">
        <v>577</v>
      </c>
      <c r="O501" s="54">
        <v>201</v>
      </c>
      <c r="P501" s="54" t="s">
        <v>885</v>
      </c>
      <c r="Q501" s="60">
        <v>2</v>
      </c>
      <c r="R501" s="54" t="s">
        <v>872</v>
      </c>
      <c r="T501" s="55" t="str">
        <f t="shared" si="21"/>
        <v>{201,450},{2,15750}</v>
      </c>
      <c r="U501" s="55" t="s">
        <v>902</v>
      </c>
    </row>
    <row r="502" spans="1:21">
      <c r="A502" s="55">
        <v>98</v>
      </c>
      <c r="B502" s="55">
        <f t="shared" si="22"/>
        <v>1005</v>
      </c>
      <c r="C502" s="53" t="s">
        <v>61</v>
      </c>
      <c r="D502" s="54" t="s">
        <v>858</v>
      </c>
      <c r="E502" s="54" t="s">
        <v>1276</v>
      </c>
      <c r="F502" s="54" t="s">
        <v>873</v>
      </c>
      <c r="G502" s="77" t="s">
        <v>1846</v>
      </c>
      <c r="L502" s="55" t="str">
        <f t="shared" si="20"/>
        <v>{1},{3}</v>
      </c>
      <c r="M502" s="55" t="s">
        <v>578</v>
      </c>
      <c r="O502" s="54">
        <v>201</v>
      </c>
      <c r="P502" s="54" t="s">
        <v>885</v>
      </c>
      <c r="Q502" s="60">
        <v>2</v>
      </c>
      <c r="R502" s="54" t="s">
        <v>872</v>
      </c>
      <c r="T502" s="55" t="str">
        <f t="shared" si="21"/>
        <v>{201,450},{2,15750}</v>
      </c>
      <c r="U502" s="55" t="s">
        <v>902</v>
      </c>
    </row>
    <row r="503" spans="1:21">
      <c r="A503" s="55">
        <v>99</v>
      </c>
      <c r="B503" s="55">
        <f t="shared" si="22"/>
        <v>1005</v>
      </c>
      <c r="C503" s="53" t="s">
        <v>61</v>
      </c>
      <c r="D503" s="54" t="s">
        <v>858</v>
      </c>
      <c r="E503" s="54" t="s">
        <v>1277</v>
      </c>
      <c r="F503" s="54" t="s">
        <v>873</v>
      </c>
      <c r="G503" s="77" t="s">
        <v>1847</v>
      </c>
      <c r="L503" s="55" t="str">
        <f t="shared" si="20"/>
        <v>{1},{3}</v>
      </c>
      <c r="M503" s="55" t="s">
        <v>579</v>
      </c>
      <c r="O503" s="54">
        <v>201</v>
      </c>
      <c r="P503" s="54" t="s">
        <v>885</v>
      </c>
      <c r="Q503" s="60">
        <v>2</v>
      </c>
      <c r="R503" s="54" t="s">
        <v>872</v>
      </c>
      <c r="T503" s="55" t="str">
        <f t="shared" si="21"/>
        <v>{201,450},{2,15750}</v>
      </c>
      <c r="U503" s="55" t="s">
        <v>902</v>
      </c>
    </row>
    <row r="504" spans="1:21">
      <c r="A504" s="55">
        <v>100</v>
      </c>
      <c r="B504" s="55">
        <f t="shared" si="22"/>
        <v>1005</v>
      </c>
      <c r="D504" s="54" t="s">
        <v>858</v>
      </c>
      <c r="E504" s="54" t="s">
        <v>1278</v>
      </c>
      <c r="F504" s="54" t="s">
        <v>873</v>
      </c>
      <c r="G504" s="77" t="s">
        <v>1848</v>
      </c>
      <c r="L504" s="55" t="str">
        <f t="shared" si="20"/>
        <v>{1},{3}</v>
      </c>
      <c r="M504" s="55" t="s">
        <v>580</v>
      </c>
      <c r="Q504" s="65"/>
      <c r="T504" s="55" t="str">
        <f t="shared" si="21"/>
        <v>{,},{,}</v>
      </c>
      <c r="U504" s="55" t="s">
        <v>903</v>
      </c>
    </row>
    <row r="505" spans="1:21">
      <c r="A505" s="55">
        <v>1</v>
      </c>
      <c r="B505" s="55">
        <f t="shared" si="22"/>
        <v>1006</v>
      </c>
      <c r="C505" s="53" t="s">
        <v>46</v>
      </c>
      <c r="D505" s="54" t="s">
        <v>858</v>
      </c>
      <c r="E505" s="54" t="s">
        <v>859</v>
      </c>
      <c r="F505" s="54" t="s">
        <v>873</v>
      </c>
      <c r="G505" s="77" t="s">
        <v>1221</v>
      </c>
      <c r="L505" s="55" t="str">
        <f t="shared" si="20"/>
        <v>{1},{3}</v>
      </c>
      <c r="M505" s="55" t="s">
        <v>203</v>
      </c>
      <c r="O505" s="54">
        <v>201</v>
      </c>
      <c r="P505" s="54" t="s">
        <v>874</v>
      </c>
      <c r="Q505" s="60">
        <v>2</v>
      </c>
      <c r="R505" s="54" t="s">
        <v>859</v>
      </c>
      <c r="T505" s="55" t="str">
        <f t="shared" si="21"/>
        <v>{201,20},{2,400}</v>
      </c>
      <c r="U505" s="55" t="s">
        <v>887</v>
      </c>
    </row>
    <row r="506" spans="1:21">
      <c r="A506" s="55">
        <v>2</v>
      </c>
      <c r="B506" s="55">
        <f t="shared" si="22"/>
        <v>1006</v>
      </c>
      <c r="C506" s="53" t="s">
        <v>47</v>
      </c>
      <c r="D506" s="54" t="s">
        <v>858</v>
      </c>
      <c r="E506" s="54" t="s">
        <v>860</v>
      </c>
      <c r="F506" s="54" t="s">
        <v>873</v>
      </c>
      <c r="G506" s="77" t="s">
        <v>1117</v>
      </c>
      <c r="L506" s="55" t="str">
        <f t="shared" si="20"/>
        <v>{1},{3}</v>
      </c>
      <c r="M506" s="55" t="s">
        <v>205</v>
      </c>
      <c r="O506" s="54">
        <v>201</v>
      </c>
      <c r="P506" s="54" t="s">
        <v>875</v>
      </c>
      <c r="Q506" s="60">
        <v>2</v>
      </c>
      <c r="R506" s="54" t="s">
        <v>860</v>
      </c>
      <c r="T506" s="55" t="str">
        <f t="shared" si="21"/>
        <v>{201,22},{2,440}</v>
      </c>
      <c r="U506" s="55" t="s">
        <v>888</v>
      </c>
    </row>
    <row r="507" spans="1:21">
      <c r="A507" s="55">
        <v>3</v>
      </c>
      <c r="B507" s="55">
        <f t="shared" si="22"/>
        <v>1006</v>
      </c>
      <c r="C507" s="53" t="s">
        <v>48</v>
      </c>
      <c r="D507" s="54" t="s">
        <v>858</v>
      </c>
      <c r="E507" s="54" t="s">
        <v>861</v>
      </c>
      <c r="F507" s="54" t="s">
        <v>873</v>
      </c>
      <c r="G507" s="77" t="s">
        <v>1526</v>
      </c>
      <c r="L507" s="55" t="str">
        <f t="shared" si="20"/>
        <v>{1},{3}</v>
      </c>
      <c r="M507" s="55" t="s">
        <v>207</v>
      </c>
      <c r="O507" s="54">
        <v>201</v>
      </c>
      <c r="P507" s="54" t="s">
        <v>876</v>
      </c>
      <c r="Q507" s="60">
        <v>2</v>
      </c>
      <c r="R507" s="54" t="s">
        <v>861</v>
      </c>
      <c r="T507" s="55" t="str">
        <f t="shared" si="21"/>
        <v>{201,24},{2,480}</v>
      </c>
      <c r="U507" s="55" t="s">
        <v>889</v>
      </c>
    </row>
    <row r="508" spans="1:21">
      <c r="A508" s="55">
        <v>4</v>
      </c>
      <c r="B508" s="55">
        <f t="shared" si="22"/>
        <v>1006</v>
      </c>
      <c r="C508" s="53" t="s">
        <v>49</v>
      </c>
      <c r="D508" s="54" t="s">
        <v>858</v>
      </c>
      <c r="E508" s="54" t="s">
        <v>926</v>
      </c>
      <c r="F508" s="54" t="s">
        <v>873</v>
      </c>
      <c r="G508" s="77" t="s">
        <v>1122</v>
      </c>
      <c r="L508" s="55" t="str">
        <f t="shared" si="20"/>
        <v>{1},{3}</v>
      </c>
      <c r="M508" s="55" t="s">
        <v>209</v>
      </c>
      <c r="O508" s="54">
        <v>201</v>
      </c>
      <c r="P508" s="54" t="s">
        <v>877</v>
      </c>
      <c r="Q508" s="60">
        <v>2</v>
      </c>
      <c r="R508" s="54" t="s">
        <v>862</v>
      </c>
      <c r="T508" s="55" t="str">
        <f t="shared" si="21"/>
        <v>{201,25},{2,500}</v>
      </c>
      <c r="U508" s="55" t="s">
        <v>890</v>
      </c>
    </row>
    <row r="509" spans="1:21">
      <c r="A509" s="55">
        <v>5</v>
      </c>
      <c r="B509" s="55">
        <f t="shared" si="22"/>
        <v>1006</v>
      </c>
      <c r="C509" s="53" t="s">
        <v>50</v>
      </c>
      <c r="D509" s="54" t="s">
        <v>858</v>
      </c>
      <c r="E509" s="54" t="s">
        <v>927</v>
      </c>
      <c r="F509" s="54" t="s">
        <v>873</v>
      </c>
      <c r="G509" s="77" t="s">
        <v>1527</v>
      </c>
      <c r="L509" s="55" t="str">
        <f t="shared" si="20"/>
        <v>{1},{3}</v>
      </c>
      <c r="M509" s="55" t="s">
        <v>211</v>
      </c>
      <c r="O509" s="54">
        <v>201</v>
      </c>
      <c r="P509" s="54" t="s">
        <v>878</v>
      </c>
      <c r="Q509" s="60">
        <v>2</v>
      </c>
      <c r="R509" s="54" t="s">
        <v>863</v>
      </c>
      <c r="T509" s="55" t="str">
        <f t="shared" si="21"/>
        <v>{201,27},{2,540}</v>
      </c>
      <c r="U509" s="55" t="s">
        <v>891</v>
      </c>
    </row>
    <row r="510" spans="1:21">
      <c r="A510" s="55">
        <v>6</v>
      </c>
      <c r="B510" s="55">
        <f t="shared" si="22"/>
        <v>1006</v>
      </c>
      <c r="C510" s="53" t="s">
        <v>51</v>
      </c>
      <c r="D510" s="54" t="s">
        <v>858</v>
      </c>
      <c r="E510" s="54" t="s">
        <v>865</v>
      </c>
      <c r="F510" s="54" t="s">
        <v>873</v>
      </c>
      <c r="G510" s="77" t="s">
        <v>1127</v>
      </c>
      <c r="L510" s="55" t="str">
        <f t="shared" si="20"/>
        <v>{1},{3}</v>
      </c>
      <c r="M510" s="55" t="s">
        <v>298</v>
      </c>
      <c r="O510" s="54">
        <v>201</v>
      </c>
      <c r="P510" s="54" t="s">
        <v>879</v>
      </c>
      <c r="Q510" s="60">
        <v>2</v>
      </c>
      <c r="R510" s="54" t="s">
        <v>864</v>
      </c>
      <c r="T510" s="55" t="str">
        <f t="shared" si="21"/>
        <v>{201,29},{2,580}</v>
      </c>
      <c r="U510" s="55" t="s">
        <v>892</v>
      </c>
    </row>
    <row r="511" spans="1:21">
      <c r="A511" s="55">
        <v>7</v>
      </c>
      <c r="B511" s="55">
        <f t="shared" si="22"/>
        <v>1006</v>
      </c>
      <c r="C511" s="53" t="s">
        <v>52</v>
      </c>
      <c r="D511" s="54" t="s">
        <v>858</v>
      </c>
      <c r="E511" s="54" t="s">
        <v>1199</v>
      </c>
      <c r="F511" s="54" t="s">
        <v>873</v>
      </c>
      <c r="G511" s="77" t="s">
        <v>1849</v>
      </c>
      <c r="L511" s="55" t="str">
        <f t="shared" si="20"/>
        <v>{1},{3}</v>
      </c>
      <c r="M511" s="55" t="s">
        <v>581</v>
      </c>
      <c r="O511" s="54">
        <v>201</v>
      </c>
      <c r="P511" s="54" t="s">
        <v>880</v>
      </c>
      <c r="Q511" s="60">
        <v>2</v>
      </c>
      <c r="R511" s="54" t="s">
        <v>865</v>
      </c>
      <c r="T511" s="55" t="str">
        <f t="shared" si="21"/>
        <v>{201,30},{2,600}</v>
      </c>
      <c r="U511" s="55" t="s">
        <v>893</v>
      </c>
    </row>
    <row r="512" spans="1:21">
      <c r="A512" s="55">
        <v>8</v>
      </c>
      <c r="B512" s="55">
        <f t="shared" si="22"/>
        <v>1006</v>
      </c>
      <c r="C512" s="53" t="s">
        <v>53</v>
      </c>
      <c r="D512" s="54" t="s">
        <v>858</v>
      </c>
      <c r="E512" s="54" t="s">
        <v>1279</v>
      </c>
      <c r="F512" s="54" t="s">
        <v>873</v>
      </c>
      <c r="G512" s="77" t="s">
        <v>1226</v>
      </c>
      <c r="L512" s="55" t="str">
        <f t="shared" si="20"/>
        <v>{1},{3}</v>
      </c>
      <c r="M512" s="55" t="s">
        <v>582</v>
      </c>
      <c r="O512" s="54">
        <v>201</v>
      </c>
      <c r="P512" s="54" t="s">
        <v>881</v>
      </c>
      <c r="Q512" s="60">
        <v>2</v>
      </c>
      <c r="R512" s="54" t="s">
        <v>866</v>
      </c>
      <c r="T512" s="55" t="str">
        <f t="shared" si="21"/>
        <v>{201,50},{2,1000}</v>
      </c>
      <c r="U512" s="55" t="s">
        <v>894</v>
      </c>
    </row>
    <row r="513" spans="1:21">
      <c r="A513" s="55">
        <v>9</v>
      </c>
      <c r="B513" s="55">
        <f t="shared" si="22"/>
        <v>1006</v>
      </c>
      <c r="C513" s="53" t="s">
        <v>53</v>
      </c>
      <c r="D513" s="54" t="s">
        <v>858</v>
      </c>
      <c r="E513" s="54" t="s">
        <v>1016</v>
      </c>
      <c r="F513" s="54" t="s">
        <v>873</v>
      </c>
      <c r="G513" s="77" t="s">
        <v>1607</v>
      </c>
      <c r="L513" s="55" t="str">
        <f t="shared" si="20"/>
        <v>{1},{3}</v>
      </c>
      <c r="M513" s="55" t="s">
        <v>302</v>
      </c>
      <c r="O513" s="54">
        <v>201</v>
      </c>
      <c r="P513" s="54" t="s">
        <v>881</v>
      </c>
      <c r="Q513" s="60">
        <v>2</v>
      </c>
      <c r="R513" s="54" t="s">
        <v>866</v>
      </c>
      <c r="T513" s="55" t="str">
        <f t="shared" si="21"/>
        <v>{201,50},{2,1000}</v>
      </c>
      <c r="U513" s="55" t="s">
        <v>894</v>
      </c>
    </row>
    <row r="514" spans="1:21">
      <c r="A514" s="55">
        <v>10</v>
      </c>
      <c r="B514" s="55">
        <f t="shared" si="22"/>
        <v>1006</v>
      </c>
      <c r="C514" s="53" t="s">
        <v>53</v>
      </c>
      <c r="D514" s="54" t="s">
        <v>858</v>
      </c>
      <c r="E514" s="54" t="s">
        <v>1280</v>
      </c>
      <c r="F514" s="54" t="s">
        <v>873</v>
      </c>
      <c r="G514" s="77" t="s">
        <v>1231</v>
      </c>
      <c r="L514" s="55" t="str">
        <f t="shared" si="20"/>
        <v>{1},{3}</v>
      </c>
      <c r="M514" s="55" t="s">
        <v>583</v>
      </c>
      <c r="O514" s="54">
        <v>201</v>
      </c>
      <c r="P514" s="54" t="s">
        <v>881</v>
      </c>
      <c r="Q514" s="60">
        <v>2</v>
      </c>
      <c r="R514" s="54" t="s">
        <v>866</v>
      </c>
      <c r="T514" s="55" t="str">
        <f t="shared" si="21"/>
        <v>{201,50},{2,1000}</v>
      </c>
      <c r="U514" s="55" t="s">
        <v>894</v>
      </c>
    </row>
    <row r="515" spans="1:21">
      <c r="A515" s="55">
        <v>11</v>
      </c>
      <c r="B515" s="55">
        <f t="shared" si="22"/>
        <v>1006</v>
      </c>
      <c r="C515" s="53" t="s">
        <v>53</v>
      </c>
      <c r="D515" s="54" t="s">
        <v>858</v>
      </c>
      <c r="E515" s="54" t="s">
        <v>1202</v>
      </c>
      <c r="F515" s="54" t="s">
        <v>873</v>
      </c>
      <c r="G515" s="77" t="s">
        <v>1690</v>
      </c>
      <c r="L515" s="55" t="str">
        <f t="shared" si="20"/>
        <v>{1},{3}</v>
      </c>
      <c r="M515" s="55" t="s">
        <v>584</v>
      </c>
      <c r="O515" s="54">
        <v>201</v>
      </c>
      <c r="P515" s="54" t="s">
        <v>881</v>
      </c>
      <c r="Q515" s="60">
        <v>2</v>
      </c>
      <c r="R515" s="54" t="s">
        <v>866</v>
      </c>
      <c r="T515" s="55" t="str">
        <f t="shared" si="21"/>
        <v>{201,50},{2,1000}</v>
      </c>
      <c r="U515" s="55" t="s">
        <v>894</v>
      </c>
    </row>
    <row r="516" spans="1:21">
      <c r="A516" s="55">
        <v>12</v>
      </c>
      <c r="B516" s="55">
        <f t="shared" si="22"/>
        <v>1006</v>
      </c>
      <c r="C516" s="53" t="s">
        <v>53</v>
      </c>
      <c r="D516" s="54" t="s">
        <v>858</v>
      </c>
      <c r="E516" s="54" t="s">
        <v>1020</v>
      </c>
      <c r="F516" s="54" t="s">
        <v>873</v>
      </c>
      <c r="G516" s="77" t="s">
        <v>1236</v>
      </c>
      <c r="L516" s="55" t="str">
        <f t="shared" si="20"/>
        <v>{1},{3}</v>
      </c>
      <c r="M516" s="55" t="s">
        <v>306</v>
      </c>
      <c r="O516" s="54">
        <v>201</v>
      </c>
      <c r="P516" s="54" t="s">
        <v>881</v>
      </c>
      <c r="Q516" s="60">
        <v>2</v>
      </c>
      <c r="R516" s="54" t="s">
        <v>866</v>
      </c>
      <c r="T516" s="55" t="str">
        <f t="shared" si="21"/>
        <v>{201,50},{2,1000}</v>
      </c>
      <c r="U516" s="55" t="s">
        <v>894</v>
      </c>
    </row>
    <row r="517" spans="1:21">
      <c r="A517" s="55">
        <v>13</v>
      </c>
      <c r="B517" s="55">
        <f t="shared" si="22"/>
        <v>1006</v>
      </c>
      <c r="C517" s="53" t="s">
        <v>53</v>
      </c>
      <c r="D517" s="54" t="s">
        <v>858</v>
      </c>
      <c r="E517" s="54" t="s">
        <v>1281</v>
      </c>
      <c r="F517" s="54" t="s">
        <v>873</v>
      </c>
      <c r="G517" s="77" t="s">
        <v>1850</v>
      </c>
      <c r="L517" s="55" t="str">
        <f t="shared" si="20"/>
        <v>{1},{3}</v>
      </c>
      <c r="M517" s="55" t="s">
        <v>585</v>
      </c>
      <c r="O517" s="54">
        <v>201</v>
      </c>
      <c r="P517" s="54" t="s">
        <v>881</v>
      </c>
      <c r="Q517" s="60">
        <v>2</v>
      </c>
      <c r="R517" s="54" t="s">
        <v>866</v>
      </c>
      <c r="T517" s="55" t="str">
        <f t="shared" si="21"/>
        <v>{201,50},{2,1000}</v>
      </c>
      <c r="U517" s="55" t="s">
        <v>894</v>
      </c>
    </row>
    <row r="518" spans="1:21">
      <c r="A518" s="55">
        <v>14</v>
      </c>
      <c r="B518" s="55">
        <f t="shared" si="22"/>
        <v>1006</v>
      </c>
      <c r="C518" s="53" t="s">
        <v>53</v>
      </c>
      <c r="D518" s="54" t="s">
        <v>858</v>
      </c>
      <c r="E518" s="54" t="s">
        <v>1282</v>
      </c>
      <c r="F518" s="54" t="s">
        <v>873</v>
      </c>
      <c r="G518" s="77" t="s">
        <v>1851</v>
      </c>
      <c r="L518" s="55" t="str">
        <f t="shared" ref="L518:L581" si="23">"{"&amp;D518&amp;"}"&amp;","&amp;"{"&amp;F518&amp;"}"</f>
        <v>{1},{3}</v>
      </c>
      <c r="M518" s="55" t="s">
        <v>586</v>
      </c>
      <c r="O518" s="54">
        <v>201</v>
      </c>
      <c r="P518" s="54" t="s">
        <v>881</v>
      </c>
      <c r="Q518" s="60">
        <v>2</v>
      </c>
      <c r="R518" s="54" t="s">
        <v>866</v>
      </c>
      <c r="T518" s="55" t="str">
        <f t="shared" ref="T518:T581" si="24">"{"&amp;O518&amp;","&amp;P518&amp;"}"&amp;","&amp;"{"&amp;Q518&amp;","&amp;R518&amp;"}"</f>
        <v>{201,50},{2,1000}</v>
      </c>
      <c r="U518" s="55" t="s">
        <v>894</v>
      </c>
    </row>
    <row r="519" spans="1:21">
      <c r="A519" s="55">
        <v>15</v>
      </c>
      <c r="B519" s="55">
        <f t="shared" si="22"/>
        <v>1006</v>
      </c>
      <c r="C519" s="53" t="s">
        <v>53</v>
      </c>
      <c r="D519" s="54" t="s">
        <v>858</v>
      </c>
      <c r="E519" s="54" t="s">
        <v>1103</v>
      </c>
      <c r="F519" s="54" t="s">
        <v>873</v>
      </c>
      <c r="G519" s="77" t="s">
        <v>1852</v>
      </c>
      <c r="L519" s="55" t="str">
        <f t="shared" si="23"/>
        <v>{1},{3}</v>
      </c>
      <c r="M519" s="55" t="s">
        <v>587</v>
      </c>
      <c r="O519" s="54">
        <v>201</v>
      </c>
      <c r="P519" s="54" t="s">
        <v>881</v>
      </c>
      <c r="Q519" s="60">
        <v>2</v>
      </c>
      <c r="R519" s="54" t="s">
        <v>866</v>
      </c>
      <c r="T519" s="55" t="str">
        <f t="shared" si="24"/>
        <v>{201,50},{2,1000}</v>
      </c>
      <c r="U519" s="55" t="s">
        <v>894</v>
      </c>
    </row>
    <row r="520" spans="1:21">
      <c r="A520" s="55">
        <v>16</v>
      </c>
      <c r="B520" s="55">
        <f t="shared" si="22"/>
        <v>1006</v>
      </c>
      <c r="C520" s="53" t="s">
        <v>53</v>
      </c>
      <c r="D520" s="54" t="s">
        <v>858</v>
      </c>
      <c r="E520" s="54" t="s">
        <v>866</v>
      </c>
      <c r="F520" s="54" t="s">
        <v>873</v>
      </c>
      <c r="G520" s="77" t="s">
        <v>1774</v>
      </c>
      <c r="L520" s="55" t="str">
        <f t="shared" si="23"/>
        <v>{1},{3}</v>
      </c>
      <c r="M520" s="55" t="s">
        <v>588</v>
      </c>
      <c r="O520" s="54">
        <v>201</v>
      </c>
      <c r="P520" s="54" t="s">
        <v>881</v>
      </c>
      <c r="Q520" s="60">
        <v>2</v>
      </c>
      <c r="R520" s="54" t="s">
        <v>866</v>
      </c>
      <c r="T520" s="55" t="str">
        <f t="shared" si="24"/>
        <v>{201,50},{2,1000}</v>
      </c>
      <c r="U520" s="55" t="s">
        <v>894</v>
      </c>
    </row>
    <row r="521" spans="1:21">
      <c r="A521" s="55">
        <v>17</v>
      </c>
      <c r="B521" s="55">
        <f t="shared" si="22"/>
        <v>1006</v>
      </c>
      <c r="C521" s="53" t="s">
        <v>53</v>
      </c>
      <c r="D521" s="54" t="s">
        <v>858</v>
      </c>
      <c r="E521" s="54" t="s">
        <v>1283</v>
      </c>
      <c r="F521" s="54" t="s">
        <v>873</v>
      </c>
      <c r="G521" s="77" t="s">
        <v>1853</v>
      </c>
      <c r="L521" s="55" t="str">
        <f t="shared" si="23"/>
        <v>{1},{3}</v>
      </c>
      <c r="M521" s="55" t="s">
        <v>589</v>
      </c>
      <c r="O521" s="54">
        <v>201</v>
      </c>
      <c r="P521" s="54" t="s">
        <v>881</v>
      </c>
      <c r="Q521" s="60">
        <v>2</v>
      </c>
      <c r="R521" s="54" t="s">
        <v>866</v>
      </c>
      <c r="T521" s="55" t="str">
        <f t="shared" si="24"/>
        <v>{201,50},{2,1000}</v>
      </c>
      <c r="U521" s="55" t="s">
        <v>894</v>
      </c>
    </row>
    <row r="522" spans="1:21">
      <c r="A522" s="55">
        <v>18</v>
      </c>
      <c r="B522" s="55">
        <f t="shared" si="22"/>
        <v>1006</v>
      </c>
      <c r="C522" s="53" t="s">
        <v>53</v>
      </c>
      <c r="D522" s="54" t="s">
        <v>858</v>
      </c>
      <c r="E522" s="54" t="s">
        <v>1284</v>
      </c>
      <c r="F522" s="54" t="s">
        <v>873</v>
      </c>
      <c r="G522" s="77" t="s">
        <v>1854</v>
      </c>
      <c r="L522" s="55" t="str">
        <f t="shared" si="23"/>
        <v>{1},{3}</v>
      </c>
      <c r="M522" s="55" t="s">
        <v>590</v>
      </c>
      <c r="O522" s="54">
        <v>201</v>
      </c>
      <c r="P522" s="54" t="s">
        <v>881</v>
      </c>
      <c r="Q522" s="60">
        <v>2</v>
      </c>
      <c r="R522" s="54" t="s">
        <v>866</v>
      </c>
      <c r="T522" s="55" t="str">
        <f t="shared" si="24"/>
        <v>{201,50},{2,1000}</v>
      </c>
      <c r="U522" s="55" t="s">
        <v>894</v>
      </c>
    </row>
    <row r="523" spans="1:21">
      <c r="A523" s="55">
        <v>19</v>
      </c>
      <c r="B523" s="55">
        <f t="shared" si="22"/>
        <v>1006</v>
      </c>
      <c r="C523" s="53" t="s">
        <v>53</v>
      </c>
      <c r="D523" s="54" t="s">
        <v>858</v>
      </c>
      <c r="E523" s="54" t="s">
        <v>1285</v>
      </c>
      <c r="F523" s="54" t="s">
        <v>873</v>
      </c>
      <c r="G523" s="77" t="s">
        <v>1855</v>
      </c>
      <c r="L523" s="55" t="str">
        <f t="shared" si="23"/>
        <v>{1},{3}</v>
      </c>
      <c r="M523" s="55" t="s">
        <v>591</v>
      </c>
      <c r="O523" s="54">
        <v>201</v>
      </c>
      <c r="P523" s="54" t="s">
        <v>881</v>
      </c>
      <c r="Q523" s="60">
        <v>2</v>
      </c>
      <c r="R523" s="54" t="s">
        <v>866</v>
      </c>
      <c r="T523" s="55" t="str">
        <f t="shared" si="24"/>
        <v>{201,50},{2,1000}</v>
      </c>
      <c r="U523" s="55" t="s">
        <v>894</v>
      </c>
    </row>
    <row r="524" spans="1:21" s="63" customFormat="1">
      <c r="A524" s="63">
        <v>20</v>
      </c>
      <c r="B524" s="63">
        <f t="shared" si="22"/>
        <v>1006</v>
      </c>
      <c r="C524" s="61" t="s">
        <v>54</v>
      </c>
      <c r="D524" s="62" t="s">
        <v>858</v>
      </c>
      <c r="E524" s="62" t="s">
        <v>1286</v>
      </c>
      <c r="F524" s="62" t="s">
        <v>873</v>
      </c>
      <c r="G524" s="78" t="s">
        <v>1856</v>
      </c>
      <c r="H524" s="78"/>
      <c r="I524" s="78"/>
      <c r="J524" s="78"/>
      <c r="L524" s="63" t="str">
        <f t="shared" si="23"/>
        <v>{1},{3}</v>
      </c>
      <c r="M524" s="63" t="s">
        <v>592</v>
      </c>
      <c r="O524" s="62" t="s">
        <v>886</v>
      </c>
      <c r="P524" s="62" t="s">
        <v>881</v>
      </c>
      <c r="Q524" s="64">
        <v>2</v>
      </c>
      <c r="R524" s="62" t="s">
        <v>866</v>
      </c>
      <c r="T524" s="55" t="str">
        <f t="shared" si="24"/>
        <v>{301,50},{2,1000}</v>
      </c>
      <c r="U524" s="63" t="s">
        <v>895</v>
      </c>
    </row>
    <row r="525" spans="1:21">
      <c r="A525" s="55">
        <v>21</v>
      </c>
      <c r="B525" s="55">
        <f t="shared" si="22"/>
        <v>1006</v>
      </c>
      <c r="C525" s="53" t="s">
        <v>55</v>
      </c>
      <c r="D525" s="54" t="s">
        <v>858</v>
      </c>
      <c r="E525" s="54" t="s">
        <v>912</v>
      </c>
      <c r="F525" s="54" t="s">
        <v>873</v>
      </c>
      <c r="G525" s="77" t="s">
        <v>1857</v>
      </c>
      <c r="L525" s="55" t="str">
        <f t="shared" si="23"/>
        <v>{1},{3}</v>
      </c>
      <c r="M525" s="55" t="s">
        <v>593</v>
      </c>
      <c r="O525" s="54">
        <v>201</v>
      </c>
      <c r="P525" s="54" t="s">
        <v>882</v>
      </c>
      <c r="Q525" s="60">
        <v>2</v>
      </c>
      <c r="R525" s="54" t="s">
        <v>867</v>
      </c>
      <c r="T525" s="55" t="str">
        <f t="shared" si="24"/>
        <v>{201,100},{2,2000}</v>
      </c>
      <c r="U525" s="55" t="s">
        <v>896</v>
      </c>
    </row>
    <row r="526" spans="1:21">
      <c r="A526" s="55">
        <v>22</v>
      </c>
      <c r="B526" s="55">
        <f t="shared" si="22"/>
        <v>1006</v>
      </c>
      <c r="C526" s="53" t="s">
        <v>55</v>
      </c>
      <c r="D526" s="54" t="s">
        <v>858</v>
      </c>
      <c r="E526" s="54" t="s">
        <v>1287</v>
      </c>
      <c r="F526" s="54" t="s">
        <v>873</v>
      </c>
      <c r="G526" s="77" t="s">
        <v>1858</v>
      </c>
      <c r="L526" s="55" t="str">
        <f t="shared" si="23"/>
        <v>{1},{3}</v>
      </c>
      <c r="M526" s="55" t="s">
        <v>594</v>
      </c>
      <c r="O526" s="54">
        <v>201</v>
      </c>
      <c r="P526" s="54" t="s">
        <v>882</v>
      </c>
      <c r="Q526" s="60">
        <v>2</v>
      </c>
      <c r="R526" s="54" t="s">
        <v>867</v>
      </c>
      <c r="T526" s="55" t="str">
        <f t="shared" si="24"/>
        <v>{201,100},{2,2000}</v>
      </c>
      <c r="U526" s="55" t="s">
        <v>896</v>
      </c>
    </row>
    <row r="527" spans="1:21">
      <c r="A527" s="55">
        <v>23</v>
      </c>
      <c r="B527" s="55">
        <f t="shared" si="22"/>
        <v>1006</v>
      </c>
      <c r="C527" s="53" t="s">
        <v>55</v>
      </c>
      <c r="D527" s="54" t="s">
        <v>858</v>
      </c>
      <c r="E527" s="54" t="s">
        <v>1288</v>
      </c>
      <c r="F527" s="54" t="s">
        <v>873</v>
      </c>
      <c r="G527" s="77" t="s">
        <v>1859</v>
      </c>
      <c r="L527" s="55" t="str">
        <f t="shared" si="23"/>
        <v>{1},{3}</v>
      </c>
      <c r="M527" s="55" t="s">
        <v>595</v>
      </c>
      <c r="O527" s="54">
        <v>201</v>
      </c>
      <c r="P527" s="54" t="s">
        <v>882</v>
      </c>
      <c r="Q527" s="60">
        <v>2</v>
      </c>
      <c r="R527" s="54" t="s">
        <v>867</v>
      </c>
      <c r="T527" s="55" t="str">
        <f t="shared" si="24"/>
        <v>{201,100},{2,2000}</v>
      </c>
      <c r="U527" s="55" t="s">
        <v>896</v>
      </c>
    </row>
    <row r="528" spans="1:21">
      <c r="A528" s="55">
        <v>24</v>
      </c>
      <c r="B528" s="55">
        <f t="shared" si="22"/>
        <v>1006</v>
      </c>
      <c r="C528" s="53" t="s">
        <v>55</v>
      </c>
      <c r="D528" s="54" t="s">
        <v>858</v>
      </c>
      <c r="E528" s="54" t="s">
        <v>1289</v>
      </c>
      <c r="F528" s="54" t="s">
        <v>873</v>
      </c>
      <c r="G528" s="77" t="s">
        <v>1860</v>
      </c>
      <c r="L528" s="55" t="str">
        <f t="shared" si="23"/>
        <v>{1},{3}</v>
      </c>
      <c r="M528" s="55" t="s">
        <v>596</v>
      </c>
      <c r="O528" s="54">
        <v>201</v>
      </c>
      <c r="P528" s="54" t="s">
        <v>882</v>
      </c>
      <c r="Q528" s="60">
        <v>2</v>
      </c>
      <c r="R528" s="54" t="s">
        <v>867</v>
      </c>
      <c r="T528" s="55" t="str">
        <f t="shared" si="24"/>
        <v>{201,100},{2,2000}</v>
      </c>
      <c r="U528" s="55" t="s">
        <v>896</v>
      </c>
    </row>
    <row r="529" spans="1:21">
      <c r="A529" s="55">
        <v>25</v>
      </c>
      <c r="B529" s="55">
        <f t="shared" si="22"/>
        <v>1006</v>
      </c>
      <c r="C529" s="53" t="s">
        <v>55</v>
      </c>
      <c r="D529" s="54" t="s">
        <v>858</v>
      </c>
      <c r="E529" s="54" t="s">
        <v>1290</v>
      </c>
      <c r="F529" s="54" t="s">
        <v>873</v>
      </c>
      <c r="G529" s="77" t="s">
        <v>1861</v>
      </c>
      <c r="L529" s="55" t="str">
        <f t="shared" si="23"/>
        <v>{1},{3}</v>
      </c>
      <c r="M529" s="55" t="s">
        <v>597</v>
      </c>
      <c r="O529" s="54">
        <v>201</v>
      </c>
      <c r="P529" s="54" t="s">
        <v>882</v>
      </c>
      <c r="Q529" s="60">
        <v>2</v>
      </c>
      <c r="R529" s="54" t="s">
        <v>867</v>
      </c>
      <c r="T529" s="55" t="str">
        <f t="shared" si="24"/>
        <v>{201,100},{2,2000}</v>
      </c>
      <c r="U529" s="55" t="s">
        <v>896</v>
      </c>
    </row>
    <row r="530" spans="1:21">
      <c r="A530" s="55">
        <v>26</v>
      </c>
      <c r="B530" s="55">
        <f t="shared" si="22"/>
        <v>1006</v>
      </c>
      <c r="C530" s="53" t="s">
        <v>55</v>
      </c>
      <c r="D530" s="54" t="s">
        <v>858</v>
      </c>
      <c r="E530" s="54" t="s">
        <v>1291</v>
      </c>
      <c r="F530" s="54" t="s">
        <v>873</v>
      </c>
      <c r="G530" s="77" t="s">
        <v>1862</v>
      </c>
      <c r="L530" s="55" t="str">
        <f t="shared" si="23"/>
        <v>{1},{3}</v>
      </c>
      <c r="M530" s="55" t="s">
        <v>598</v>
      </c>
      <c r="O530" s="54">
        <v>201</v>
      </c>
      <c r="P530" s="54" t="s">
        <v>882</v>
      </c>
      <c r="Q530" s="60">
        <v>2</v>
      </c>
      <c r="R530" s="54" t="s">
        <v>867</v>
      </c>
      <c r="T530" s="55" t="str">
        <f t="shared" si="24"/>
        <v>{201,100},{2,2000}</v>
      </c>
      <c r="U530" s="55" t="s">
        <v>896</v>
      </c>
    </row>
    <row r="531" spans="1:21">
      <c r="A531" s="55">
        <v>27</v>
      </c>
      <c r="B531" s="55">
        <f t="shared" si="22"/>
        <v>1006</v>
      </c>
      <c r="C531" s="53" t="s">
        <v>55</v>
      </c>
      <c r="D531" s="54" t="s">
        <v>858</v>
      </c>
      <c r="E531" s="54" t="s">
        <v>1292</v>
      </c>
      <c r="F531" s="54" t="s">
        <v>873</v>
      </c>
      <c r="G531" s="77" t="s">
        <v>1863</v>
      </c>
      <c r="L531" s="55" t="str">
        <f t="shared" si="23"/>
        <v>{1},{3}</v>
      </c>
      <c r="M531" s="55" t="s">
        <v>599</v>
      </c>
      <c r="O531" s="54">
        <v>201</v>
      </c>
      <c r="P531" s="54" t="s">
        <v>882</v>
      </c>
      <c r="Q531" s="60">
        <v>2</v>
      </c>
      <c r="R531" s="54" t="s">
        <v>867</v>
      </c>
      <c r="T531" s="55" t="str">
        <f t="shared" si="24"/>
        <v>{201,100},{2,2000}</v>
      </c>
      <c r="U531" s="55" t="s">
        <v>896</v>
      </c>
    </row>
    <row r="532" spans="1:21">
      <c r="A532" s="55">
        <v>28</v>
      </c>
      <c r="B532" s="55">
        <f t="shared" si="22"/>
        <v>1006</v>
      </c>
      <c r="C532" s="53" t="s">
        <v>55</v>
      </c>
      <c r="D532" s="54" t="s">
        <v>858</v>
      </c>
      <c r="E532" s="54" t="s">
        <v>1293</v>
      </c>
      <c r="F532" s="54" t="s">
        <v>873</v>
      </c>
      <c r="G532" s="77" t="s">
        <v>1864</v>
      </c>
      <c r="L532" s="55" t="str">
        <f t="shared" si="23"/>
        <v>{1},{3}</v>
      </c>
      <c r="M532" s="55" t="s">
        <v>600</v>
      </c>
      <c r="O532" s="54">
        <v>201</v>
      </c>
      <c r="P532" s="54" t="s">
        <v>882</v>
      </c>
      <c r="Q532" s="60">
        <v>2</v>
      </c>
      <c r="R532" s="54" t="s">
        <v>867</v>
      </c>
      <c r="T532" s="55" t="str">
        <f t="shared" si="24"/>
        <v>{201,100},{2,2000}</v>
      </c>
      <c r="U532" s="55" t="s">
        <v>896</v>
      </c>
    </row>
    <row r="533" spans="1:21">
      <c r="A533" s="55">
        <v>29</v>
      </c>
      <c r="B533" s="55">
        <f t="shared" si="22"/>
        <v>1006</v>
      </c>
      <c r="C533" s="53" t="s">
        <v>55</v>
      </c>
      <c r="D533" s="54" t="s">
        <v>858</v>
      </c>
      <c r="E533" s="54" t="s">
        <v>1294</v>
      </c>
      <c r="F533" s="54" t="s">
        <v>873</v>
      </c>
      <c r="G533" s="77" t="s">
        <v>1865</v>
      </c>
      <c r="L533" s="55" t="str">
        <f t="shared" si="23"/>
        <v>{1},{3}</v>
      </c>
      <c r="M533" s="55" t="s">
        <v>601</v>
      </c>
      <c r="O533" s="54">
        <v>201</v>
      </c>
      <c r="P533" s="54" t="s">
        <v>882</v>
      </c>
      <c r="Q533" s="60">
        <v>2</v>
      </c>
      <c r="R533" s="54" t="s">
        <v>867</v>
      </c>
      <c r="T533" s="55" t="str">
        <f t="shared" si="24"/>
        <v>{201,100},{2,2000}</v>
      </c>
      <c r="U533" s="55" t="s">
        <v>896</v>
      </c>
    </row>
    <row r="534" spans="1:21">
      <c r="A534" s="55">
        <v>30</v>
      </c>
      <c r="B534" s="55">
        <f t="shared" si="22"/>
        <v>1006</v>
      </c>
      <c r="C534" s="53" t="s">
        <v>55</v>
      </c>
      <c r="D534" s="54" t="s">
        <v>858</v>
      </c>
      <c r="E534" s="54" t="s">
        <v>1295</v>
      </c>
      <c r="F534" s="54" t="s">
        <v>873</v>
      </c>
      <c r="G534" s="77" t="s">
        <v>1866</v>
      </c>
      <c r="L534" s="55" t="str">
        <f t="shared" si="23"/>
        <v>{1},{3}</v>
      </c>
      <c r="M534" s="55" t="s">
        <v>602</v>
      </c>
      <c r="O534" s="54">
        <v>201</v>
      </c>
      <c r="P534" s="54" t="s">
        <v>882</v>
      </c>
      <c r="Q534" s="60">
        <v>2</v>
      </c>
      <c r="R534" s="54" t="s">
        <v>867</v>
      </c>
      <c r="T534" s="55" t="str">
        <f t="shared" si="24"/>
        <v>{201,100},{2,2000}</v>
      </c>
      <c r="U534" s="55" t="s">
        <v>896</v>
      </c>
    </row>
    <row r="535" spans="1:21">
      <c r="A535" s="55">
        <v>31</v>
      </c>
      <c r="B535" s="55">
        <f t="shared" si="22"/>
        <v>1006</v>
      </c>
      <c r="C535" s="53" t="s">
        <v>55</v>
      </c>
      <c r="D535" s="54" t="s">
        <v>858</v>
      </c>
      <c r="E535" s="54" t="s">
        <v>1296</v>
      </c>
      <c r="F535" s="54" t="s">
        <v>873</v>
      </c>
      <c r="G535" s="77" t="s">
        <v>1867</v>
      </c>
      <c r="L535" s="55" t="str">
        <f t="shared" si="23"/>
        <v>{1},{3}</v>
      </c>
      <c r="M535" s="55" t="s">
        <v>603</v>
      </c>
      <c r="O535" s="54">
        <v>201</v>
      </c>
      <c r="P535" s="54" t="s">
        <v>882</v>
      </c>
      <c r="Q535" s="60">
        <v>2</v>
      </c>
      <c r="R535" s="54" t="s">
        <v>867</v>
      </c>
      <c r="T535" s="55" t="str">
        <f t="shared" si="24"/>
        <v>{201,100},{2,2000}</v>
      </c>
      <c r="U535" s="55" t="s">
        <v>896</v>
      </c>
    </row>
    <row r="536" spans="1:21">
      <c r="A536" s="55">
        <v>32</v>
      </c>
      <c r="B536" s="55">
        <f t="shared" si="22"/>
        <v>1006</v>
      </c>
      <c r="C536" s="53" t="s">
        <v>55</v>
      </c>
      <c r="D536" s="54" t="s">
        <v>858</v>
      </c>
      <c r="E536" s="54" t="s">
        <v>1297</v>
      </c>
      <c r="F536" s="54" t="s">
        <v>873</v>
      </c>
      <c r="G536" s="77" t="s">
        <v>1868</v>
      </c>
      <c r="L536" s="55" t="str">
        <f t="shared" si="23"/>
        <v>{1},{3}</v>
      </c>
      <c r="M536" s="55" t="s">
        <v>604</v>
      </c>
      <c r="O536" s="54">
        <v>201</v>
      </c>
      <c r="P536" s="54" t="s">
        <v>882</v>
      </c>
      <c r="Q536" s="60">
        <v>2</v>
      </c>
      <c r="R536" s="54" t="s">
        <v>867</v>
      </c>
      <c r="T536" s="55" t="str">
        <f t="shared" si="24"/>
        <v>{201,100},{2,2000}</v>
      </c>
      <c r="U536" s="55" t="s">
        <v>896</v>
      </c>
    </row>
    <row r="537" spans="1:21">
      <c r="A537" s="55">
        <v>33</v>
      </c>
      <c r="B537" s="55">
        <f t="shared" si="22"/>
        <v>1006</v>
      </c>
      <c r="C537" s="53" t="s">
        <v>55</v>
      </c>
      <c r="D537" s="54" t="s">
        <v>858</v>
      </c>
      <c r="E537" s="54" t="s">
        <v>1298</v>
      </c>
      <c r="F537" s="54" t="s">
        <v>873</v>
      </c>
      <c r="G537" s="77" t="s">
        <v>1869</v>
      </c>
      <c r="L537" s="55" t="str">
        <f t="shared" si="23"/>
        <v>{1},{3}</v>
      </c>
      <c r="M537" s="55" t="s">
        <v>605</v>
      </c>
      <c r="O537" s="54">
        <v>201</v>
      </c>
      <c r="P537" s="54" t="s">
        <v>882</v>
      </c>
      <c r="Q537" s="60">
        <v>2</v>
      </c>
      <c r="R537" s="54" t="s">
        <v>867</v>
      </c>
      <c r="T537" s="55" t="str">
        <f t="shared" si="24"/>
        <v>{201,100},{2,2000}</v>
      </c>
      <c r="U537" s="55" t="s">
        <v>896</v>
      </c>
    </row>
    <row r="538" spans="1:21">
      <c r="A538" s="55">
        <v>34</v>
      </c>
      <c r="B538" s="55">
        <f t="shared" si="22"/>
        <v>1006</v>
      </c>
      <c r="C538" s="53" t="s">
        <v>55</v>
      </c>
      <c r="D538" s="54" t="s">
        <v>858</v>
      </c>
      <c r="E538" s="54" t="s">
        <v>1299</v>
      </c>
      <c r="F538" s="54" t="s">
        <v>873</v>
      </c>
      <c r="G538" s="77" t="s">
        <v>1870</v>
      </c>
      <c r="L538" s="55" t="str">
        <f t="shared" si="23"/>
        <v>{1},{3}</v>
      </c>
      <c r="M538" s="55" t="s">
        <v>606</v>
      </c>
      <c r="O538" s="54">
        <v>201</v>
      </c>
      <c r="P538" s="54" t="s">
        <v>882</v>
      </c>
      <c r="Q538" s="60">
        <v>2</v>
      </c>
      <c r="R538" s="54" t="s">
        <v>867</v>
      </c>
      <c r="T538" s="55" t="str">
        <f t="shared" si="24"/>
        <v>{201,100},{2,2000}</v>
      </c>
      <c r="U538" s="55" t="s">
        <v>896</v>
      </c>
    </row>
    <row r="539" spans="1:21">
      <c r="A539" s="55">
        <v>35</v>
      </c>
      <c r="B539" s="55">
        <f t="shared" si="22"/>
        <v>1006</v>
      </c>
      <c r="C539" s="53" t="s">
        <v>55</v>
      </c>
      <c r="D539" s="54" t="s">
        <v>858</v>
      </c>
      <c r="E539" s="54" t="s">
        <v>1300</v>
      </c>
      <c r="F539" s="54" t="s">
        <v>873</v>
      </c>
      <c r="G539" s="77" t="s">
        <v>1871</v>
      </c>
      <c r="L539" s="55" t="str">
        <f t="shared" si="23"/>
        <v>{1},{3}</v>
      </c>
      <c r="M539" s="55" t="s">
        <v>607</v>
      </c>
      <c r="O539" s="54">
        <v>201</v>
      </c>
      <c r="P539" s="54" t="s">
        <v>882</v>
      </c>
      <c r="Q539" s="60">
        <v>2</v>
      </c>
      <c r="R539" s="54" t="s">
        <v>867</v>
      </c>
      <c r="T539" s="55" t="str">
        <f t="shared" si="24"/>
        <v>{201,100},{2,2000}</v>
      </c>
      <c r="U539" s="55" t="s">
        <v>896</v>
      </c>
    </row>
    <row r="540" spans="1:21">
      <c r="A540" s="55">
        <v>36</v>
      </c>
      <c r="B540" s="55">
        <f t="shared" si="22"/>
        <v>1006</v>
      </c>
      <c r="C540" s="53" t="s">
        <v>55</v>
      </c>
      <c r="D540" s="54" t="s">
        <v>858</v>
      </c>
      <c r="E540" s="54" t="s">
        <v>1301</v>
      </c>
      <c r="F540" s="54" t="s">
        <v>873</v>
      </c>
      <c r="G540" s="77" t="s">
        <v>1872</v>
      </c>
      <c r="L540" s="55" t="str">
        <f t="shared" si="23"/>
        <v>{1},{3}</v>
      </c>
      <c r="M540" s="55" t="s">
        <v>608</v>
      </c>
      <c r="O540" s="54">
        <v>201</v>
      </c>
      <c r="P540" s="54" t="s">
        <v>882</v>
      </c>
      <c r="Q540" s="60">
        <v>2</v>
      </c>
      <c r="R540" s="54" t="s">
        <v>867</v>
      </c>
      <c r="T540" s="55" t="str">
        <f t="shared" si="24"/>
        <v>{201,100},{2,2000}</v>
      </c>
      <c r="U540" s="55" t="s">
        <v>896</v>
      </c>
    </row>
    <row r="541" spans="1:21">
      <c r="A541" s="55">
        <v>37</v>
      </c>
      <c r="B541" s="55">
        <f t="shared" si="22"/>
        <v>1006</v>
      </c>
      <c r="C541" s="53" t="s">
        <v>55</v>
      </c>
      <c r="D541" s="54" t="s">
        <v>858</v>
      </c>
      <c r="E541" s="54" t="s">
        <v>1302</v>
      </c>
      <c r="F541" s="54" t="s">
        <v>873</v>
      </c>
      <c r="G541" s="77" t="s">
        <v>1873</v>
      </c>
      <c r="L541" s="55" t="str">
        <f t="shared" si="23"/>
        <v>{1},{3}</v>
      </c>
      <c r="M541" s="55" t="s">
        <v>609</v>
      </c>
      <c r="O541" s="54">
        <v>201</v>
      </c>
      <c r="P541" s="54" t="s">
        <v>882</v>
      </c>
      <c r="Q541" s="60">
        <v>2</v>
      </c>
      <c r="R541" s="54" t="s">
        <v>867</v>
      </c>
      <c r="T541" s="55" t="str">
        <f t="shared" si="24"/>
        <v>{201,100},{2,2000}</v>
      </c>
      <c r="U541" s="55" t="s">
        <v>896</v>
      </c>
    </row>
    <row r="542" spans="1:21">
      <c r="A542" s="55">
        <v>38</v>
      </c>
      <c r="B542" s="55">
        <f t="shared" si="22"/>
        <v>1006</v>
      </c>
      <c r="C542" s="53" t="s">
        <v>55</v>
      </c>
      <c r="D542" s="54" t="s">
        <v>858</v>
      </c>
      <c r="E542" s="54" t="s">
        <v>1303</v>
      </c>
      <c r="F542" s="54" t="s">
        <v>873</v>
      </c>
      <c r="G542" s="77" t="s">
        <v>1874</v>
      </c>
      <c r="L542" s="55" t="str">
        <f t="shared" si="23"/>
        <v>{1},{3}</v>
      </c>
      <c r="M542" s="55" t="s">
        <v>610</v>
      </c>
      <c r="O542" s="54">
        <v>201</v>
      </c>
      <c r="P542" s="54" t="s">
        <v>882</v>
      </c>
      <c r="Q542" s="60">
        <v>2</v>
      </c>
      <c r="R542" s="54" t="s">
        <v>867</v>
      </c>
      <c r="T542" s="55" t="str">
        <f t="shared" si="24"/>
        <v>{201,100},{2,2000}</v>
      </c>
      <c r="U542" s="55" t="s">
        <v>896</v>
      </c>
    </row>
    <row r="543" spans="1:21">
      <c r="A543" s="55">
        <v>39</v>
      </c>
      <c r="B543" s="55">
        <f t="shared" si="22"/>
        <v>1006</v>
      </c>
      <c r="C543" s="53" t="s">
        <v>55</v>
      </c>
      <c r="D543" s="54" t="s">
        <v>858</v>
      </c>
      <c r="E543" s="54" t="s">
        <v>1304</v>
      </c>
      <c r="F543" s="54" t="s">
        <v>873</v>
      </c>
      <c r="G543" s="77" t="s">
        <v>1875</v>
      </c>
      <c r="L543" s="55" t="str">
        <f t="shared" si="23"/>
        <v>{1},{3}</v>
      </c>
      <c r="M543" s="55" t="s">
        <v>611</v>
      </c>
      <c r="O543" s="54">
        <v>201</v>
      </c>
      <c r="P543" s="54" t="s">
        <v>882</v>
      </c>
      <c r="Q543" s="60">
        <v>2</v>
      </c>
      <c r="R543" s="54" t="s">
        <v>867</v>
      </c>
      <c r="T543" s="55" t="str">
        <f t="shared" si="24"/>
        <v>{201,100},{2,2000}</v>
      </c>
      <c r="U543" s="55" t="s">
        <v>896</v>
      </c>
    </row>
    <row r="544" spans="1:21" s="63" customFormat="1">
      <c r="A544" s="63">
        <v>40</v>
      </c>
      <c r="B544" s="63">
        <f t="shared" si="22"/>
        <v>1006</v>
      </c>
      <c r="C544" s="61" t="s">
        <v>56</v>
      </c>
      <c r="D544" s="62" t="s">
        <v>858</v>
      </c>
      <c r="E544" s="62" t="s">
        <v>1305</v>
      </c>
      <c r="F544" s="62" t="s">
        <v>873</v>
      </c>
      <c r="G544" s="78" t="s">
        <v>1876</v>
      </c>
      <c r="H544" s="78"/>
      <c r="I544" s="78"/>
      <c r="J544" s="78"/>
      <c r="L544" s="63" t="str">
        <f t="shared" si="23"/>
        <v>{1},{3}</v>
      </c>
      <c r="M544" s="63" t="s">
        <v>612</v>
      </c>
      <c r="O544" s="62" t="s">
        <v>886</v>
      </c>
      <c r="P544" s="62" t="s">
        <v>882</v>
      </c>
      <c r="Q544" s="64">
        <v>2</v>
      </c>
      <c r="R544" s="62" t="s">
        <v>867</v>
      </c>
      <c r="T544" s="55" t="str">
        <f t="shared" si="24"/>
        <v>{301,100},{2,2000}</v>
      </c>
      <c r="U544" s="63" t="s">
        <v>897</v>
      </c>
    </row>
    <row r="545" spans="1:21">
      <c r="A545" s="55">
        <v>41</v>
      </c>
      <c r="B545" s="55">
        <f t="shared" si="22"/>
        <v>1006</v>
      </c>
      <c r="C545" s="53" t="s">
        <v>57</v>
      </c>
      <c r="D545" s="54" t="s">
        <v>858</v>
      </c>
      <c r="E545" s="54" t="s">
        <v>1306</v>
      </c>
      <c r="F545" s="54" t="s">
        <v>873</v>
      </c>
      <c r="G545" s="77" t="s">
        <v>1877</v>
      </c>
      <c r="L545" s="55" t="str">
        <f t="shared" si="23"/>
        <v>{1},{3}</v>
      </c>
      <c r="M545" s="55" t="s">
        <v>613</v>
      </c>
      <c r="O545" s="54">
        <v>201</v>
      </c>
      <c r="P545" s="54" t="s">
        <v>883</v>
      </c>
      <c r="Q545" s="60">
        <v>2</v>
      </c>
      <c r="R545" s="54" t="s">
        <v>868</v>
      </c>
      <c r="T545" s="55" t="str">
        <f t="shared" si="24"/>
        <v>{201,150},{2,3750}</v>
      </c>
      <c r="U545" s="55" t="s">
        <v>898</v>
      </c>
    </row>
    <row r="546" spans="1:21">
      <c r="A546" s="55">
        <v>42</v>
      </c>
      <c r="B546" s="55">
        <f t="shared" si="22"/>
        <v>1006</v>
      </c>
      <c r="C546" s="53" t="s">
        <v>57</v>
      </c>
      <c r="D546" s="54" t="s">
        <v>858</v>
      </c>
      <c r="E546" s="54" t="s">
        <v>1307</v>
      </c>
      <c r="F546" s="54" t="s">
        <v>873</v>
      </c>
      <c r="G546" s="77" t="s">
        <v>1878</v>
      </c>
      <c r="L546" s="55" t="str">
        <f t="shared" si="23"/>
        <v>{1},{3}</v>
      </c>
      <c r="M546" s="55" t="s">
        <v>614</v>
      </c>
      <c r="O546" s="54">
        <v>201</v>
      </c>
      <c r="P546" s="54" t="s">
        <v>883</v>
      </c>
      <c r="Q546" s="60">
        <v>2</v>
      </c>
      <c r="R546" s="54" t="s">
        <v>868</v>
      </c>
      <c r="T546" s="55" t="str">
        <f t="shared" si="24"/>
        <v>{201,150},{2,3750}</v>
      </c>
      <c r="U546" s="55" t="s">
        <v>898</v>
      </c>
    </row>
    <row r="547" spans="1:21">
      <c r="A547" s="55">
        <v>43</v>
      </c>
      <c r="B547" s="55">
        <f t="shared" si="22"/>
        <v>1006</v>
      </c>
      <c r="C547" s="53" t="s">
        <v>57</v>
      </c>
      <c r="D547" s="54" t="s">
        <v>858</v>
      </c>
      <c r="E547" s="54" t="s">
        <v>869</v>
      </c>
      <c r="F547" s="54" t="s">
        <v>873</v>
      </c>
      <c r="G547" s="77" t="s">
        <v>1879</v>
      </c>
      <c r="L547" s="55" t="str">
        <f t="shared" si="23"/>
        <v>{1},{3}</v>
      </c>
      <c r="M547" s="55" t="s">
        <v>615</v>
      </c>
      <c r="O547" s="54">
        <v>201</v>
      </c>
      <c r="P547" s="54" t="s">
        <v>883</v>
      </c>
      <c r="Q547" s="60">
        <v>2</v>
      </c>
      <c r="R547" s="54" t="s">
        <v>868</v>
      </c>
      <c r="T547" s="55" t="str">
        <f t="shared" si="24"/>
        <v>{201,150},{2,3750}</v>
      </c>
      <c r="U547" s="55" t="s">
        <v>898</v>
      </c>
    </row>
    <row r="548" spans="1:21">
      <c r="A548" s="55">
        <v>44</v>
      </c>
      <c r="B548" s="55">
        <f t="shared" si="22"/>
        <v>1006</v>
      </c>
      <c r="C548" s="53" t="s">
        <v>57</v>
      </c>
      <c r="D548" s="54" t="s">
        <v>858</v>
      </c>
      <c r="E548" s="54" t="s">
        <v>1308</v>
      </c>
      <c r="F548" s="54" t="s">
        <v>873</v>
      </c>
      <c r="G548" s="77" t="s">
        <v>1880</v>
      </c>
      <c r="L548" s="55" t="str">
        <f t="shared" si="23"/>
        <v>{1},{3}</v>
      </c>
      <c r="M548" s="55" t="s">
        <v>616</v>
      </c>
      <c r="O548" s="54">
        <v>201</v>
      </c>
      <c r="P548" s="54" t="s">
        <v>883</v>
      </c>
      <c r="Q548" s="60">
        <v>2</v>
      </c>
      <c r="R548" s="54" t="s">
        <v>868</v>
      </c>
      <c r="T548" s="55" t="str">
        <f t="shared" si="24"/>
        <v>{201,150},{2,3750}</v>
      </c>
      <c r="U548" s="55" t="s">
        <v>898</v>
      </c>
    </row>
    <row r="549" spans="1:21">
      <c r="A549" s="55">
        <v>45</v>
      </c>
      <c r="B549" s="55">
        <f t="shared" si="22"/>
        <v>1006</v>
      </c>
      <c r="C549" s="53" t="s">
        <v>57</v>
      </c>
      <c r="D549" s="54" t="s">
        <v>858</v>
      </c>
      <c r="E549" s="54" t="s">
        <v>1309</v>
      </c>
      <c r="F549" s="54" t="s">
        <v>873</v>
      </c>
      <c r="G549" s="77" t="s">
        <v>1881</v>
      </c>
      <c r="L549" s="55" t="str">
        <f t="shared" si="23"/>
        <v>{1},{3}</v>
      </c>
      <c r="M549" s="55" t="s">
        <v>617</v>
      </c>
      <c r="O549" s="54">
        <v>201</v>
      </c>
      <c r="P549" s="54" t="s">
        <v>883</v>
      </c>
      <c r="Q549" s="60">
        <v>2</v>
      </c>
      <c r="R549" s="54" t="s">
        <v>868</v>
      </c>
      <c r="T549" s="55" t="str">
        <f t="shared" si="24"/>
        <v>{201,150},{2,3750}</v>
      </c>
      <c r="U549" s="55" t="s">
        <v>898</v>
      </c>
    </row>
    <row r="550" spans="1:21">
      <c r="A550" s="55">
        <v>46</v>
      </c>
      <c r="B550" s="55">
        <f t="shared" si="22"/>
        <v>1006</v>
      </c>
      <c r="C550" s="53" t="s">
        <v>57</v>
      </c>
      <c r="D550" s="54" t="s">
        <v>858</v>
      </c>
      <c r="E550" s="54" t="s">
        <v>1310</v>
      </c>
      <c r="F550" s="54" t="s">
        <v>873</v>
      </c>
      <c r="G550" s="77" t="s">
        <v>1882</v>
      </c>
      <c r="L550" s="55" t="str">
        <f t="shared" si="23"/>
        <v>{1},{3}</v>
      </c>
      <c r="M550" s="55" t="s">
        <v>618</v>
      </c>
      <c r="O550" s="54">
        <v>201</v>
      </c>
      <c r="P550" s="54" t="s">
        <v>883</v>
      </c>
      <c r="Q550" s="60">
        <v>2</v>
      </c>
      <c r="R550" s="54" t="s">
        <v>868</v>
      </c>
      <c r="T550" s="55" t="str">
        <f t="shared" si="24"/>
        <v>{201,150},{2,3750}</v>
      </c>
      <c r="U550" s="55" t="s">
        <v>898</v>
      </c>
    </row>
    <row r="551" spans="1:21">
      <c r="A551" s="55">
        <v>47</v>
      </c>
      <c r="B551" s="55">
        <f t="shared" si="22"/>
        <v>1006</v>
      </c>
      <c r="C551" s="53" t="s">
        <v>57</v>
      </c>
      <c r="D551" s="54" t="s">
        <v>858</v>
      </c>
      <c r="E551" s="54" t="s">
        <v>1311</v>
      </c>
      <c r="F551" s="54" t="s">
        <v>873</v>
      </c>
      <c r="G551" s="77" t="s">
        <v>1883</v>
      </c>
      <c r="L551" s="55" t="str">
        <f t="shared" si="23"/>
        <v>{1},{3}</v>
      </c>
      <c r="M551" s="55" t="s">
        <v>619</v>
      </c>
      <c r="O551" s="54">
        <v>201</v>
      </c>
      <c r="P551" s="54" t="s">
        <v>883</v>
      </c>
      <c r="Q551" s="60">
        <v>2</v>
      </c>
      <c r="R551" s="54" t="s">
        <v>868</v>
      </c>
      <c r="T551" s="55" t="str">
        <f t="shared" si="24"/>
        <v>{201,150},{2,3750}</v>
      </c>
      <c r="U551" s="55" t="s">
        <v>898</v>
      </c>
    </row>
    <row r="552" spans="1:21">
      <c r="A552" s="55">
        <v>48</v>
      </c>
      <c r="B552" s="55">
        <f t="shared" si="22"/>
        <v>1006</v>
      </c>
      <c r="C552" s="53" t="s">
        <v>57</v>
      </c>
      <c r="D552" s="54" t="s">
        <v>858</v>
      </c>
      <c r="E552" s="54" t="s">
        <v>1312</v>
      </c>
      <c r="F552" s="54" t="s">
        <v>873</v>
      </c>
      <c r="G552" s="77" t="s">
        <v>1884</v>
      </c>
      <c r="L552" s="55" t="str">
        <f t="shared" si="23"/>
        <v>{1},{3}</v>
      </c>
      <c r="M552" s="55" t="s">
        <v>620</v>
      </c>
      <c r="O552" s="54">
        <v>201</v>
      </c>
      <c r="P552" s="54" t="s">
        <v>883</v>
      </c>
      <c r="Q552" s="60">
        <v>2</v>
      </c>
      <c r="R552" s="54" t="s">
        <v>868</v>
      </c>
      <c r="T552" s="55" t="str">
        <f t="shared" si="24"/>
        <v>{201,150},{2,3750}</v>
      </c>
      <c r="U552" s="55" t="s">
        <v>898</v>
      </c>
    </row>
    <row r="553" spans="1:21">
      <c r="A553" s="55">
        <v>49</v>
      </c>
      <c r="B553" s="55">
        <f t="shared" si="22"/>
        <v>1006</v>
      </c>
      <c r="C553" s="53" t="s">
        <v>57</v>
      </c>
      <c r="D553" s="54" t="s">
        <v>858</v>
      </c>
      <c r="E553" s="54" t="s">
        <v>1313</v>
      </c>
      <c r="F553" s="54" t="s">
        <v>873</v>
      </c>
      <c r="G553" s="77" t="s">
        <v>1885</v>
      </c>
      <c r="L553" s="55" t="str">
        <f t="shared" si="23"/>
        <v>{1},{3}</v>
      </c>
      <c r="M553" s="55" t="s">
        <v>621</v>
      </c>
      <c r="O553" s="54">
        <v>201</v>
      </c>
      <c r="P553" s="54" t="s">
        <v>883</v>
      </c>
      <c r="Q553" s="60">
        <v>2</v>
      </c>
      <c r="R553" s="54" t="s">
        <v>868</v>
      </c>
      <c r="T553" s="55" t="str">
        <f t="shared" si="24"/>
        <v>{201,150},{2,3750}</v>
      </c>
      <c r="U553" s="55" t="s">
        <v>898</v>
      </c>
    </row>
    <row r="554" spans="1:21">
      <c r="A554" s="55">
        <v>50</v>
      </c>
      <c r="B554" s="55">
        <f t="shared" si="22"/>
        <v>1006</v>
      </c>
      <c r="C554" s="53" t="s">
        <v>57</v>
      </c>
      <c r="D554" s="54" t="s">
        <v>858</v>
      </c>
      <c r="E554" s="54" t="s">
        <v>1314</v>
      </c>
      <c r="F554" s="54" t="s">
        <v>873</v>
      </c>
      <c r="G554" s="77" t="s">
        <v>1886</v>
      </c>
      <c r="L554" s="55" t="str">
        <f t="shared" si="23"/>
        <v>{1},{3}</v>
      </c>
      <c r="M554" s="55" t="s">
        <v>622</v>
      </c>
      <c r="O554" s="54">
        <v>201</v>
      </c>
      <c r="P554" s="54" t="s">
        <v>883</v>
      </c>
      <c r="Q554" s="60">
        <v>2</v>
      </c>
      <c r="R554" s="54" t="s">
        <v>868</v>
      </c>
      <c r="T554" s="55" t="str">
        <f t="shared" si="24"/>
        <v>{201,150},{2,3750}</v>
      </c>
      <c r="U554" s="55" t="s">
        <v>898</v>
      </c>
    </row>
    <row r="555" spans="1:21">
      <c r="A555" s="55">
        <v>51</v>
      </c>
      <c r="B555" s="55">
        <f t="shared" si="22"/>
        <v>1006</v>
      </c>
      <c r="C555" s="53" t="s">
        <v>57</v>
      </c>
      <c r="D555" s="54" t="s">
        <v>858</v>
      </c>
      <c r="E555" s="54" t="s">
        <v>1315</v>
      </c>
      <c r="F555" s="54" t="s">
        <v>873</v>
      </c>
      <c r="G555" s="77" t="s">
        <v>1887</v>
      </c>
      <c r="L555" s="55" t="str">
        <f t="shared" si="23"/>
        <v>{1},{3}</v>
      </c>
      <c r="M555" s="55" t="s">
        <v>623</v>
      </c>
      <c r="O555" s="54">
        <v>201</v>
      </c>
      <c r="P555" s="54" t="s">
        <v>883</v>
      </c>
      <c r="Q555" s="60">
        <v>2</v>
      </c>
      <c r="R555" s="54" t="s">
        <v>868</v>
      </c>
      <c r="T555" s="55" t="str">
        <f t="shared" si="24"/>
        <v>{201,150},{2,3750}</v>
      </c>
      <c r="U555" s="55" t="s">
        <v>898</v>
      </c>
    </row>
    <row r="556" spans="1:21">
      <c r="A556" s="55">
        <v>52</v>
      </c>
      <c r="B556" s="55">
        <f t="shared" si="22"/>
        <v>1006</v>
      </c>
      <c r="C556" s="53" t="s">
        <v>57</v>
      </c>
      <c r="D556" s="54" t="s">
        <v>858</v>
      </c>
      <c r="E556" s="54" t="s">
        <v>1316</v>
      </c>
      <c r="F556" s="54" t="s">
        <v>873</v>
      </c>
      <c r="G556" s="77" t="s">
        <v>1888</v>
      </c>
      <c r="L556" s="55" t="str">
        <f t="shared" si="23"/>
        <v>{1},{3}</v>
      </c>
      <c r="M556" s="55" t="s">
        <v>624</v>
      </c>
      <c r="O556" s="54">
        <v>201</v>
      </c>
      <c r="P556" s="54" t="s">
        <v>883</v>
      </c>
      <c r="Q556" s="60">
        <v>2</v>
      </c>
      <c r="R556" s="54" t="s">
        <v>868</v>
      </c>
      <c r="T556" s="55" t="str">
        <f t="shared" si="24"/>
        <v>{201,150},{2,3750}</v>
      </c>
      <c r="U556" s="55" t="s">
        <v>898</v>
      </c>
    </row>
    <row r="557" spans="1:21">
      <c r="A557" s="55">
        <v>53</v>
      </c>
      <c r="B557" s="55">
        <f t="shared" si="22"/>
        <v>1006</v>
      </c>
      <c r="C557" s="53" t="s">
        <v>57</v>
      </c>
      <c r="D557" s="54" t="s">
        <v>858</v>
      </c>
      <c r="E557" s="54" t="s">
        <v>1317</v>
      </c>
      <c r="F557" s="54" t="s">
        <v>873</v>
      </c>
      <c r="G557" s="77" t="s">
        <v>1889</v>
      </c>
      <c r="L557" s="55" t="str">
        <f t="shared" si="23"/>
        <v>{1},{3}</v>
      </c>
      <c r="M557" s="55" t="s">
        <v>625</v>
      </c>
      <c r="O557" s="54">
        <v>201</v>
      </c>
      <c r="P557" s="54" t="s">
        <v>883</v>
      </c>
      <c r="Q557" s="60">
        <v>2</v>
      </c>
      <c r="R557" s="54" t="s">
        <v>868</v>
      </c>
      <c r="T557" s="55" t="str">
        <f t="shared" si="24"/>
        <v>{201,150},{2,3750}</v>
      </c>
      <c r="U557" s="55" t="s">
        <v>898</v>
      </c>
    </row>
    <row r="558" spans="1:21">
      <c r="A558" s="55">
        <v>54</v>
      </c>
      <c r="B558" s="55">
        <f t="shared" si="22"/>
        <v>1006</v>
      </c>
      <c r="C558" s="53" t="s">
        <v>57</v>
      </c>
      <c r="D558" s="54" t="s">
        <v>858</v>
      </c>
      <c r="E558" s="54" t="s">
        <v>1318</v>
      </c>
      <c r="F558" s="54" t="s">
        <v>873</v>
      </c>
      <c r="G558" s="77" t="s">
        <v>1890</v>
      </c>
      <c r="L558" s="55" t="str">
        <f t="shared" si="23"/>
        <v>{1},{3}</v>
      </c>
      <c r="M558" s="55" t="s">
        <v>626</v>
      </c>
      <c r="O558" s="54">
        <v>201</v>
      </c>
      <c r="P558" s="54" t="s">
        <v>883</v>
      </c>
      <c r="Q558" s="60">
        <v>2</v>
      </c>
      <c r="R558" s="54" t="s">
        <v>868</v>
      </c>
      <c r="T558" s="55" t="str">
        <f t="shared" si="24"/>
        <v>{201,150},{2,3750}</v>
      </c>
      <c r="U558" s="55" t="s">
        <v>898</v>
      </c>
    </row>
    <row r="559" spans="1:21">
      <c r="A559" s="55">
        <v>55</v>
      </c>
      <c r="B559" s="55">
        <f t="shared" si="22"/>
        <v>1006</v>
      </c>
      <c r="C559" s="53" t="s">
        <v>57</v>
      </c>
      <c r="D559" s="54" t="s">
        <v>858</v>
      </c>
      <c r="E559" s="54" t="s">
        <v>1319</v>
      </c>
      <c r="F559" s="54" t="s">
        <v>873</v>
      </c>
      <c r="G559" s="77" t="s">
        <v>1891</v>
      </c>
      <c r="L559" s="55" t="str">
        <f t="shared" si="23"/>
        <v>{1},{3}</v>
      </c>
      <c r="M559" s="55" t="s">
        <v>627</v>
      </c>
      <c r="O559" s="54">
        <v>201</v>
      </c>
      <c r="P559" s="54" t="s">
        <v>883</v>
      </c>
      <c r="Q559" s="60">
        <v>2</v>
      </c>
      <c r="R559" s="54" t="s">
        <v>868</v>
      </c>
      <c r="T559" s="55" t="str">
        <f t="shared" si="24"/>
        <v>{201,150},{2,3750}</v>
      </c>
      <c r="U559" s="55" t="s">
        <v>898</v>
      </c>
    </row>
    <row r="560" spans="1:21">
      <c r="A560" s="55">
        <v>56</v>
      </c>
      <c r="B560" s="55">
        <f t="shared" si="22"/>
        <v>1006</v>
      </c>
      <c r="C560" s="53" t="s">
        <v>57</v>
      </c>
      <c r="D560" s="54" t="s">
        <v>858</v>
      </c>
      <c r="E560" s="54" t="s">
        <v>1320</v>
      </c>
      <c r="F560" s="54" t="s">
        <v>873</v>
      </c>
      <c r="G560" s="77" t="s">
        <v>1892</v>
      </c>
      <c r="L560" s="55" t="str">
        <f t="shared" si="23"/>
        <v>{1},{3}</v>
      </c>
      <c r="M560" s="55" t="s">
        <v>628</v>
      </c>
      <c r="O560" s="54">
        <v>201</v>
      </c>
      <c r="P560" s="54" t="s">
        <v>883</v>
      </c>
      <c r="Q560" s="60">
        <v>2</v>
      </c>
      <c r="R560" s="54" t="s">
        <v>868</v>
      </c>
      <c r="T560" s="55" t="str">
        <f t="shared" si="24"/>
        <v>{201,150},{2,3750}</v>
      </c>
      <c r="U560" s="55" t="s">
        <v>898</v>
      </c>
    </row>
    <row r="561" spans="1:21">
      <c r="A561" s="55">
        <v>57</v>
      </c>
      <c r="B561" s="55">
        <f t="shared" si="22"/>
        <v>1006</v>
      </c>
      <c r="C561" s="53" t="s">
        <v>57</v>
      </c>
      <c r="D561" s="54" t="s">
        <v>858</v>
      </c>
      <c r="E561" s="54" t="s">
        <v>1321</v>
      </c>
      <c r="F561" s="54" t="s">
        <v>873</v>
      </c>
      <c r="G561" s="77" t="s">
        <v>1893</v>
      </c>
      <c r="L561" s="55" t="str">
        <f t="shared" si="23"/>
        <v>{1},{3}</v>
      </c>
      <c r="M561" s="55" t="s">
        <v>629</v>
      </c>
      <c r="O561" s="54">
        <v>201</v>
      </c>
      <c r="P561" s="54" t="s">
        <v>883</v>
      </c>
      <c r="Q561" s="60">
        <v>2</v>
      </c>
      <c r="R561" s="54" t="s">
        <v>868</v>
      </c>
      <c r="T561" s="55" t="str">
        <f t="shared" si="24"/>
        <v>{201,150},{2,3750}</v>
      </c>
      <c r="U561" s="55" t="s">
        <v>898</v>
      </c>
    </row>
    <row r="562" spans="1:21">
      <c r="A562" s="55">
        <v>58</v>
      </c>
      <c r="B562" s="55">
        <f t="shared" ref="B562:B625" si="25">B462+1</f>
        <v>1006</v>
      </c>
      <c r="C562" s="53" t="s">
        <v>57</v>
      </c>
      <c r="D562" s="54" t="s">
        <v>858</v>
      </c>
      <c r="E562" s="54" t="s">
        <v>1322</v>
      </c>
      <c r="F562" s="54" t="s">
        <v>873</v>
      </c>
      <c r="G562" s="77" t="s">
        <v>1894</v>
      </c>
      <c r="L562" s="55" t="str">
        <f t="shared" si="23"/>
        <v>{1},{3}</v>
      </c>
      <c r="M562" s="55" t="s">
        <v>630</v>
      </c>
      <c r="O562" s="54">
        <v>201</v>
      </c>
      <c r="P562" s="54" t="s">
        <v>883</v>
      </c>
      <c r="Q562" s="60">
        <v>2</v>
      </c>
      <c r="R562" s="54" t="s">
        <v>868</v>
      </c>
      <c r="T562" s="55" t="str">
        <f t="shared" si="24"/>
        <v>{201,150},{2,3750}</v>
      </c>
      <c r="U562" s="55" t="s">
        <v>898</v>
      </c>
    </row>
    <row r="563" spans="1:21">
      <c r="A563" s="55">
        <v>59</v>
      </c>
      <c r="B563" s="55">
        <f t="shared" si="25"/>
        <v>1006</v>
      </c>
      <c r="C563" s="53" t="s">
        <v>57</v>
      </c>
      <c r="D563" s="54" t="s">
        <v>858</v>
      </c>
      <c r="E563" s="54" t="s">
        <v>1323</v>
      </c>
      <c r="F563" s="54" t="s">
        <v>873</v>
      </c>
      <c r="G563" s="77" t="s">
        <v>1895</v>
      </c>
      <c r="L563" s="55" t="str">
        <f t="shared" si="23"/>
        <v>{1},{3}</v>
      </c>
      <c r="M563" s="55" t="s">
        <v>631</v>
      </c>
      <c r="O563" s="54">
        <v>201</v>
      </c>
      <c r="P563" s="54" t="s">
        <v>883</v>
      </c>
      <c r="Q563" s="60">
        <v>2</v>
      </c>
      <c r="R563" s="54" t="s">
        <v>868</v>
      </c>
      <c r="T563" s="55" t="str">
        <f t="shared" si="24"/>
        <v>{201,150},{2,3750}</v>
      </c>
      <c r="U563" s="55" t="s">
        <v>898</v>
      </c>
    </row>
    <row r="564" spans="1:21" s="63" customFormat="1">
      <c r="A564" s="63">
        <v>60</v>
      </c>
      <c r="B564" s="63">
        <f t="shared" si="25"/>
        <v>1006</v>
      </c>
      <c r="C564" s="61" t="s">
        <v>58</v>
      </c>
      <c r="D564" s="62" t="s">
        <v>858</v>
      </c>
      <c r="E564" s="62" t="s">
        <v>1324</v>
      </c>
      <c r="F564" s="62" t="s">
        <v>873</v>
      </c>
      <c r="G564" s="78" t="s">
        <v>1896</v>
      </c>
      <c r="H564" s="78"/>
      <c r="I564" s="78"/>
      <c r="J564" s="78"/>
      <c r="L564" s="63" t="str">
        <f t="shared" si="23"/>
        <v>{1},{3}</v>
      </c>
      <c r="M564" s="63" t="s">
        <v>632</v>
      </c>
      <c r="O564" s="62" t="s">
        <v>886</v>
      </c>
      <c r="P564" s="62" t="s">
        <v>883</v>
      </c>
      <c r="Q564" s="64">
        <v>2</v>
      </c>
      <c r="R564" s="62" t="s">
        <v>869</v>
      </c>
      <c r="T564" s="55" t="str">
        <f t="shared" si="24"/>
        <v>{301,150},{2,4500}</v>
      </c>
      <c r="U564" s="63" t="s">
        <v>899</v>
      </c>
    </row>
    <row r="565" spans="1:21">
      <c r="A565" s="55">
        <v>61</v>
      </c>
      <c r="B565" s="55">
        <f t="shared" si="25"/>
        <v>1006</v>
      </c>
      <c r="C565" s="53" t="s">
        <v>59</v>
      </c>
      <c r="D565" s="54" t="s">
        <v>858</v>
      </c>
      <c r="E565" s="54" t="s">
        <v>1325</v>
      </c>
      <c r="F565" s="54" t="s">
        <v>873</v>
      </c>
      <c r="G565" s="77" t="s">
        <v>1897</v>
      </c>
      <c r="L565" s="55" t="str">
        <f t="shared" si="23"/>
        <v>{1},{3}</v>
      </c>
      <c r="M565" s="55" t="s">
        <v>633</v>
      </c>
      <c r="O565" s="54">
        <v>201</v>
      </c>
      <c r="P565" s="54" t="s">
        <v>884</v>
      </c>
      <c r="Q565" s="60">
        <v>2</v>
      </c>
      <c r="R565" s="54" t="s">
        <v>870</v>
      </c>
      <c r="T565" s="55" t="str">
        <f t="shared" si="24"/>
        <v>{201,300},{2,9000}</v>
      </c>
      <c r="U565" s="55" t="s">
        <v>900</v>
      </c>
    </row>
    <row r="566" spans="1:21">
      <c r="A566" s="55">
        <v>62</v>
      </c>
      <c r="B566" s="55">
        <f t="shared" si="25"/>
        <v>1006</v>
      </c>
      <c r="C566" s="53" t="s">
        <v>59</v>
      </c>
      <c r="D566" s="54" t="s">
        <v>858</v>
      </c>
      <c r="E566" s="54" t="s">
        <v>1326</v>
      </c>
      <c r="F566" s="54" t="s">
        <v>873</v>
      </c>
      <c r="G566" s="77" t="s">
        <v>1898</v>
      </c>
      <c r="L566" s="55" t="str">
        <f t="shared" si="23"/>
        <v>{1},{3}</v>
      </c>
      <c r="M566" s="55" t="s">
        <v>634</v>
      </c>
      <c r="O566" s="54">
        <v>201</v>
      </c>
      <c r="P566" s="54" t="s">
        <v>884</v>
      </c>
      <c r="Q566" s="60">
        <v>2</v>
      </c>
      <c r="R566" s="54" t="s">
        <v>870</v>
      </c>
      <c r="T566" s="55" t="str">
        <f t="shared" si="24"/>
        <v>{201,300},{2,9000}</v>
      </c>
      <c r="U566" s="55" t="s">
        <v>900</v>
      </c>
    </row>
    <row r="567" spans="1:21">
      <c r="A567" s="55">
        <v>63</v>
      </c>
      <c r="B567" s="55">
        <f t="shared" si="25"/>
        <v>1006</v>
      </c>
      <c r="C567" s="53" t="s">
        <v>59</v>
      </c>
      <c r="D567" s="54" t="s">
        <v>858</v>
      </c>
      <c r="E567" s="54" t="s">
        <v>1327</v>
      </c>
      <c r="F567" s="54" t="s">
        <v>873</v>
      </c>
      <c r="G567" s="77" t="s">
        <v>1899</v>
      </c>
      <c r="L567" s="55" t="str">
        <f t="shared" si="23"/>
        <v>{1},{3}</v>
      </c>
      <c r="M567" s="55" t="s">
        <v>635</v>
      </c>
      <c r="O567" s="54">
        <v>201</v>
      </c>
      <c r="P567" s="54" t="s">
        <v>884</v>
      </c>
      <c r="Q567" s="60">
        <v>2</v>
      </c>
      <c r="R567" s="54" t="s">
        <v>870</v>
      </c>
      <c r="T567" s="55" t="str">
        <f t="shared" si="24"/>
        <v>{201,300},{2,9000}</v>
      </c>
      <c r="U567" s="55" t="s">
        <v>900</v>
      </c>
    </row>
    <row r="568" spans="1:21">
      <c r="A568" s="55">
        <v>64</v>
      </c>
      <c r="B568" s="55">
        <f t="shared" si="25"/>
        <v>1006</v>
      </c>
      <c r="C568" s="53" t="s">
        <v>59</v>
      </c>
      <c r="D568" s="54" t="s">
        <v>858</v>
      </c>
      <c r="E568" s="54" t="s">
        <v>1328</v>
      </c>
      <c r="F568" s="54" t="s">
        <v>873</v>
      </c>
      <c r="G568" s="77" t="s">
        <v>1900</v>
      </c>
      <c r="L568" s="55" t="str">
        <f t="shared" si="23"/>
        <v>{1},{3}</v>
      </c>
      <c r="M568" s="55" t="s">
        <v>636</v>
      </c>
      <c r="O568" s="54">
        <v>201</v>
      </c>
      <c r="P568" s="54" t="s">
        <v>884</v>
      </c>
      <c r="Q568" s="60">
        <v>2</v>
      </c>
      <c r="R568" s="54" t="s">
        <v>870</v>
      </c>
      <c r="T568" s="55" t="str">
        <f t="shared" si="24"/>
        <v>{201,300},{2,9000}</v>
      </c>
      <c r="U568" s="55" t="s">
        <v>900</v>
      </c>
    </row>
    <row r="569" spans="1:21">
      <c r="A569" s="55">
        <v>65</v>
      </c>
      <c r="B569" s="55">
        <f t="shared" si="25"/>
        <v>1006</v>
      </c>
      <c r="C569" s="53" t="s">
        <v>59</v>
      </c>
      <c r="D569" s="54" t="s">
        <v>858</v>
      </c>
      <c r="E569" s="54" t="s">
        <v>1329</v>
      </c>
      <c r="F569" s="54" t="s">
        <v>873</v>
      </c>
      <c r="G569" s="77" t="s">
        <v>1901</v>
      </c>
      <c r="L569" s="55" t="str">
        <f t="shared" si="23"/>
        <v>{1},{3}</v>
      </c>
      <c r="M569" s="55" t="s">
        <v>637</v>
      </c>
      <c r="O569" s="54">
        <v>201</v>
      </c>
      <c r="P569" s="54" t="s">
        <v>884</v>
      </c>
      <c r="Q569" s="60">
        <v>2</v>
      </c>
      <c r="R569" s="54" t="s">
        <v>870</v>
      </c>
      <c r="T569" s="55" t="str">
        <f t="shared" si="24"/>
        <v>{201,300},{2,9000}</v>
      </c>
      <c r="U569" s="55" t="s">
        <v>900</v>
      </c>
    </row>
    <row r="570" spans="1:21">
      <c r="A570" s="55">
        <v>66</v>
      </c>
      <c r="B570" s="55">
        <f t="shared" si="25"/>
        <v>1006</v>
      </c>
      <c r="C570" s="53" t="s">
        <v>59</v>
      </c>
      <c r="D570" s="54" t="s">
        <v>858</v>
      </c>
      <c r="E570" s="54" t="s">
        <v>1330</v>
      </c>
      <c r="F570" s="54" t="s">
        <v>873</v>
      </c>
      <c r="G570" s="77" t="s">
        <v>1902</v>
      </c>
      <c r="L570" s="55" t="str">
        <f t="shared" si="23"/>
        <v>{1},{3}</v>
      </c>
      <c r="M570" s="55" t="s">
        <v>638</v>
      </c>
      <c r="O570" s="54">
        <v>201</v>
      </c>
      <c r="P570" s="54" t="s">
        <v>884</v>
      </c>
      <c r="Q570" s="60">
        <v>2</v>
      </c>
      <c r="R570" s="54" t="s">
        <v>870</v>
      </c>
      <c r="T570" s="55" t="str">
        <f t="shared" si="24"/>
        <v>{201,300},{2,9000}</v>
      </c>
      <c r="U570" s="55" t="s">
        <v>900</v>
      </c>
    </row>
    <row r="571" spans="1:21">
      <c r="A571" s="55">
        <v>67</v>
      </c>
      <c r="B571" s="55">
        <f t="shared" si="25"/>
        <v>1006</v>
      </c>
      <c r="C571" s="53" t="s">
        <v>59</v>
      </c>
      <c r="D571" s="54" t="s">
        <v>858</v>
      </c>
      <c r="E571" s="54" t="s">
        <v>1331</v>
      </c>
      <c r="F571" s="54" t="s">
        <v>873</v>
      </c>
      <c r="G571" s="77" t="s">
        <v>1903</v>
      </c>
      <c r="L571" s="55" t="str">
        <f t="shared" si="23"/>
        <v>{1},{3}</v>
      </c>
      <c r="M571" s="55" t="s">
        <v>639</v>
      </c>
      <c r="O571" s="54">
        <v>201</v>
      </c>
      <c r="P571" s="54" t="s">
        <v>884</v>
      </c>
      <c r="Q571" s="60">
        <v>2</v>
      </c>
      <c r="R571" s="54" t="s">
        <v>870</v>
      </c>
      <c r="T571" s="55" t="str">
        <f t="shared" si="24"/>
        <v>{201,300},{2,9000}</v>
      </c>
      <c r="U571" s="55" t="s">
        <v>900</v>
      </c>
    </row>
    <row r="572" spans="1:21">
      <c r="A572" s="55">
        <v>68</v>
      </c>
      <c r="B572" s="55">
        <f t="shared" si="25"/>
        <v>1006</v>
      </c>
      <c r="C572" s="53" t="s">
        <v>59</v>
      </c>
      <c r="D572" s="54" t="s">
        <v>858</v>
      </c>
      <c r="E572" s="54" t="s">
        <v>1332</v>
      </c>
      <c r="F572" s="54" t="s">
        <v>873</v>
      </c>
      <c r="G572" s="77" t="s">
        <v>1904</v>
      </c>
      <c r="L572" s="55" t="str">
        <f t="shared" si="23"/>
        <v>{1},{3}</v>
      </c>
      <c r="M572" s="55" t="s">
        <v>640</v>
      </c>
      <c r="O572" s="54">
        <v>201</v>
      </c>
      <c r="P572" s="54" t="s">
        <v>884</v>
      </c>
      <c r="Q572" s="60">
        <v>2</v>
      </c>
      <c r="R572" s="54" t="s">
        <v>870</v>
      </c>
      <c r="T572" s="55" t="str">
        <f t="shared" si="24"/>
        <v>{201,300},{2,9000}</v>
      </c>
      <c r="U572" s="55" t="s">
        <v>900</v>
      </c>
    </row>
    <row r="573" spans="1:21">
      <c r="A573" s="55">
        <v>69</v>
      </c>
      <c r="B573" s="55">
        <f t="shared" si="25"/>
        <v>1006</v>
      </c>
      <c r="C573" s="53" t="s">
        <v>59</v>
      </c>
      <c r="D573" s="54" t="s">
        <v>858</v>
      </c>
      <c r="E573" s="54" t="s">
        <v>1333</v>
      </c>
      <c r="F573" s="54" t="s">
        <v>873</v>
      </c>
      <c r="G573" s="77" t="s">
        <v>1905</v>
      </c>
      <c r="L573" s="55" t="str">
        <f t="shared" si="23"/>
        <v>{1},{3}</v>
      </c>
      <c r="M573" s="55" t="s">
        <v>641</v>
      </c>
      <c r="O573" s="54">
        <v>201</v>
      </c>
      <c r="P573" s="54" t="s">
        <v>884</v>
      </c>
      <c r="Q573" s="60">
        <v>2</v>
      </c>
      <c r="R573" s="54" t="s">
        <v>870</v>
      </c>
      <c r="T573" s="55" t="str">
        <f t="shared" si="24"/>
        <v>{201,300},{2,9000}</v>
      </c>
      <c r="U573" s="55" t="s">
        <v>900</v>
      </c>
    </row>
    <row r="574" spans="1:21">
      <c r="A574" s="55">
        <v>70</v>
      </c>
      <c r="B574" s="55">
        <f t="shared" si="25"/>
        <v>1006</v>
      </c>
      <c r="C574" s="53" t="s">
        <v>59</v>
      </c>
      <c r="D574" s="54" t="s">
        <v>858</v>
      </c>
      <c r="E574" s="54" t="s">
        <v>1334</v>
      </c>
      <c r="F574" s="54" t="s">
        <v>873</v>
      </c>
      <c r="G574" s="77" t="s">
        <v>1906</v>
      </c>
      <c r="L574" s="55" t="str">
        <f t="shared" si="23"/>
        <v>{1},{3}</v>
      </c>
      <c r="M574" s="55" t="s">
        <v>642</v>
      </c>
      <c r="O574" s="54">
        <v>201</v>
      </c>
      <c r="P574" s="54" t="s">
        <v>884</v>
      </c>
      <c r="Q574" s="60">
        <v>2</v>
      </c>
      <c r="R574" s="54" t="s">
        <v>870</v>
      </c>
      <c r="T574" s="55" t="str">
        <f t="shared" si="24"/>
        <v>{201,300},{2,9000}</v>
      </c>
      <c r="U574" s="55" t="s">
        <v>900</v>
      </c>
    </row>
    <row r="575" spans="1:21">
      <c r="A575" s="55">
        <v>71</v>
      </c>
      <c r="B575" s="55">
        <f t="shared" si="25"/>
        <v>1006</v>
      </c>
      <c r="C575" s="53" t="s">
        <v>59</v>
      </c>
      <c r="D575" s="54" t="s">
        <v>858</v>
      </c>
      <c r="E575" s="54" t="s">
        <v>1335</v>
      </c>
      <c r="F575" s="54" t="s">
        <v>873</v>
      </c>
      <c r="G575" s="77" t="s">
        <v>1907</v>
      </c>
      <c r="L575" s="55" t="str">
        <f t="shared" si="23"/>
        <v>{1},{3}</v>
      </c>
      <c r="M575" s="55" t="s">
        <v>643</v>
      </c>
      <c r="O575" s="54">
        <v>201</v>
      </c>
      <c r="P575" s="54" t="s">
        <v>884</v>
      </c>
      <c r="Q575" s="60">
        <v>2</v>
      </c>
      <c r="R575" s="54" t="s">
        <v>870</v>
      </c>
      <c r="T575" s="55" t="str">
        <f t="shared" si="24"/>
        <v>{201,300},{2,9000}</v>
      </c>
      <c r="U575" s="55" t="s">
        <v>900</v>
      </c>
    </row>
    <row r="576" spans="1:21">
      <c r="A576" s="55">
        <v>72</v>
      </c>
      <c r="B576" s="55">
        <f t="shared" si="25"/>
        <v>1006</v>
      </c>
      <c r="C576" s="53" t="s">
        <v>59</v>
      </c>
      <c r="D576" s="54" t="s">
        <v>858</v>
      </c>
      <c r="E576" s="54" t="s">
        <v>1336</v>
      </c>
      <c r="F576" s="54" t="s">
        <v>873</v>
      </c>
      <c r="G576" s="77" t="s">
        <v>1908</v>
      </c>
      <c r="L576" s="55" t="str">
        <f t="shared" si="23"/>
        <v>{1},{3}</v>
      </c>
      <c r="M576" s="55" t="s">
        <v>644</v>
      </c>
      <c r="O576" s="54">
        <v>201</v>
      </c>
      <c r="P576" s="54" t="s">
        <v>884</v>
      </c>
      <c r="Q576" s="60">
        <v>2</v>
      </c>
      <c r="R576" s="54" t="s">
        <v>870</v>
      </c>
      <c r="T576" s="55" t="str">
        <f t="shared" si="24"/>
        <v>{201,300},{2,9000}</v>
      </c>
      <c r="U576" s="55" t="s">
        <v>900</v>
      </c>
    </row>
    <row r="577" spans="1:21">
      <c r="A577" s="55">
        <v>73</v>
      </c>
      <c r="B577" s="55">
        <f t="shared" si="25"/>
        <v>1006</v>
      </c>
      <c r="C577" s="53" t="s">
        <v>59</v>
      </c>
      <c r="D577" s="54" t="s">
        <v>858</v>
      </c>
      <c r="E577" s="54" t="s">
        <v>1337</v>
      </c>
      <c r="F577" s="54" t="s">
        <v>873</v>
      </c>
      <c r="G577" s="77" t="s">
        <v>1909</v>
      </c>
      <c r="L577" s="55" t="str">
        <f t="shared" si="23"/>
        <v>{1},{3}</v>
      </c>
      <c r="M577" s="55" t="s">
        <v>645</v>
      </c>
      <c r="O577" s="54">
        <v>201</v>
      </c>
      <c r="P577" s="54" t="s">
        <v>884</v>
      </c>
      <c r="Q577" s="60">
        <v>2</v>
      </c>
      <c r="R577" s="54" t="s">
        <v>870</v>
      </c>
      <c r="T577" s="55" t="str">
        <f t="shared" si="24"/>
        <v>{201,300},{2,9000}</v>
      </c>
      <c r="U577" s="55" t="s">
        <v>900</v>
      </c>
    </row>
    <row r="578" spans="1:21">
      <c r="A578" s="55">
        <v>74</v>
      </c>
      <c r="B578" s="55">
        <f t="shared" si="25"/>
        <v>1006</v>
      </c>
      <c r="C578" s="53" t="s">
        <v>59</v>
      </c>
      <c r="D578" s="54" t="s">
        <v>858</v>
      </c>
      <c r="E578" s="54" t="s">
        <v>1338</v>
      </c>
      <c r="F578" s="54" t="s">
        <v>873</v>
      </c>
      <c r="G578" s="77" t="s">
        <v>1910</v>
      </c>
      <c r="L578" s="55" t="str">
        <f t="shared" si="23"/>
        <v>{1},{3}</v>
      </c>
      <c r="M578" s="55" t="s">
        <v>646</v>
      </c>
      <c r="O578" s="54">
        <v>201</v>
      </c>
      <c r="P578" s="54" t="s">
        <v>884</v>
      </c>
      <c r="Q578" s="60">
        <v>2</v>
      </c>
      <c r="R578" s="54" t="s">
        <v>870</v>
      </c>
      <c r="T578" s="55" t="str">
        <f t="shared" si="24"/>
        <v>{201,300},{2,9000}</v>
      </c>
      <c r="U578" s="55" t="s">
        <v>900</v>
      </c>
    </row>
    <row r="579" spans="1:21">
      <c r="A579" s="55">
        <v>75</v>
      </c>
      <c r="B579" s="55">
        <f t="shared" si="25"/>
        <v>1006</v>
      </c>
      <c r="C579" s="53" t="s">
        <v>59</v>
      </c>
      <c r="D579" s="54" t="s">
        <v>858</v>
      </c>
      <c r="E579" s="54" t="s">
        <v>1339</v>
      </c>
      <c r="F579" s="54" t="s">
        <v>873</v>
      </c>
      <c r="G579" s="77" t="s">
        <v>1911</v>
      </c>
      <c r="L579" s="55" t="str">
        <f t="shared" si="23"/>
        <v>{1},{3}</v>
      </c>
      <c r="M579" s="55" t="s">
        <v>647</v>
      </c>
      <c r="O579" s="54">
        <v>201</v>
      </c>
      <c r="P579" s="54" t="s">
        <v>884</v>
      </c>
      <c r="Q579" s="60">
        <v>2</v>
      </c>
      <c r="R579" s="54" t="s">
        <v>870</v>
      </c>
      <c r="T579" s="55" t="str">
        <f t="shared" si="24"/>
        <v>{201,300},{2,9000}</v>
      </c>
      <c r="U579" s="55" t="s">
        <v>900</v>
      </c>
    </row>
    <row r="580" spans="1:21">
      <c r="A580" s="55">
        <v>76</v>
      </c>
      <c r="B580" s="55">
        <f t="shared" si="25"/>
        <v>1006</v>
      </c>
      <c r="C580" s="53" t="s">
        <v>59</v>
      </c>
      <c r="D580" s="54" t="s">
        <v>858</v>
      </c>
      <c r="E580" s="54" t="s">
        <v>1340</v>
      </c>
      <c r="F580" s="54" t="s">
        <v>873</v>
      </c>
      <c r="G580" s="77" t="s">
        <v>1912</v>
      </c>
      <c r="L580" s="55" t="str">
        <f t="shared" si="23"/>
        <v>{1},{3}</v>
      </c>
      <c r="M580" s="55" t="s">
        <v>648</v>
      </c>
      <c r="O580" s="54">
        <v>201</v>
      </c>
      <c r="P580" s="54" t="s">
        <v>884</v>
      </c>
      <c r="Q580" s="60">
        <v>2</v>
      </c>
      <c r="R580" s="54" t="s">
        <v>870</v>
      </c>
      <c r="T580" s="55" t="str">
        <f t="shared" si="24"/>
        <v>{201,300},{2,9000}</v>
      </c>
      <c r="U580" s="55" t="s">
        <v>900</v>
      </c>
    </row>
    <row r="581" spans="1:21">
      <c r="A581" s="55">
        <v>77</v>
      </c>
      <c r="B581" s="55">
        <f t="shared" si="25"/>
        <v>1006</v>
      </c>
      <c r="C581" s="53" t="s">
        <v>59</v>
      </c>
      <c r="D581" s="54" t="s">
        <v>858</v>
      </c>
      <c r="E581" s="54" t="s">
        <v>1341</v>
      </c>
      <c r="F581" s="54" t="s">
        <v>873</v>
      </c>
      <c r="G581" s="77" t="s">
        <v>1913</v>
      </c>
      <c r="L581" s="55" t="str">
        <f t="shared" si="23"/>
        <v>{1},{3}</v>
      </c>
      <c r="M581" s="55" t="s">
        <v>649</v>
      </c>
      <c r="O581" s="54">
        <v>201</v>
      </c>
      <c r="P581" s="54" t="s">
        <v>884</v>
      </c>
      <c r="Q581" s="60">
        <v>2</v>
      </c>
      <c r="R581" s="54" t="s">
        <v>870</v>
      </c>
      <c r="T581" s="55" t="str">
        <f t="shared" si="24"/>
        <v>{201,300},{2,9000}</v>
      </c>
      <c r="U581" s="55" t="s">
        <v>900</v>
      </c>
    </row>
    <row r="582" spans="1:21">
      <c r="A582" s="55">
        <v>78</v>
      </c>
      <c r="B582" s="55">
        <f t="shared" si="25"/>
        <v>1006</v>
      </c>
      <c r="C582" s="53" t="s">
        <v>59</v>
      </c>
      <c r="D582" s="54" t="s">
        <v>858</v>
      </c>
      <c r="E582" s="54" t="s">
        <v>1342</v>
      </c>
      <c r="F582" s="54" t="s">
        <v>873</v>
      </c>
      <c r="G582" s="77" t="s">
        <v>1914</v>
      </c>
      <c r="L582" s="55" t="str">
        <f t="shared" ref="L582:L645" si="26">"{"&amp;D582&amp;"}"&amp;","&amp;"{"&amp;F582&amp;"}"</f>
        <v>{1},{3}</v>
      </c>
      <c r="M582" s="55" t="s">
        <v>650</v>
      </c>
      <c r="O582" s="54">
        <v>201</v>
      </c>
      <c r="P582" s="54" t="s">
        <v>884</v>
      </c>
      <c r="Q582" s="60">
        <v>2</v>
      </c>
      <c r="R582" s="54" t="s">
        <v>870</v>
      </c>
      <c r="T582" s="55" t="str">
        <f t="shared" ref="T582:T645" si="27">"{"&amp;O582&amp;","&amp;P582&amp;"}"&amp;","&amp;"{"&amp;Q582&amp;","&amp;R582&amp;"}"</f>
        <v>{201,300},{2,9000}</v>
      </c>
      <c r="U582" s="55" t="s">
        <v>900</v>
      </c>
    </row>
    <row r="583" spans="1:21">
      <c r="A583" s="55">
        <v>79</v>
      </c>
      <c r="B583" s="55">
        <f t="shared" si="25"/>
        <v>1006</v>
      </c>
      <c r="C583" s="53" t="s">
        <v>59</v>
      </c>
      <c r="D583" s="54" t="s">
        <v>858</v>
      </c>
      <c r="E583" s="54" t="s">
        <v>1343</v>
      </c>
      <c r="F583" s="54" t="s">
        <v>873</v>
      </c>
      <c r="G583" s="77" t="s">
        <v>1915</v>
      </c>
      <c r="L583" s="55" t="str">
        <f t="shared" si="26"/>
        <v>{1},{3}</v>
      </c>
      <c r="M583" s="55" t="s">
        <v>651</v>
      </c>
      <c r="O583" s="54">
        <v>201</v>
      </c>
      <c r="P583" s="54" t="s">
        <v>884</v>
      </c>
      <c r="Q583" s="60">
        <v>2</v>
      </c>
      <c r="R583" s="54" t="s">
        <v>870</v>
      </c>
      <c r="T583" s="55" t="str">
        <f t="shared" si="27"/>
        <v>{201,300},{2,9000}</v>
      </c>
      <c r="U583" s="55" t="s">
        <v>900</v>
      </c>
    </row>
    <row r="584" spans="1:21" s="63" customFormat="1">
      <c r="A584" s="63">
        <v>80</v>
      </c>
      <c r="B584" s="63">
        <f t="shared" si="25"/>
        <v>1006</v>
      </c>
      <c r="C584" s="61" t="s">
        <v>60</v>
      </c>
      <c r="D584" s="62" t="s">
        <v>858</v>
      </c>
      <c r="E584" s="62" t="s">
        <v>1344</v>
      </c>
      <c r="F584" s="62" t="s">
        <v>873</v>
      </c>
      <c r="G584" s="78" t="s">
        <v>1916</v>
      </c>
      <c r="H584" s="78"/>
      <c r="I584" s="78"/>
      <c r="J584" s="78"/>
      <c r="L584" s="63" t="str">
        <f t="shared" si="26"/>
        <v>{1},{3}</v>
      </c>
      <c r="M584" s="63" t="s">
        <v>652</v>
      </c>
      <c r="O584" s="62" t="s">
        <v>886</v>
      </c>
      <c r="P584" s="62" t="s">
        <v>884</v>
      </c>
      <c r="Q584" s="64">
        <v>2</v>
      </c>
      <c r="R584" s="62" t="s">
        <v>871</v>
      </c>
      <c r="T584" s="55" t="str">
        <f t="shared" si="27"/>
        <v>{301,300},{2,10500}</v>
      </c>
      <c r="U584" s="63" t="s">
        <v>901</v>
      </c>
    </row>
    <row r="585" spans="1:21">
      <c r="A585" s="55">
        <v>81</v>
      </c>
      <c r="B585" s="55">
        <f t="shared" si="25"/>
        <v>1006</v>
      </c>
      <c r="C585" s="53" t="s">
        <v>61</v>
      </c>
      <c r="D585" s="54" t="s">
        <v>858</v>
      </c>
      <c r="E585" s="54" t="s">
        <v>1345</v>
      </c>
      <c r="F585" s="54" t="s">
        <v>873</v>
      </c>
      <c r="G585" s="77" t="s">
        <v>1917</v>
      </c>
      <c r="L585" s="55" t="str">
        <f t="shared" si="26"/>
        <v>{1},{3}</v>
      </c>
      <c r="M585" s="55" t="s">
        <v>653</v>
      </c>
      <c r="O585" s="54">
        <v>201</v>
      </c>
      <c r="P585" s="54" t="s">
        <v>885</v>
      </c>
      <c r="Q585" s="60">
        <v>2</v>
      </c>
      <c r="R585" s="54" t="s">
        <v>872</v>
      </c>
      <c r="T585" s="55" t="str">
        <f t="shared" si="27"/>
        <v>{201,450},{2,15750}</v>
      </c>
      <c r="U585" s="55" t="s">
        <v>902</v>
      </c>
    </row>
    <row r="586" spans="1:21">
      <c r="A586" s="55">
        <v>82</v>
      </c>
      <c r="B586" s="55">
        <f t="shared" si="25"/>
        <v>1006</v>
      </c>
      <c r="C586" s="53" t="s">
        <v>61</v>
      </c>
      <c r="D586" s="54" t="s">
        <v>858</v>
      </c>
      <c r="E586" s="54" t="s">
        <v>1346</v>
      </c>
      <c r="F586" s="54" t="s">
        <v>873</v>
      </c>
      <c r="G586" s="77" t="s">
        <v>1918</v>
      </c>
      <c r="L586" s="55" t="str">
        <f t="shared" si="26"/>
        <v>{1},{3}</v>
      </c>
      <c r="M586" s="55" t="s">
        <v>654</v>
      </c>
      <c r="O586" s="54">
        <v>201</v>
      </c>
      <c r="P586" s="54" t="s">
        <v>885</v>
      </c>
      <c r="Q586" s="60">
        <v>2</v>
      </c>
      <c r="R586" s="54" t="s">
        <v>872</v>
      </c>
      <c r="T586" s="55" t="str">
        <f t="shared" si="27"/>
        <v>{201,450},{2,15750}</v>
      </c>
      <c r="U586" s="55" t="s">
        <v>902</v>
      </c>
    </row>
    <row r="587" spans="1:21">
      <c r="A587" s="55">
        <v>83</v>
      </c>
      <c r="B587" s="55">
        <f t="shared" si="25"/>
        <v>1006</v>
      </c>
      <c r="C587" s="53" t="s">
        <v>61</v>
      </c>
      <c r="D587" s="54" t="s">
        <v>858</v>
      </c>
      <c r="E587" s="54" t="s">
        <v>1347</v>
      </c>
      <c r="F587" s="54" t="s">
        <v>873</v>
      </c>
      <c r="G587" s="77" t="s">
        <v>1919</v>
      </c>
      <c r="L587" s="55" t="str">
        <f t="shared" si="26"/>
        <v>{1},{3}</v>
      </c>
      <c r="M587" s="55" t="s">
        <v>655</v>
      </c>
      <c r="O587" s="54">
        <v>201</v>
      </c>
      <c r="P587" s="54" t="s">
        <v>885</v>
      </c>
      <c r="Q587" s="60">
        <v>2</v>
      </c>
      <c r="R587" s="54" t="s">
        <v>872</v>
      </c>
      <c r="T587" s="55" t="str">
        <f t="shared" si="27"/>
        <v>{201,450},{2,15750}</v>
      </c>
      <c r="U587" s="55" t="s">
        <v>902</v>
      </c>
    </row>
    <row r="588" spans="1:21">
      <c r="A588" s="55">
        <v>84</v>
      </c>
      <c r="B588" s="55">
        <f t="shared" si="25"/>
        <v>1006</v>
      </c>
      <c r="C588" s="53" t="s">
        <v>61</v>
      </c>
      <c r="D588" s="54" t="s">
        <v>858</v>
      </c>
      <c r="E588" s="54" t="s">
        <v>1348</v>
      </c>
      <c r="F588" s="54" t="s">
        <v>873</v>
      </c>
      <c r="G588" s="77" t="s">
        <v>1920</v>
      </c>
      <c r="L588" s="55" t="str">
        <f t="shared" si="26"/>
        <v>{1},{3}</v>
      </c>
      <c r="M588" s="55" t="s">
        <v>656</v>
      </c>
      <c r="O588" s="54">
        <v>201</v>
      </c>
      <c r="P588" s="54" t="s">
        <v>885</v>
      </c>
      <c r="Q588" s="60">
        <v>2</v>
      </c>
      <c r="R588" s="54" t="s">
        <v>872</v>
      </c>
      <c r="T588" s="55" t="str">
        <f t="shared" si="27"/>
        <v>{201,450},{2,15750}</v>
      </c>
      <c r="U588" s="55" t="s">
        <v>902</v>
      </c>
    </row>
    <row r="589" spans="1:21">
      <c r="A589" s="55">
        <v>85</v>
      </c>
      <c r="B589" s="55">
        <f t="shared" si="25"/>
        <v>1006</v>
      </c>
      <c r="C589" s="53" t="s">
        <v>61</v>
      </c>
      <c r="D589" s="54" t="s">
        <v>858</v>
      </c>
      <c r="E589" s="54" t="s">
        <v>1349</v>
      </c>
      <c r="F589" s="54" t="s">
        <v>873</v>
      </c>
      <c r="G589" s="77" t="s">
        <v>1921</v>
      </c>
      <c r="L589" s="55" t="str">
        <f t="shared" si="26"/>
        <v>{1},{3}</v>
      </c>
      <c r="M589" s="55" t="s">
        <v>657</v>
      </c>
      <c r="O589" s="54">
        <v>201</v>
      </c>
      <c r="P589" s="54" t="s">
        <v>885</v>
      </c>
      <c r="Q589" s="60">
        <v>2</v>
      </c>
      <c r="R589" s="54" t="s">
        <v>872</v>
      </c>
      <c r="T589" s="55" t="str">
        <f t="shared" si="27"/>
        <v>{201,450},{2,15750}</v>
      </c>
      <c r="U589" s="55" t="s">
        <v>902</v>
      </c>
    </row>
    <row r="590" spans="1:21">
      <c r="A590" s="55">
        <v>86</v>
      </c>
      <c r="B590" s="55">
        <f t="shared" si="25"/>
        <v>1006</v>
      </c>
      <c r="C590" s="53" t="s">
        <v>61</v>
      </c>
      <c r="D590" s="54" t="s">
        <v>858</v>
      </c>
      <c r="E590" s="54" t="s">
        <v>1350</v>
      </c>
      <c r="F590" s="54" t="s">
        <v>873</v>
      </c>
      <c r="G590" s="77" t="s">
        <v>1922</v>
      </c>
      <c r="L590" s="55" t="str">
        <f t="shared" si="26"/>
        <v>{1},{3}</v>
      </c>
      <c r="M590" s="55" t="s">
        <v>658</v>
      </c>
      <c r="O590" s="54">
        <v>201</v>
      </c>
      <c r="P590" s="54" t="s">
        <v>885</v>
      </c>
      <c r="Q590" s="60">
        <v>2</v>
      </c>
      <c r="R590" s="54" t="s">
        <v>872</v>
      </c>
      <c r="T590" s="55" t="str">
        <f t="shared" si="27"/>
        <v>{201,450},{2,15750}</v>
      </c>
      <c r="U590" s="55" t="s">
        <v>902</v>
      </c>
    </row>
    <row r="591" spans="1:21">
      <c r="A591" s="55">
        <v>87</v>
      </c>
      <c r="B591" s="55">
        <f t="shared" si="25"/>
        <v>1006</v>
      </c>
      <c r="C591" s="53" t="s">
        <v>61</v>
      </c>
      <c r="D591" s="54" t="s">
        <v>858</v>
      </c>
      <c r="E591" s="54" t="s">
        <v>1351</v>
      </c>
      <c r="F591" s="54" t="s">
        <v>873</v>
      </c>
      <c r="G591" s="77" t="s">
        <v>1923</v>
      </c>
      <c r="L591" s="55" t="str">
        <f t="shared" si="26"/>
        <v>{1},{3}</v>
      </c>
      <c r="M591" s="55" t="s">
        <v>659</v>
      </c>
      <c r="O591" s="54">
        <v>201</v>
      </c>
      <c r="P591" s="54" t="s">
        <v>885</v>
      </c>
      <c r="Q591" s="60">
        <v>2</v>
      </c>
      <c r="R591" s="54" t="s">
        <v>872</v>
      </c>
      <c r="T591" s="55" t="str">
        <f t="shared" si="27"/>
        <v>{201,450},{2,15750}</v>
      </c>
      <c r="U591" s="55" t="s">
        <v>902</v>
      </c>
    </row>
    <row r="592" spans="1:21">
      <c r="A592" s="55">
        <v>88</v>
      </c>
      <c r="B592" s="55">
        <f t="shared" si="25"/>
        <v>1006</v>
      </c>
      <c r="C592" s="53" t="s">
        <v>61</v>
      </c>
      <c r="D592" s="54" t="s">
        <v>858</v>
      </c>
      <c r="E592" s="54" t="s">
        <v>1352</v>
      </c>
      <c r="F592" s="54" t="s">
        <v>873</v>
      </c>
      <c r="G592" s="77" t="s">
        <v>1924</v>
      </c>
      <c r="L592" s="55" t="str">
        <f t="shared" si="26"/>
        <v>{1},{3}</v>
      </c>
      <c r="M592" s="55" t="s">
        <v>660</v>
      </c>
      <c r="O592" s="54">
        <v>201</v>
      </c>
      <c r="P592" s="54" t="s">
        <v>885</v>
      </c>
      <c r="Q592" s="60">
        <v>2</v>
      </c>
      <c r="R592" s="54" t="s">
        <v>872</v>
      </c>
      <c r="T592" s="55" t="str">
        <f t="shared" si="27"/>
        <v>{201,450},{2,15750}</v>
      </c>
      <c r="U592" s="55" t="s">
        <v>902</v>
      </c>
    </row>
    <row r="593" spans="1:21">
      <c r="A593" s="55">
        <v>89</v>
      </c>
      <c r="B593" s="55">
        <f t="shared" si="25"/>
        <v>1006</v>
      </c>
      <c r="C593" s="53" t="s">
        <v>61</v>
      </c>
      <c r="D593" s="54" t="s">
        <v>858</v>
      </c>
      <c r="E593" s="54" t="s">
        <v>1353</v>
      </c>
      <c r="F593" s="54" t="s">
        <v>873</v>
      </c>
      <c r="G593" s="77" t="s">
        <v>1925</v>
      </c>
      <c r="L593" s="55" t="str">
        <f t="shared" si="26"/>
        <v>{1},{3}</v>
      </c>
      <c r="M593" s="55" t="s">
        <v>661</v>
      </c>
      <c r="O593" s="54">
        <v>201</v>
      </c>
      <c r="P593" s="54" t="s">
        <v>885</v>
      </c>
      <c r="Q593" s="60">
        <v>2</v>
      </c>
      <c r="R593" s="54" t="s">
        <v>872</v>
      </c>
      <c r="T593" s="55" t="str">
        <f t="shared" si="27"/>
        <v>{201,450},{2,15750}</v>
      </c>
      <c r="U593" s="55" t="s">
        <v>902</v>
      </c>
    </row>
    <row r="594" spans="1:21">
      <c r="A594" s="55">
        <v>90</v>
      </c>
      <c r="B594" s="55">
        <f t="shared" si="25"/>
        <v>1006</v>
      </c>
      <c r="C594" s="53" t="s">
        <v>61</v>
      </c>
      <c r="D594" s="54" t="s">
        <v>858</v>
      </c>
      <c r="E594" s="54" t="s">
        <v>1354</v>
      </c>
      <c r="F594" s="54" t="s">
        <v>873</v>
      </c>
      <c r="G594" s="77" t="s">
        <v>1926</v>
      </c>
      <c r="L594" s="55" t="str">
        <f t="shared" si="26"/>
        <v>{1},{3}</v>
      </c>
      <c r="M594" s="55" t="s">
        <v>662</v>
      </c>
      <c r="O594" s="54">
        <v>201</v>
      </c>
      <c r="P594" s="54" t="s">
        <v>885</v>
      </c>
      <c r="Q594" s="60">
        <v>2</v>
      </c>
      <c r="R594" s="54" t="s">
        <v>872</v>
      </c>
      <c r="T594" s="55" t="str">
        <f t="shared" si="27"/>
        <v>{201,450},{2,15750}</v>
      </c>
      <c r="U594" s="55" t="s">
        <v>902</v>
      </c>
    </row>
    <row r="595" spans="1:21">
      <c r="A595" s="55">
        <v>91</v>
      </c>
      <c r="B595" s="55">
        <f t="shared" si="25"/>
        <v>1006</v>
      </c>
      <c r="C595" s="53" t="s">
        <v>61</v>
      </c>
      <c r="D595" s="54" t="s">
        <v>858</v>
      </c>
      <c r="E595" s="54" t="s">
        <v>1355</v>
      </c>
      <c r="F595" s="54" t="s">
        <v>873</v>
      </c>
      <c r="G595" s="77" t="s">
        <v>1927</v>
      </c>
      <c r="L595" s="55" t="str">
        <f t="shared" si="26"/>
        <v>{1},{3}</v>
      </c>
      <c r="M595" s="55" t="s">
        <v>663</v>
      </c>
      <c r="O595" s="54">
        <v>201</v>
      </c>
      <c r="P595" s="54" t="s">
        <v>885</v>
      </c>
      <c r="Q595" s="60">
        <v>2</v>
      </c>
      <c r="R595" s="54" t="s">
        <v>872</v>
      </c>
      <c r="T595" s="55" t="str">
        <f t="shared" si="27"/>
        <v>{201,450},{2,15750}</v>
      </c>
      <c r="U595" s="55" t="s">
        <v>902</v>
      </c>
    </row>
    <row r="596" spans="1:21">
      <c r="A596" s="55">
        <v>92</v>
      </c>
      <c r="B596" s="55">
        <f t="shared" si="25"/>
        <v>1006</v>
      </c>
      <c r="C596" s="53" t="s">
        <v>61</v>
      </c>
      <c r="D596" s="54" t="s">
        <v>858</v>
      </c>
      <c r="E596" s="54" t="s">
        <v>1356</v>
      </c>
      <c r="F596" s="54" t="s">
        <v>873</v>
      </c>
      <c r="G596" s="77" t="s">
        <v>1928</v>
      </c>
      <c r="L596" s="55" t="str">
        <f t="shared" si="26"/>
        <v>{1},{3}</v>
      </c>
      <c r="M596" s="55" t="s">
        <v>664</v>
      </c>
      <c r="O596" s="54">
        <v>201</v>
      </c>
      <c r="P596" s="54" t="s">
        <v>885</v>
      </c>
      <c r="Q596" s="60">
        <v>2</v>
      </c>
      <c r="R596" s="54" t="s">
        <v>872</v>
      </c>
      <c r="T596" s="55" t="str">
        <f t="shared" si="27"/>
        <v>{201,450},{2,15750}</v>
      </c>
      <c r="U596" s="55" t="s">
        <v>902</v>
      </c>
    </row>
    <row r="597" spans="1:21">
      <c r="A597" s="55">
        <v>93</v>
      </c>
      <c r="B597" s="55">
        <f t="shared" si="25"/>
        <v>1006</v>
      </c>
      <c r="C597" s="53" t="s">
        <v>61</v>
      </c>
      <c r="D597" s="54" t="s">
        <v>858</v>
      </c>
      <c r="E597" s="54" t="s">
        <v>1357</v>
      </c>
      <c r="F597" s="54" t="s">
        <v>873</v>
      </c>
      <c r="G597" s="77" t="s">
        <v>1929</v>
      </c>
      <c r="L597" s="55" t="str">
        <f t="shared" si="26"/>
        <v>{1},{3}</v>
      </c>
      <c r="M597" s="55" t="s">
        <v>665</v>
      </c>
      <c r="O597" s="54">
        <v>201</v>
      </c>
      <c r="P597" s="54" t="s">
        <v>885</v>
      </c>
      <c r="Q597" s="60">
        <v>2</v>
      </c>
      <c r="R597" s="54" t="s">
        <v>872</v>
      </c>
      <c r="T597" s="55" t="str">
        <f t="shared" si="27"/>
        <v>{201,450},{2,15750}</v>
      </c>
      <c r="U597" s="55" t="s">
        <v>902</v>
      </c>
    </row>
    <row r="598" spans="1:21">
      <c r="A598" s="55">
        <v>94</v>
      </c>
      <c r="B598" s="55">
        <f t="shared" si="25"/>
        <v>1006</v>
      </c>
      <c r="C598" s="53" t="s">
        <v>61</v>
      </c>
      <c r="D598" s="54" t="s">
        <v>858</v>
      </c>
      <c r="E598" s="54" t="s">
        <v>1358</v>
      </c>
      <c r="F598" s="54" t="s">
        <v>873</v>
      </c>
      <c r="G598" s="77" t="s">
        <v>1930</v>
      </c>
      <c r="L598" s="55" t="str">
        <f t="shared" si="26"/>
        <v>{1},{3}</v>
      </c>
      <c r="M598" s="55" t="s">
        <v>666</v>
      </c>
      <c r="O598" s="54">
        <v>201</v>
      </c>
      <c r="P598" s="54" t="s">
        <v>885</v>
      </c>
      <c r="Q598" s="60">
        <v>2</v>
      </c>
      <c r="R598" s="54" t="s">
        <v>872</v>
      </c>
      <c r="T598" s="55" t="str">
        <f t="shared" si="27"/>
        <v>{201,450},{2,15750}</v>
      </c>
      <c r="U598" s="55" t="s">
        <v>902</v>
      </c>
    </row>
    <row r="599" spans="1:21">
      <c r="A599" s="55">
        <v>95</v>
      </c>
      <c r="B599" s="55">
        <f t="shared" si="25"/>
        <v>1006</v>
      </c>
      <c r="C599" s="53" t="s">
        <v>61</v>
      </c>
      <c r="D599" s="54" t="s">
        <v>858</v>
      </c>
      <c r="E599" s="54" t="s">
        <v>1359</v>
      </c>
      <c r="F599" s="54" t="s">
        <v>873</v>
      </c>
      <c r="G599" s="77" t="s">
        <v>1931</v>
      </c>
      <c r="L599" s="55" t="str">
        <f t="shared" si="26"/>
        <v>{1},{3}</v>
      </c>
      <c r="M599" s="55" t="s">
        <v>667</v>
      </c>
      <c r="O599" s="54">
        <v>201</v>
      </c>
      <c r="P599" s="54" t="s">
        <v>885</v>
      </c>
      <c r="Q599" s="60">
        <v>2</v>
      </c>
      <c r="R599" s="54" t="s">
        <v>872</v>
      </c>
      <c r="T599" s="55" t="str">
        <f t="shared" si="27"/>
        <v>{201,450},{2,15750}</v>
      </c>
      <c r="U599" s="55" t="s">
        <v>902</v>
      </c>
    </row>
    <row r="600" spans="1:21">
      <c r="A600" s="55">
        <v>96</v>
      </c>
      <c r="B600" s="55">
        <f t="shared" si="25"/>
        <v>1006</v>
      </c>
      <c r="C600" s="53" t="s">
        <v>61</v>
      </c>
      <c r="D600" s="54" t="s">
        <v>858</v>
      </c>
      <c r="E600" s="54" t="s">
        <v>1360</v>
      </c>
      <c r="F600" s="54" t="s">
        <v>873</v>
      </c>
      <c r="G600" s="77" t="s">
        <v>1932</v>
      </c>
      <c r="L600" s="55" t="str">
        <f t="shared" si="26"/>
        <v>{1},{3}</v>
      </c>
      <c r="M600" s="55" t="s">
        <v>668</v>
      </c>
      <c r="O600" s="54">
        <v>201</v>
      </c>
      <c r="P600" s="54" t="s">
        <v>885</v>
      </c>
      <c r="Q600" s="60">
        <v>2</v>
      </c>
      <c r="R600" s="54" t="s">
        <v>872</v>
      </c>
      <c r="T600" s="55" t="str">
        <f t="shared" si="27"/>
        <v>{201,450},{2,15750}</v>
      </c>
      <c r="U600" s="55" t="s">
        <v>902</v>
      </c>
    </row>
    <row r="601" spans="1:21">
      <c r="A601" s="55">
        <v>97</v>
      </c>
      <c r="B601" s="55">
        <f t="shared" si="25"/>
        <v>1006</v>
      </c>
      <c r="C601" s="53" t="s">
        <v>61</v>
      </c>
      <c r="D601" s="54" t="s">
        <v>858</v>
      </c>
      <c r="E601" s="54" t="s">
        <v>1361</v>
      </c>
      <c r="F601" s="54" t="s">
        <v>873</v>
      </c>
      <c r="G601" s="77" t="s">
        <v>1933</v>
      </c>
      <c r="L601" s="55" t="str">
        <f t="shared" si="26"/>
        <v>{1},{3}</v>
      </c>
      <c r="M601" s="55" t="s">
        <v>669</v>
      </c>
      <c r="O601" s="54">
        <v>201</v>
      </c>
      <c r="P601" s="54" t="s">
        <v>885</v>
      </c>
      <c r="Q601" s="60">
        <v>2</v>
      </c>
      <c r="R601" s="54" t="s">
        <v>872</v>
      </c>
      <c r="T601" s="55" t="str">
        <f t="shared" si="27"/>
        <v>{201,450},{2,15750}</v>
      </c>
      <c r="U601" s="55" t="s">
        <v>902</v>
      </c>
    </row>
    <row r="602" spans="1:21">
      <c r="A602" s="55">
        <v>98</v>
      </c>
      <c r="B602" s="55">
        <f t="shared" si="25"/>
        <v>1006</v>
      </c>
      <c r="C602" s="53" t="s">
        <v>61</v>
      </c>
      <c r="D602" s="54" t="s">
        <v>858</v>
      </c>
      <c r="E602" s="54" t="s">
        <v>1362</v>
      </c>
      <c r="F602" s="54" t="s">
        <v>873</v>
      </c>
      <c r="G602" s="77" t="s">
        <v>1934</v>
      </c>
      <c r="L602" s="55" t="str">
        <f t="shared" si="26"/>
        <v>{1},{3}</v>
      </c>
      <c r="M602" s="55" t="s">
        <v>670</v>
      </c>
      <c r="O602" s="54">
        <v>201</v>
      </c>
      <c r="P602" s="54" t="s">
        <v>885</v>
      </c>
      <c r="Q602" s="60">
        <v>2</v>
      </c>
      <c r="R602" s="54" t="s">
        <v>872</v>
      </c>
      <c r="T602" s="55" t="str">
        <f t="shared" si="27"/>
        <v>{201,450},{2,15750}</v>
      </c>
      <c r="U602" s="55" t="s">
        <v>902</v>
      </c>
    </row>
    <row r="603" spans="1:21">
      <c r="A603" s="55">
        <v>99</v>
      </c>
      <c r="B603" s="55">
        <f t="shared" si="25"/>
        <v>1006</v>
      </c>
      <c r="C603" s="53" t="s">
        <v>61</v>
      </c>
      <c r="D603" s="54" t="s">
        <v>858</v>
      </c>
      <c r="E603" s="54" t="s">
        <v>1363</v>
      </c>
      <c r="F603" s="54" t="s">
        <v>873</v>
      </c>
      <c r="G603" s="77" t="s">
        <v>1935</v>
      </c>
      <c r="L603" s="55" t="str">
        <f t="shared" si="26"/>
        <v>{1},{3}</v>
      </c>
      <c r="M603" s="55" t="s">
        <v>671</v>
      </c>
      <c r="O603" s="54">
        <v>201</v>
      </c>
      <c r="P603" s="54" t="s">
        <v>885</v>
      </c>
      <c r="Q603" s="60">
        <v>2</v>
      </c>
      <c r="R603" s="54" t="s">
        <v>872</v>
      </c>
      <c r="T603" s="55" t="str">
        <f t="shared" si="27"/>
        <v>{201,450},{2,15750}</v>
      </c>
      <c r="U603" s="55" t="s">
        <v>902</v>
      </c>
    </row>
    <row r="604" spans="1:21">
      <c r="A604" s="55">
        <v>100</v>
      </c>
      <c r="B604" s="55">
        <f t="shared" si="25"/>
        <v>1006</v>
      </c>
      <c r="D604" s="54" t="s">
        <v>858</v>
      </c>
      <c r="E604" s="54" t="s">
        <v>1364</v>
      </c>
      <c r="F604" s="54" t="s">
        <v>873</v>
      </c>
      <c r="G604" s="77" t="s">
        <v>1936</v>
      </c>
      <c r="L604" s="55" t="str">
        <f t="shared" si="26"/>
        <v>{1},{3}</v>
      </c>
      <c r="M604" s="55" t="s">
        <v>672</v>
      </c>
      <c r="Q604" s="65"/>
      <c r="T604" s="55" t="str">
        <f t="shared" si="27"/>
        <v>{,},{,}</v>
      </c>
      <c r="U604" s="55" t="s">
        <v>903</v>
      </c>
    </row>
    <row r="605" spans="1:21">
      <c r="A605" s="55">
        <v>1</v>
      </c>
      <c r="B605" s="55">
        <f t="shared" si="25"/>
        <v>1007</v>
      </c>
      <c r="C605" s="53" t="s">
        <v>46</v>
      </c>
      <c r="D605" s="54" t="s">
        <v>858</v>
      </c>
      <c r="E605" s="54" t="s">
        <v>862</v>
      </c>
      <c r="F605" s="54" t="s">
        <v>873</v>
      </c>
      <c r="G605" s="77" t="s">
        <v>1301</v>
      </c>
      <c r="L605" s="55" t="str">
        <f t="shared" si="26"/>
        <v>{1},{3}</v>
      </c>
      <c r="M605" s="55" t="s">
        <v>208</v>
      </c>
      <c r="O605" s="54">
        <v>201</v>
      </c>
      <c r="P605" s="54" t="s">
        <v>874</v>
      </c>
      <c r="Q605" s="60">
        <v>2</v>
      </c>
      <c r="R605" s="54" t="s">
        <v>859</v>
      </c>
      <c r="T605" s="55" t="str">
        <f t="shared" si="27"/>
        <v>{201,20},{2,400}</v>
      </c>
      <c r="U605" s="55" t="s">
        <v>887</v>
      </c>
    </row>
    <row r="606" spans="1:21">
      <c r="A606" s="55">
        <v>2</v>
      </c>
      <c r="B606" s="55">
        <f t="shared" si="25"/>
        <v>1007</v>
      </c>
      <c r="C606" s="53" t="s">
        <v>47</v>
      </c>
      <c r="D606" s="54" t="s">
        <v>858</v>
      </c>
      <c r="E606" s="54" t="s">
        <v>1365</v>
      </c>
      <c r="F606" s="54" t="s">
        <v>873</v>
      </c>
      <c r="G606" s="77" t="s">
        <v>1458</v>
      </c>
      <c r="L606" s="55" t="str">
        <f t="shared" si="26"/>
        <v>{1},{3}</v>
      </c>
      <c r="M606" s="55" t="s">
        <v>673</v>
      </c>
      <c r="O606" s="54">
        <v>201</v>
      </c>
      <c r="P606" s="54" t="s">
        <v>875</v>
      </c>
      <c r="Q606" s="60">
        <v>2</v>
      </c>
      <c r="R606" s="54" t="s">
        <v>860</v>
      </c>
      <c r="T606" s="55" t="str">
        <f t="shared" si="27"/>
        <v>{201,22},{2,440}</v>
      </c>
      <c r="U606" s="55" t="s">
        <v>888</v>
      </c>
    </row>
    <row r="607" spans="1:21">
      <c r="A607" s="55">
        <v>3</v>
      </c>
      <c r="B607" s="55">
        <f t="shared" si="25"/>
        <v>1007</v>
      </c>
      <c r="C607" s="53" t="s">
        <v>48</v>
      </c>
      <c r="D607" s="54" t="s">
        <v>858</v>
      </c>
      <c r="E607" s="54" t="s">
        <v>865</v>
      </c>
      <c r="F607" s="54" t="s">
        <v>873</v>
      </c>
      <c r="G607" s="77" t="s">
        <v>1127</v>
      </c>
      <c r="L607" s="55" t="str">
        <f t="shared" si="26"/>
        <v>{1},{3}</v>
      </c>
      <c r="M607" s="55" t="s">
        <v>298</v>
      </c>
      <c r="O607" s="54">
        <v>201</v>
      </c>
      <c r="P607" s="54" t="s">
        <v>876</v>
      </c>
      <c r="Q607" s="60">
        <v>2</v>
      </c>
      <c r="R607" s="54" t="s">
        <v>861</v>
      </c>
      <c r="T607" s="55" t="str">
        <f t="shared" si="27"/>
        <v>{201,24},{2,480}</v>
      </c>
      <c r="U607" s="55" t="s">
        <v>889</v>
      </c>
    </row>
    <row r="608" spans="1:21">
      <c r="A608" s="55">
        <v>4</v>
      </c>
      <c r="B608" s="55">
        <f t="shared" si="25"/>
        <v>1007</v>
      </c>
      <c r="C608" s="53" t="s">
        <v>49</v>
      </c>
      <c r="D608" s="54" t="s">
        <v>858</v>
      </c>
      <c r="E608" s="54" t="s">
        <v>1366</v>
      </c>
      <c r="F608" s="54" t="s">
        <v>873</v>
      </c>
      <c r="G608" s="77" t="s">
        <v>1463</v>
      </c>
      <c r="L608" s="55" t="str">
        <f t="shared" si="26"/>
        <v>{1},{3}</v>
      </c>
      <c r="M608" s="55" t="s">
        <v>674</v>
      </c>
      <c r="O608" s="54">
        <v>201</v>
      </c>
      <c r="P608" s="54" t="s">
        <v>877</v>
      </c>
      <c r="Q608" s="60">
        <v>2</v>
      </c>
      <c r="R608" s="54" t="s">
        <v>862</v>
      </c>
      <c r="T608" s="55" t="str">
        <f t="shared" si="27"/>
        <v>{201,25},{2,500}</v>
      </c>
      <c r="U608" s="55" t="s">
        <v>890</v>
      </c>
    </row>
    <row r="609" spans="1:21">
      <c r="A609" s="55">
        <v>5</v>
      </c>
      <c r="B609" s="55">
        <f t="shared" si="25"/>
        <v>1007</v>
      </c>
      <c r="C609" s="53" t="s">
        <v>50</v>
      </c>
      <c r="D609" s="54" t="s">
        <v>858</v>
      </c>
      <c r="E609" s="54" t="s">
        <v>1367</v>
      </c>
      <c r="F609" s="54" t="s">
        <v>873</v>
      </c>
      <c r="G609" s="77" t="s">
        <v>1687</v>
      </c>
      <c r="L609" s="55" t="str">
        <f t="shared" si="26"/>
        <v>{1},{3}</v>
      </c>
      <c r="M609" s="55" t="s">
        <v>675</v>
      </c>
      <c r="O609" s="54">
        <v>201</v>
      </c>
      <c r="P609" s="54" t="s">
        <v>878</v>
      </c>
      <c r="Q609" s="60">
        <v>2</v>
      </c>
      <c r="R609" s="54" t="s">
        <v>863</v>
      </c>
      <c r="T609" s="55" t="str">
        <f t="shared" si="27"/>
        <v>{201,27},{2,540}</v>
      </c>
      <c r="U609" s="55" t="s">
        <v>891</v>
      </c>
    </row>
    <row r="610" spans="1:21">
      <c r="A610" s="55">
        <v>6</v>
      </c>
      <c r="B610" s="55">
        <f t="shared" si="25"/>
        <v>1007</v>
      </c>
      <c r="C610" s="53" t="s">
        <v>51</v>
      </c>
      <c r="D610" s="54" t="s">
        <v>858</v>
      </c>
      <c r="E610" s="54" t="s">
        <v>1017</v>
      </c>
      <c r="F610" s="54" t="s">
        <v>873</v>
      </c>
      <c r="G610" s="77" t="s">
        <v>869</v>
      </c>
      <c r="L610" s="55" t="str">
        <f t="shared" si="26"/>
        <v>{1},{3}</v>
      </c>
      <c r="M610" s="55" t="s">
        <v>303</v>
      </c>
      <c r="O610" s="54">
        <v>201</v>
      </c>
      <c r="P610" s="54" t="s">
        <v>879</v>
      </c>
      <c r="Q610" s="60">
        <v>2</v>
      </c>
      <c r="R610" s="54" t="s">
        <v>864</v>
      </c>
      <c r="T610" s="55" t="str">
        <f t="shared" si="27"/>
        <v>{201,29},{2,580}</v>
      </c>
      <c r="U610" s="55" t="s">
        <v>892</v>
      </c>
    </row>
    <row r="611" spans="1:21">
      <c r="A611" s="55">
        <v>7</v>
      </c>
      <c r="B611" s="55">
        <f t="shared" si="25"/>
        <v>1007</v>
      </c>
      <c r="C611" s="53" t="s">
        <v>52</v>
      </c>
      <c r="D611" s="54" t="s">
        <v>858</v>
      </c>
      <c r="E611" s="54" t="s">
        <v>1202</v>
      </c>
      <c r="F611" s="54" t="s">
        <v>873</v>
      </c>
      <c r="G611" s="77" t="s">
        <v>1690</v>
      </c>
      <c r="L611" s="55" t="str">
        <f t="shared" si="26"/>
        <v>{1},{3}</v>
      </c>
      <c r="M611" s="55" t="s">
        <v>584</v>
      </c>
      <c r="O611" s="54">
        <v>201</v>
      </c>
      <c r="P611" s="54" t="s">
        <v>880</v>
      </c>
      <c r="Q611" s="60">
        <v>2</v>
      </c>
      <c r="R611" s="54" t="s">
        <v>865</v>
      </c>
      <c r="T611" s="55" t="str">
        <f t="shared" si="27"/>
        <v>{201,30},{2,600}</v>
      </c>
      <c r="U611" s="55" t="s">
        <v>893</v>
      </c>
    </row>
    <row r="612" spans="1:21">
      <c r="A612" s="55">
        <v>8</v>
      </c>
      <c r="B612" s="55">
        <f t="shared" si="25"/>
        <v>1007</v>
      </c>
      <c r="C612" s="53" t="s">
        <v>53</v>
      </c>
      <c r="D612" s="54" t="s">
        <v>858</v>
      </c>
      <c r="E612" s="54" t="s">
        <v>1368</v>
      </c>
      <c r="F612" s="54" t="s">
        <v>873</v>
      </c>
      <c r="G612" s="77" t="s">
        <v>1312</v>
      </c>
      <c r="L612" s="55" t="str">
        <f t="shared" si="26"/>
        <v>{1},{3}</v>
      </c>
      <c r="M612" s="55" t="s">
        <v>676</v>
      </c>
      <c r="O612" s="54">
        <v>201</v>
      </c>
      <c r="P612" s="54" t="s">
        <v>881</v>
      </c>
      <c r="Q612" s="60">
        <v>2</v>
      </c>
      <c r="R612" s="54" t="s">
        <v>866</v>
      </c>
      <c r="T612" s="55" t="str">
        <f t="shared" si="27"/>
        <v>{201,50},{2,1000}</v>
      </c>
      <c r="U612" s="55" t="s">
        <v>894</v>
      </c>
    </row>
    <row r="613" spans="1:21">
      <c r="A613" s="55">
        <v>9</v>
      </c>
      <c r="B613" s="55">
        <f t="shared" si="25"/>
        <v>1007</v>
      </c>
      <c r="C613" s="53" t="s">
        <v>53</v>
      </c>
      <c r="D613" s="54" t="s">
        <v>858</v>
      </c>
      <c r="E613" s="54" t="s">
        <v>929</v>
      </c>
      <c r="F613" s="54" t="s">
        <v>873</v>
      </c>
      <c r="G613" s="77" t="s">
        <v>1134</v>
      </c>
      <c r="L613" s="55" t="str">
        <f t="shared" si="26"/>
        <v>{1},{3}</v>
      </c>
      <c r="M613" s="55" t="s">
        <v>213</v>
      </c>
      <c r="O613" s="54">
        <v>201</v>
      </c>
      <c r="P613" s="54" t="s">
        <v>881</v>
      </c>
      <c r="Q613" s="60">
        <v>2</v>
      </c>
      <c r="R613" s="54" t="s">
        <v>866</v>
      </c>
      <c r="T613" s="55" t="str">
        <f t="shared" si="27"/>
        <v>{201,50},{2,1000}</v>
      </c>
      <c r="U613" s="55" t="s">
        <v>894</v>
      </c>
    </row>
    <row r="614" spans="1:21">
      <c r="A614" s="55">
        <v>10</v>
      </c>
      <c r="B614" s="55">
        <f t="shared" si="25"/>
        <v>1007</v>
      </c>
      <c r="C614" s="53" t="s">
        <v>53</v>
      </c>
      <c r="D614" s="54" t="s">
        <v>858</v>
      </c>
      <c r="E614" s="54" t="s">
        <v>1369</v>
      </c>
      <c r="F614" s="54" t="s">
        <v>873</v>
      </c>
      <c r="G614" s="77" t="s">
        <v>1317</v>
      </c>
      <c r="L614" s="55" t="str">
        <f t="shared" si="26"/>
        <v>{1},{3}</v>
      </c>
      <c r="M614" s="55" t="s">
        <v>677</v>
      </c>
      <c r="O614" s="54">
        <v>201</v>
      </c>
      <c r="P614" s="54" t="s">
        <v>881</v>
      </c>
      <c r="Q614" s="60">
        <v>2</v>
      </c>
      <c r="R614" s="54" t="s">
        <v>866</v>
      </c>
      <c r="T614" s="55" t="str">
        <f t="shared" si="27"/>
        <v>{201,50},{2,1000}</v>
      </c>
      <c r="U614" s="55" t="s">
        <v>894</v>
      </c>
    </row>
    <row r="615" spans="1:21">
      <c r="A615" s="55">
        <v>11</v>
      </c>
      <c r="B615" s="55">
        <f t="shared" si="25"/>
        <v>1007</v>
      </c>
      <c r="C615" s="53" t="s">
        <v>53</v>
      </c>
      <c r="D615" s="54" t="s">
        <v>858</v>
      </c>
      <c r="E615" s="54" t="s">
        <v>866</v>
      </c>
      <c r="F615" s="54" t="s">
        <v>873</v>
      </c>
      <c r="G615" s="77" t="s">
        <v>1774</v>
      </c>
      <c r="L615" s="55" t="str">
        <f t="shared" si="26"/>
        <v>{1},{3}</v>
      </c>
      <c r="M615" s="55" t="s">
        <v>588</v>
      </c>
      <c r="O615" s="54">
        <v>201</v>
      </c>
      <c r="P615" s="54" t="s">
        <v>881</v>
      </c>
      <c r="Q615" s="60">
        <v>2</v>
      </c>
      <c r="R615" s="54" t="s">
        <v>866</v>
      </c>
      <c r="T615" s="55" t="str">
        <f t="shared" si="27"/>
        <v>{201,50},{2,1000}</v>
      </c>
      <c r="U615" s="55" t="s">
        <v>894</v>
      </c>
    </row>
    <row r="616" spans="1:21">
      <c r="A616" s="55">
        <v>12</v>
      </c>
      <c r="B616" s="55">
        <f t="shared" si="25"/>
        <v>1007</v>
      </c>
      <c r="C616" s="53" t="s">
        <v>53</v>
      </c>
      <c r="D616" s="54" t="s">
        <v>858</v>
      </c>
      <c r="E616" s="54" t="s">
        <v>1370</v>
      </c>
      <c r="F616" s="54" t="s">
        <v>873</v>
      </c>
      <c r="G616" s="77" t="s">
        <v>1322</v>
      </c>
      <c r="L616" s="55" t="str">
        <f t="shared" si="26"/>
        <v>{1},{3}</v>
      </c>
      <c r="M616" s="55" t="s">
        <v>678</v>
      </c>
      <c r="O616" s="54">
        <v>201</v>
      </c>
      <c r="P616" s="54" t="s">
        <v>881</v>
      </c>
      <c r="Q616" s="60">
        <v>2</v>
      </c>
      <c r="R616" s="54" t="s">
        <v>866</v>
      </c>
      <c r="T616" s="55" t="str">
        <f t="shared" si="27"/>
        <v>{201,50},{2,1000}</v>
      </c>
      <c r="U616" s="55" t="s">
        <v>894</v>
      </c>
    </row>
    <row r="617" spans="1:21">
      <c r="A617" s="55">
        <v>13</v>
      </c>
      <c r="B617" s="55">
        <f t="shared" si="25"/>
        <v>1007</v>
      </c>
      <c r="C617" s="53" t="s">
        <v>53</v>
      </c>
      <c r="D617" s="54" t="s">
        <v>858</v>
      </c>
      <c r="E617" s="54" t="s">
        <v>934</v>
      </c>
      <c r="F617" s="54" t="s">
        <v>873</v>
      </c>
      <c r="G617" s="77" t="s">
        <v>1532</v>
      </c>
      <c r="L617" s="55" t="str">
        <f t="shared" si="26"/>
        <v>{1},{3}</v>
      </c>
      <c r="M617" s="55" t="s">
        <v>218</v>
      </c>
      <c r="O617" s="54">
        <v>201</v>
      </c>
      <c r="P617" s="54" t="s">
        <v>881</v>
      </c>
      <c r="Q617" s="60">
        <v>2</v>
      </c>
      <c r="R617" s="54" t="s">
        <v>866</v>
      </c>
      <c r="T617" s="55" t="str">
        <f t="shared" si="27"/>
        <v>{201,50},{2,1000}</v>
      </c>
      <c r="U617" s="55" t="s">
        <v>894</v>
      </c>
    </row>
    <row r="618" spans="1:21">
      <c r="A618" s="55">
        <v>14</v>
      </c>
      <c r="B618" s="55">
        <f t="shared" si="25"/>
        <v>1007</v>
      </c>
      <c r="C618" s="53" t="s">
        <v>53</v>
      </c>
      <c r="D618" s="54" t="s">
        <v>858</v>
      </c>
      <c r="E618" s="54" t="s">
        <v>1371</v>
      </c>
      <c r="F618" s="54" t="s">
        <v>873</v>
      </c>
      <c r="G618" s="77" t="s">
        <v>1775</v>
      </c>
      <c r="L618" s="55" t="str">
        <f t="shared" si="26"/>
        <v>{1},{3}</v>
      </c>
      <c r="M618" s="55" t="s">
        <v>679</v>
      </c>
      <c r="O618" s="54">
        <v>201</v>
      </c>
      <c r="P618" s="54" t="s">
        <v>881</v>
      </c>
      <c r="Q618" s="60">
        <v>2</v>
      </c>
      <c r="R618" s="54" t="s">
        <v>866</v>
      </c>
      <c r="T618" s="55" t="str">
        <f t="shared" si="27"/>
        <v>{201,50},{2,1000}</v>
      </c>
      <c r="U618" s="55" t="s">
        <v>894</v>
      </c>
    </row>
    <row r="619" spans="1:21">
      <c r="A619" s="55">
        <v>15</v>
      </c>
      <c r="B619" s="55">
        <f t="shared" si="25"/>
        <v>1007</v>
      </c>
      <c r="C619" s="53" t="s">
        <v>53</v>
      </c>
      <c r="D619" s="54" t="s">
        <v>858</v>
      </c>
      <c r="E619" s="54" t="s">
        <v>906</v>
      </c>
      <c r="F619" s="54" t="s">
        <v>873</v>
      </c>
      <c r="G619" s="77" t="s">
        <v>1776</v>
      </c>
      <c r="L619" s="55" t="str">
        <f t="shared" si="26"/>
        <v>{1},{3}</v>
      </c>
      <c r="M619" s="55" t="s">
        <v>680</v>
      </c>
      <c r="O619" s="54">
        <v>201</v>
      </c>
      <c r="P619" s="54" t="s">
        <v>881</v>
      </c>
      <c r="Q619" s="60">
        <v>2</v>
      </c>
      <c r="R619" s="54" t="s">
        <v>866</v>
      </c>
      <c r="T619" s="55" t="str">
        <f t="shared" si="27"/>
        <v>{201,50},{2,1000}</v>
      </c>
      <c r="U619" s="55" t="s">
        <v>894</v>
      </c>
    </row>
    <row r="620" spans="1:21">
      <c r="A620" s="55">
        <v>16</v>
      </c>
      <c r="B620" s="55">
        <f t="shared" si="25"/>
        <v>1007</v>
      </c>
      <c r="C620" s="53" t="s">
        <v>53</v>
      </c>
      <c r="D620" s="54" t="s">
        <v>858</v>
      </c>
      <c r="E620" s="54" t="s">
        <v>1372</v>
      </c>
      <c r="F620" s="54" t="s">
        <v>873</v>
      </c>
      <c r="G620" s="77" t="s">
        <v>1777</v>
      </c>
      <c r="L620" s="55" t="str">
        <f t="shared" si="26"/>
        <v>{1},{3}</v>
      </c>
      <c r="M620" s="55" t="s">
        <v>681</v>
      </c>
      <c r="O620" s="54">
        <v>201</v>
      </c>
      <c r="P620" s="54" t="s">
        <v>881</v>
      </c>
      <c r="Q620" s="60">
        <v>2</v>
      </c>
      <c r="R620" s="54" t="s">
        <v>866</v>
      </c>
      <c r="T620" s="55" t="str">
        <f t="shared" si="27"/>
        <v>{201,50},{2,1000}</v>
      </c>
      <c r="U620" s="55" t="s">
        <v>894</v>
      </c>
    </row>
    <row r="621" spans="1:21">
      <c r="A621" s="55">
        <v>17</v>
      </c>
      <c r="B621" s="55">
        <f t="shared" si="25"/>
        <v>1007</v>
      </c>
      <c r="C621" s="53" t="s">
        <v>53</v>
      </c>
      <c r="D621" s="54" t="s">
        <v>858</v>
      </c>
      <c r="E621" s="54" t="s">
        <v>939</v>
      </c>
      <c r="F621" s="54" t="s">
        <v>873</v>
      </c>
      <c r="G621" s="77" t="s">
        <v>1535</v>
      </c>
      <c r="L621" s="55" t="str">
        <f t="shared" si="26"/>
        <v>{1},{3}</v>
      </c>
      <c r="M621" s="55" t="s">
        <v>223</v>
      </c>
      <c r="O621" s="54">
        <v>201</v>
      </c>
      <c r="P621" s="54" t="s">
        <v>881</v>
      </c>
      <c r="Q621" s="60">
        <v>2</v>
      </c>
      <c r="R621" s="54" t="s">
        <v>866</v>
      </c>
      <c r="T621" s="55" t="str">
        <f t="shared" si="27"/>
        <v>{201,50},{2,1000}</v>
      </c>
      <c r="U621" s="55" t="s">
        <v>894</v>
      </c>
    </row>
    <row r="622" spans="1:21">
      <c r="A622" s="55">
        <v>18</v>
      </c>
      <c r="B622" s="55">
        <f t="shared" si="25"/>
        <v>1007</v>
      </c>
      <c r="C622" s="53" t="s">
        <v>53</v>
      </c>
      <c r="D622" s="54" t="s">
        <v>858</v>
      </c>
      <c r="E622" s="54" t="s">
        <v>1022</v>
      </c>
      <c r="F622" s="54" t="s">
        <v>873</v>
      </c>
      <c r="G622" s="77" t="s">
        <v>1610</v>
      </c>
      <c r="L622" s="55" t="str">
        <f t="shared" si="26"/>
        <v>{1},{3}</v>
      </c>
      <c r="M622" s="55" t="s">
        <v>308</v>
      </c>
      <c r="O622" s="54">
        <v>201</v>
      </c>
      <c r="P622" s="54" t="s">
        <v>881</v>
      </c>
      <c r="Q622" s="60">
        <v>2</v>
      </c>
      <c r="R622" s="54" t="s">
        <v>866</v>
      </c>
      <c r="T622" s="55" t="str">
        <f t="shared" si="27"/>
        <v>{201,50},{2,1000}</v>
      </c>
      <c r="U622" s="55" t="s">
        <v>894</v>
      </c>
    </row>
    <row r="623" spans="1:21">
      <c r="A623" s="55">
        <v>19</v>
      </c>
      <c r="B623" s="55">
        <f t="shared" si="25"/>
        <v>1007</v>
      </c>
      <c r="C623" s="53" t="s">
        <v>53</v>
      </c>
      <c r="D623" s="54" t="s">
        <v>858</v>
      </c>
      <c r="E623" s="54" t="s">
        <v>908</v>
      </c>
      <c r="F623" s="54" t="s">
        <v>873</v>
      </c>
      <c r="G623" s="77" t="s">
        <v>1778</v>
      </c>
      <c r="L623" s="55" t="str">
        <f t="shared" si="26"/>
        <v>{1},{3}</v>
      </c>
      <c r="M623" s="55" t="s">
        <v>682</v>
      </c>
      <c r="O623" s="54">
        <v>201</v>
      </c>
      <c r="P623" s="54" t="s">
        <v>881</v>
      </c>
      <c r="Q623" s="60">
        <v>2</v>
      </c>
      <c r="R623" s="54" t="s">
        <v>866</v>
      </c>
      <c r="T623" s="55" t="str">
        <f t="shared" si="27"/>
        <v>{201,50},{2,1000}</v>
      </c>
      <c r="U623" s="55" t="s">
        <v>894</v>
      </c>
    </row>
    <row r="624" spans="1:21" s="63" customFormat="1">
      <c r="A624" s="63">
        <v>20</v>
      </c>
      <c r="B624" s="63">
        <f t="shared" si="25"/>
        <v>1007</v>
      </c>
      <c r="C624" s="61" t="s">
        <v>54</v>
      </c>
      <c r="D624" s="62" t="s">
        <v>858</v>
      </c>
      <c r="E624" s="62" t="s">
        <v>1373</v>
      </c>
      <c r="F624" s="62" t="s">
        <v>873</v>
      </c>
      <c r="G624" s="78" t="s">
        <v>1779</v>
      </c>
      <c r="H624" s="78"/>
      <c r="I624" s="78"/>
      <c r="J624" s="78"/>
      <c r="L624" s="63" t="str">
        <f t="shared" si="26"/>
        <v>{1},{3}</v>
      </c>
      <c r="M624" s="63" t="s">
        <v>683</v>
      </c>
      <c r="O624" s="62" t="s">
        <v>886</v>
      </c>
      <c r="P624" s="62" t="s">
        <v>881</v>
      </c>
      <c r="Q624" s="64">
        <v>2</v>
      </c>
      <c r="R624" s="62" t="s">
        <v>866</v>
      </c>
      <c r="T624" s="55" t="str">
        <f t="shared" si="27"/>
        <v>{301,50},{2,1000}</v>
      </c>
      <c r="U624" s="63" t="s">
        <v>895</v>
      </c>
    </row>
    <row r="625" spans="1:21">
      <c r="A625" s="55">
        <v>21</v>
      </c>
      <c r="B625" s="55">
        <f t="shared" si="25"/>
        <v>1007</v>
      </c>
      <c r="C625" s="53" t="s">
        <v>55</v>
      </c>
      <c r="D625" s="54" t="s">
        <v>858</v>
      </c>
      <c r="E625" s="54" t="s">
        <v>951</v>
      </c>
      <c r="F625" s="54" t="s">
        <v>873</v>
      </c>
      <c r="G625" s="77" t="s">
        <v>1546</v>
      </c>
      <c r="L625" s="55" t="str">
        <f t="shared" si="26"/>
        <v>{1},{3}</v>
      </c>
      <c r="M625" s="55" t="s">
        <v>235</v>
      </c>
      <c r="O625" s="54">
        <v>201</v>
      </c>
      <c r="P625" s="54" t="s">
        <v>882</v>
      </c>
      <c r="Q625" s="60">
        <v>2</v>
      </c>
      <c r="R625" s="54" t="s">
        <v>867</v>
      </c>
      <c r="T625" s="55" t="str">
        <f t="shared" si="27"/>
        <v>{201,100},{2,2000}</v>
      </c>
      <c r="U625" s="55" t="s">
        <v>896</v>
      </c>
    </row>
    <row r="626" spans="1:21">
      <c r="A626" s="55">
        <v>22</v>
      </c>
      <c r="B626" s="55">
        <f t="shared" ref="B626:B689" si="28">B526+1</f>
        <v>1007</v>
      </c>
      <c r="C626" s="53" t="s">
        <v>55</v>
      </c>
      <c r="D626" s="54" t="s">
        <v>858</v>
      </c>
      <c r="E626" s="54" t="s">
        <v>1374</v>
      </c>
      <c r="F626" s="54" t="s">
        <v>873</v>
      </c>
      <c r="G626" s="77" t="s">
        <v>1780</v>
      </c>
      <c r="L626" s="55" t="str">
        <f t="shared" si="26"/>
        <v>{1},{3}</v>
      </c>
      <c r="M626" s="55" t="s">
        <v>684</v>
      </c>
      <c r="O626" s="54">
        <v>201</v>
      </c>
      <c r="P626" s="54" t="s">
        <v>882</v>
      </c>
      <c r="Q626" s="60">
        <v>2</v>
      </c>
      <c r="R626" s="54" t="s">
        <v>867</v>
      </c>
      <c r="T626" s="55" t="str">
        <f t="shared" si="27"/>
        <v>{201,100},{2,2000}</v>
      </c>
      <c r="U626" s="55" t="s">
        <v>896</v>
      </c>
    </row>
    <row r="627" spans="1:21">
      <c r="A627" s="55">
        <v>23</v>
      </c>
      <c r="B627" s="55">
        <f t="shared" si="28"/>
        <v>1007</v>
      </c>
      <c r="C627" s="53" t="s">
        <v>55</v>
      </c>
      <c r="D627" s="54" t="s">
        <v>858</v>
      </c>
      <c r="E627" s="54" t="s">
        <v>1375</v>
      </c>
      <c r="F627" s="54" t="s">
        <v>873</v>
      </c>
      <c r="G627" s="77" t="s">
        <v>1781</v>
      </c>
      <c r="L627" s="55" t="str">
        <f t="shared" si="26"/>
        <v>{1},{3}</v>
      </c>
      <c r="M627" s="55" t="s">
        <v>685</v>
      </c>
      <c r="O627" s="54">
        <v>201</v>
      </c>
      <c r="P627" s="54" t="s">
        <v>882</v>
      </c>
      <c r="Q627" s="60">
        <v>2</v>
      </c>
      <c r="R627" s="54" t="s">
        <v>867</v>
      </c>
      <c r="T627" s="55" t="str">
        <f t="shared" si="27"/>
        <v>{201,100},{2,2000}</v>
      </c>
      <c r="U627" s="55" t="s">
        <v>896</v>
      </c>
    </row>
    <row r="628" spans="1:21">
      <c r="A628" s="55">
        <v>24</v>
      </c>
      <c r="B628" s="55">
        <f t="shared" si="28"/>
        <v>1007</v>
      </c>
      <c r="C628" s="53" t="s">
        <v>55</v>
      </c>
      <c r="D628" s="54" t="s">
        <v>858</v>
      </c>
      <c r="E628" s="54" t="s">
        <v>956</v>
      </c>
      <c r="F628" s="54" t="s">
        <v>873</v>
      </c>
      <c r="G628" s="77" t="s">
        <v>1551</v>
      </c>
      <c r="L628" s="55" t="str">
        <f t="shared" si="26"/>
        <v>{1},{3}</v>
      </c>
      <c r="M628" s="55" t="s">
        <v>240</v>
      </c>
      <c r="O628" s="54">
        <v>201</v>
      </c>
      <c r="P628" s="54" t="s">
        <v>882</v>
      </c>
      <c r="Q628" s="60">
        <v>2</v>
      </c>
      <c r="R628" s="54" t="s">
        <v>867</v>
      </c>
      <c r="T628" s="55" t="str">
        <f t="shared" si="27"/>
        <v>{201,100},{2,2000}</v>
      </c>
      <c r="U628" s="55" t="s">
        <v>896</v>
      </c>
    </row>
    <row r="629" spans="1:21">
      <c r="A629" s="55">
        <v>25</v>
      </c>
      <c r="B629" s="55">
        <f t="shared" si="28"/>
        <v>1007</v>
      </c>
      <c r="C629" s="53" t="s">
        <v>55</v>
      </c>
      <c r="D629" s="54" t="s">
        <v>858</v>
      </c>
      <c r="E629" s="54" t="s">
        <v>1376</v>
      </c>
      <c r="F629" s="54" t="s">
        <v>873</v>
      </c>
      <c r="G629" s="77" t="s">
        <v>1782</v>
      </c>
      <c r="L629" s="55" t="str">
        <f t="shared" si="26"/>
        <v>{1},{3}</v>
      </c>
      <c r="M629" s="55" t="s">
        <v>686</v>
      </c>
      <c r="O629" s="54">
        <v>201</v>
      </c>
      <c r="P629" s="54" t="s">
        <v>882</v>
      </c>
      <c r="Q629" s="60">
        <v>2</v>
      </c>
      <c r="R629" s="54" t="s">
        <v>867</v>
      </c>
      <c r="T629" s="55" t="str">
        <f t="shared" si="27"/>
        <v>{201,100},{2,2000}</v>
      </c>
      <c r="U629" s="55" t="s">
        <v>896</v>
      </c>
    </row>
    <row r="630" spans="1:21">
      <c r="A630" s="55">
        <v>26</v>
      </c>
      <c r="B630" s="55">
        <f t="shared" si="28"/>
        <v>1007</v>
      </c>
      <c r="C630" s="53" t="s">
        <v>55</v>
      </c>
      <c r="D630" s="54" t="s">
        <v>858</v>
      </c>
      <c r="E630" s="54" t="s">
        <v>1377</v>
      </c>
      <c r="F630" s="54" t="s">
        <v>873</v>
      </c>
      <c r="G630" s="77" t="s">
        <v>1783</v>
      </c>
      <c r="L630" s="55" t="str">
        <f t="shared" si="26"/>
        <v>{1},{3}</v>
      </c>
      <c r="M630" s="55" t="s">
        <v>687</v>
      </c>
      <c r="O630" s="54">
        <v>201</v>
      </c>
      <c r="P630" s="54" t="s">
        <v>882</v>
      </c>
      <c r="Q630" s="60">
        <v>2</v>
      </c>
      <c r="R630" s="54" t="s">
        <v>867</v>
      </c>
      <c r="T630" s="55" t="str">
        <f t="shared" si="27"/>
        <v>{201,100},{2,2000}</v>
      </c>
      <c r="U630" s="55" t="s">
        <v>896</v>
      </c>
    </row>
    <row r="631" spans="1:21">
      <c r="A631" s="55">
        <v>27</v>
      </c>
      <c r="B631" s="55">
        <f t="shared" si="28"/>
        <v>1007</v>
      </c>
      <c r="C631" s="53" t="s">
        <v>55</v>
      </c>
      <c r="D631" s="54" t="s">
        <v>858</v>
      </c>
      <c r="E631" s="54" t="s">
        <v>961</v>
      </c>
      <c r="F631" s="54" t="s">
        <v>873</v>
      </c>
      <c r="G631" s="77" t="s">
        <v>1556</v>
      </c>
      <c r="L631" s="55" t="str">
        <f t="shared" si="26"/>
        <v>{1},{3}</v>
      </c>
      <c r="M631" s="55" t="s">
        <v>245</v>
      </c>
      <c r="O631" s="54">
        <v>201</v>
      </c>
      <c r="P631" s="54" t="s">
        <v>882</v>
      </c>
      <c r="Q631" s="60">
        <v>2</v>
      </c>
      <c r="R631" s="54" t="s">
        <v>867</v>
      </c>
      <c r="T631" s="55" t="str">
        <f t="shared" si="27"/>
        <v>{201,100},{2,2000}</v>
      </c>
      <c r="U631" s="55" t="s">
        <v>896</v>
      </c>
    </row>
    <row r="632" spans="1:21">
      <c r="A632" s="55">
        <v>28</v>
      </c>
      <c r="B632" s="55">
        <f t="shared" si="28"/>
        <v>1007</v>
      </c>
      <c r="C632" s="53" t="s">
        <v>55</v>
      </c>
      <c r="D632" s="54" t="s">
        <v>858</v>
      </c>
      <c r="E632" s="54" t="s">
        <v>1378</v>
      </c>
      <c r="F632" s="54" t="s">
        <v>873</v>
      </c>
      <c r="G632" s="77" t="s">
        <v>1784</v>
      </c>
      <c r="L632" s="55" t="str">
        <f t="shared" si="26"/>
        <v>{1},{3}</v>
      </c>
      <c r="M632" s="55" t="s">
        <v>688</v>
      </c>
      <c r="O632" s="54">
        <v>201</v>
      </c>
      <c r="P632" s="54" t="s">
        <v>882</v>
      </c>
      <c r="Q632" s="60">
        <v>2</v>
      </c>
      <c r="R632" s="54" t="s">
        <v>867</v>
      </c>
      <c r="T632" s="55" t="str">
        <f t="shared" si="27"/>
        <v>{201,100},{2,2000}</v>
      </c>
      <c r="U632" s="55" t="s">
        <v>896</v>
      </c>
    </row>
    <row r="633" spans="1:21">
      <c r="A633" s="55">
        <v>29</v>
      </c>
      <c r="B633" s="55">
        <f t="shared" si="28"/>
        <v>1007</v>
      </c>
      <c r="C633" s="53" t="s">
        <v>55</v>
      </c>
      <c r="D633" s="54" t="s">
        <v>858</v>
      </c>
      <c r="E633" s="54" t="s">
        <v>1379</v>
      </c>
      <c r="F633" s="54" t="s">
        <v>873</v>
      </c>
      <c r="G633" s="77" t="s">
        <v>1785</v>
      </c>
      <c r="L633" s="55" t="str">
        <f t="shared" si="26"/>
        <v>{1},{3}</v>
      </c>
      <c r="M633" s="55" t="s">
        <v>689</v>
      </c>
      <c r="O633" s="54">
        <v>201</v>
      </c>
      <c r="P633" s="54" t="s">
        <v>882</v>
      </c>
      <c r="Q633" s="60">
        <v>2</v>
      </c>
      <c r="R633" s="54" t="s">
        <v>867</v>
      </c>
      <c r="T633" s="55" t="str">
        <f t="shared" si="27"/>
        <v>{201,100},{2,2000}</v>
      </c>
      <c r="U633" s="55" t="s">
        <v>896</v>
      </c>
    </row>
    <row r="634" spans="1:21">
      <c r="A634" s="55">
        <v>30</v>
      </c>
      <c r="B634" s="55">
        <f t="shared" si="28"/>
        <v>1007</v>
      </c>
      <c r="C634" s="53" t="s">
        <v>55</v>
      </c>
      <c r="D634" s="54" t="s">
        <v>858</v>
      </c>
      <c r="E634" s="54" t="s">
        <v>966</v>
      </c>
      <c r="F634" s="54" t="s">
        <v>873</v>
      </c>
      <c r="G634" s="77" t="s">
        <v>1561</v>
      </c>
      <c r="L634" s="55" t="str">
        <f t="shared" si="26"/>
        <v>{1},{3}</v>
      </c>
      <c r="M634" s="55" t="s">
        <v>250</v>
      </c>
      <c r="O634" s="54">
        <v>201</v>
      </c>
      <c r="P634" s="54" t="s">
        <v>882</v>
      </c>
      <c r="Q634" s="60">
        <v>2</v>
      </c>
      <c r="R634" s="54" t="s">
        <v>867</v>
      </c>
      <c r="T634" s="55" t="str">
        <f t="shared" si="27"/>
        <v>{201,100},{2,2000}</v>
      </c>
      <c r="U634" s="55" t="s">
        <v>896</v>
      </c>
    </row>
    <row r="635" spans="1:21">
      <c r="A635" s="55">
        <v>31</v>
      </c>
      <c r="B635" s="55">
        <f t="shared" si="28"/>
        <v>1007</v>
      </c>
      <c r="C635" s="53" t="s">
        <v>55</v>
      </c>
      <c r="D635" s="54" t="s">
        <v>858</v>
      </c>
      <c r="E635" s="54" t="s">
        <v>1380</v>
      </c>
      <c r="F635" s="54" t="s">
        <v>873</v>
      </c>
      <c r="G635" s="77" t="s">
        <v>1786</v>
      </c>
      <c r="L635" s="55" t="str">
        <f t="shared" si="26"/>
        <v>{1},{3}</v>
      </c>
      <c r="M635" s="55" t="s">
        <v>690</v>
      </c>
      <c r="O635" s="54">
        <v>201</v>
      </c>
      <c r="P635" s="54" t="s">
        <v>882</v>
      </c>
      <c r="Q635" s="60">
        <v>2</v>
      </c>
      <c r="R635" s="54" t="s">
        <v>867</v>
      </c>
      <c r="T635" s="55" t="str">
        <f t="shared" si="27"/>
        <v>{201,100},{2,2000}</v>
      </c>
      <c r="U635" s="55" t="s">
        <v>896</v>
      </c>
    </row>
    <row r="636" spans="1:21">
      <c r="A636" s="55">
        <v>32</v>
      </c>
      <c r="B636" s="55">
        <f t="shared" si="28"/>
        <v>1007</v>
      </c>
      <c r="C636" s="53" t="s">
        <v>55</v>
      </c>
      <c r="D636" s="54" t="s">
        <v>858</v>
      </c>
      <c r="E636" s="54" t="s">
        <v>1381</v>
      </c>
      <c r="F636" s="54" t="s">
        <v>873</v>
      </c>
      <c r="G636" s="77" t="s">
        <v>1787</v>
      </c>
      <c r="L636" s="55" t="str">
        <f t="shared" si="26"/>
        <v>{1},{3}</v>
      </c>
      <c r="M636" s="55" t="s">
        <v>691</v>
      </c>
      <c r="O636" s="54">
        <v>201</v>
      </c>
      <c r="P636" s="54" t="s">
        <v>882</v>
      </c>
      <c r="Q636" s="60">
        <v>2</v>
      </c>
      <c r="R636" s="54" t="s">
        <v>867</v>
      </c>
      <c r="T636" s="55" t="str">
        <f t="shared" si="27"/>
        <v>{201,100},{2,2000}</v>
      </c>
      <c r="U636" s="55" t="s">
        <v>896</v>
      </c>
    </row>
    <row r="637" spans="1:21">
      <c r="A637" s="55">
        <v>33</v>
      </c>
      <c r="B637" s="55">
        <f t="shared" si="28"/>
        <v>1007</v>
      </c>
      <c r="C637" s="53" t="s">
        <v>55</v>
      </c>
      <c r="D637" s="54" t="s">
        <v>858</v>
      </c>
      <c r="E637" s="54" t="s">
        <v>1382</v>
      </c>
      <c r="F637" s="54" t="s">
        <v>873</v>
      </c>
      <c r="G637" s="77" t="s">
        <v>1713</v>
      </c>
      <c r="L637" s="55" t="str">
        <f t="shared" si="26"/>
        <v>{1},{3}</v>
      </c>
      <c r="M637" s="55" t="s">
        <v>692</v>
      </c>
      <c r="O637" s="54">
        <v>201</v>
      </c>
      <c r="P637" s="54" t="s">
        <v>882</v>
      </c>
      <c r="Q637" s="60">
        <v>2</v>
      </c>
      <c r="R637" s="54" t="s">
        <v>867</v>
      </c>
      <c r="T637" s="55" t="str">
        <f t="shared" si="27"/>
        <v>{201,100},{2,2000}</v>
      </c>
      <c r="U637" s="55" t="s">
        <v>896</v>
      </c>
    </row>
    <row r="638" spans="1:21">
      <c r="A638" s="55">
        <v>34</v>
      </c>
      <c r="B638" s="55">
        <f t="shared" si="28"/>
        <v>1007</v>
      </c>
      <c r="C638" s="53" t="s">
        <v>55</v>
      </c>
      <c r="D638" s="54" t="s">
        <v>858</v>
      </c>
      <c r="E638" s="54" t="s">
        <v>1383</v>
      </c>
      <c r="F638" s="54" t="s">
        <v>873</v>
      </c>
      <c r="G638" s="77" t="s">
        <v>1714</v>
      </c>
      <c r="L638" s="55" t="str">
        <f t="shared" si="26"/>
        <v>{1},{3}</v>
      </c>
      <c r="M638" s="55" t="s">
        <v>693</v>
      </c>
      <c r="O638" s="54">
        <v>201</v>
      </c>
      <c r="P638" s="54" t="s">
        <v>882</v>
      </c>
      <c r="Q638" s="60">
        <v>2</v>
      </c>
      <c r="R638" s="54" t="s">
        <v>867</v>
      </c>
      <c r="T638" s="55" t="str">
        <f t="shared" si="27"/>
        <v>{201,100},{2,2000}</v>
      </c>
      <c r="U638" s="55" t="s">
        <v>896</v>
      </c>
    </row>
    <row r="639" spans="1:21">
      <c r="A639" s="55">
        <v>35</v>
      </c>
      <c r="B639" s="55">
        <f t="shared" si="28"/>
        <v>1007</v>
      </c>
      <c r="C639" s="53" t="s">
        <v>55</v>
      </c>
      <c r="D639" s="54" t="s">
        <v>858</v>
      </c>
      <c r="E639" s="54" t="s">
        <v>1384</v>
      </c>
      <c r="F639" s="54" t="s">
        <v>873</v>
      </c>
      <c r="G639" s="77" t="s">
        <v>1715</v>
      </c>
      <c r="L639" s="55" t="str">
        <f t="shared" si="26"/>
        <v>{1},{3}</v>
      </c>
      <c r="M639" s="55" t="s">
        <v>694</v>
      </c>
      <c r="O639" s="54">
        <v>201</v>
      </c>
      <c r="P639" s="54" t="s">
        <v>882</v>
      </c>
      <c r="Q639" s="60">
        <v>2</v>
      </c>
      <c r="R639" s="54" t="s">
        <v>867</v>
      </c>
      <c r="T639" s="55" t="str">
        <f t="shared" si="27"/>
        <v>{201,100},{2,2000}</v>
      </c>
      <c r="U639" s="55" t="s">
        <v>896</v>
      </c>
    </row>
    <row r="640" spans="1:21">
      <c r="A640" s="55">
        <v>36</v>
      </c>
      <c r="B640" s="55">
        <f t="shared" si="28"/>
        <v>1007</v>
      </c>
      <c r="C640" s="53" t="s">
        <v>55</v>
      </c>
      <c r="D640" s="54" t="s">
        <v>858</v>
      </c>
      <c r="E640" s="54" t="s">
        <v>868</v>
      </c>
      <c r="F640" s="54" t="s">
        <v>873</v>
      </c>
      <c r="G640" s="77" t="s">
        <v>1716</v>
      </c>
      <c r="L640" s="55" t="str">
        <f t="shared" si="26"/>
        <v>{1},{3}</v>
      </c>
      <c r="M640" s="55" t="s">
        <v>695</v>
      </c>
      <c r="O640" s="54">
        <v>201</v>
      </c>
      <c r="P640" s="54" t="s">
        <v>882</v>
      </c>
      <c r="Q640" s="60">
        <v>2</v>
      </c>
      <c r="R640" s="54" t="s">
        <v>867</v>
      </c>
      <c r="T640" s="55" t="str">
        <f t="shared" si="27"/>
        <v>{201,100},{2,2000}</v>
      </c>
      <c r="U640" s="55" t="s">
        <v>896</v>
      </c>
    </row>
    <row r="641" spans="1:21">
      <c r="A641" s="55">
        <v>37</v>
      </c>
      <c r="B641" s="55">
        <f t="shared" si="28"/>
        <v>1007</v>
      </c>
      <c r="C641" s="53" t="s">
        <v>55</v>
      </c>
      <c r="D641" s="54" t="s">
        <v>858</v>
      </c>
      <c r="E641" s="54" t="s">
        <v>1385</v>
      </c>
      <c r="F641" s="54" t="s">
        <v>873</v>
      </c>
      <c r="G641" s="77" t="s">
        <v>1717</v>
      </c>
      <c r="L641" s="55" t="str">
        <f t="shared" si="26"/>
        <v>{1},{3}</v>
      </c>
      <c r="M641" s="55" t="s">
        <v>696</v>
      </c>
      <c r="O641" s="54">
        <v>201</v>
      </c>
      <c r="P641" s="54" t="s">
        <v>882</v>
      </c>
      <c r="Q641" s="60">
        <v>2</v>
      </c>
      <c r="R641" s="54" t="s">
        <v>867</v>
      </c>
      <c r="T641" s="55" t="str">
        <f t="shared" si="27"/>
        <v>{201,100},{2,2000}</v>
      </c>
      <c r="U641" s="55" t="s">
        <v>896</v>
      </c>
    </row>
    <row r="642" spans="1:21">
      <c r="A642" s="55">
        <v>38</v>
      </c>
      <c r="B642" s="55">
        <f t="shared" si="28"/>
        <v>1007</v>
      </c>
      <c r="C642" s="53" t="s">
        <v>55</v>
      </c>
      <c r="D642" s="54" t="s">
        <v>858</v>
      </c>
      <c r="E642" s="54" t="s">
        <v>1386</v>
      </c>
      <c r="F642" s="54" t="s">
        <v>873</v>
      </c>
      <c r="G642" s="77" t="s">
        <v>1718</v>
      </c>
      <c r="L642" s="55" t="str">
        <f t="shared" si="26"/>
        <v>{1},{3}</v>
      </c>
      <c r="M642" s="55" t="s">
        <v>697</v>
      </c>
      <c r="O642" s="54">
        <v>201</v>
      </c>
      <c r="P642" s="54" t="s">
        <v>882</v>
      </c>
      <c r="Q642" s="60">
        <v>2</v>
      </c>
      <c r="R642" s="54" t="s">
        <v>867</v>
      </c>
      <c r="T642" s="55" t="str">
        <f t="shared" si="27"/>
        <v>{201,100},{2,2000}</v>
      </c>
      <c r="U642" s="55" t="s">
        <v>896</v>
      </c>
    </row>
    <row r="643" spans="1:21">
      <c r="A643" s="55">
        <v>39</v>
      </c>
      <c r="B643" s="55">
        <f t="shared" si="28"/>
        <v>1007</v>
      </c>
      <c r="C643" s="53" t="s">
        <v>55</v>
      </c>
      <c r="D643" s="54" t="s">
        <v>858</v>
      </c>
      <c r="E643" s="54" t="s">
        <v>1387</v>
      </c>
      <c r="F643" s="54" t="s">
        <v>873</v>
      </c>
      <c r="G643" s="77" t="s">
        <v>1719</v>
      </c>
      <c r="L643" s="55" t="str">
        <f t="shared" si="26"/>
        <v>{1},{3}</v>
      </c>
      <c r="M643" s="55" t="s">
        <v>698</v>
      </c>
      <c r="O643" s="54">
        <v>201</v>
      </c>
      <c r="P643" s="54" t="s">
        <v>882</v>
      </c>
      <c r="Q643" s="60">
        <v>2</v>
      </c>
      <c r="R643" s="54" t="s">
        <v>867</v>
      </c>
      <c r="T643" s="55" t="str">
        <f t="shared" si="27"/>
        <v>{201,100},{2,2000}</v>
      </c>
      <c r="U643" s="55" t="s">
        <v>896</v>
      </c>
    </row>
    <row r="644" spans="1:21" s="63" customFormat="1">
      <c r="A644" s="63">
        <v>40</v>
      </c>
      <c r="B644" s="63">
        <f t="shared" si="28"/>
        <v>1007</v>
      </c>
      <c r="C644" s="61" t="s">
        <v>56</v>
      </c>
      <c r="D644" s="62" t="s">
        <v>858</v>
      </c>
      <c r="E644" s="62" t="s">
        <v>1388</v>
      </c>
      <c r="F644" s="62" t="s">
        <v>873</v>
      </c>
      <c r="G644" s="78" t="s">
        <v>1788</v>
      </c>
      <c r="H644" s="78"/>
      <c r="I644" s="78"/>
      <c r="J644" s="78"/>
      <c r="L644" s="63" t="str">
        <f t="shared" si="26"/>
        <v>{1},{3}</v>
      </c>
      <c r="M644" s="63" t="s">
        <v>699</v>
      </c>
      <c r="O644" s="62" t="s">
        <v>886</v>
      </c>
      <c r="P644" s="62" t="s">
        <v>882</v>
      </c>
      <c r="Q644" s="64">
        <v>2</v>
      </c>
      <c r="R644" s="62" t="s">
        <v>867</v>
      </c>
      <c r="T644" s="55" t="str">
        <f t="shared" si="27"/>
        <v>{301,100},{2,2000}</v>
      </c>
      <c r="U644" s="63" t="s">
        <v>897</v>
      </c>
    </row>
    <row r="645" spans="1:21">
      <c r="A645" s="55">
        <v>41</v>
      </c>
      <c r="B645" s="55">
        <f t="shared" si="28"/>
        <v>1007</v>
      </c>
      <c r="C645" s="53" t="s">
        <v>57</v>
      </c>
      <c r="D645" s="54" t="s">
        <v>858</v>
      </c>
      <c r="E645" s="54" t="s">
        <v>1389</v>
      </c>
      <c r="F645" s="54" t="s">
        <v>873</v>
      </c>
      <c r="G645" s="77" t="s">
        <v>1789</v>
      </c>
      <c r="L645" s="55" t="str">
        <f t="shared" si="26"/>
        <v>{1},{3}</v>
      </c>
      <c r="M645" s="55" t="s">
        <v>700</v>
      </c>
      <c r="O645" s="54">
        <v>201</v>
      </c>
      <c r="P645" s="54" t="s">
        <v>883</v>
      </c>
      <c r="Q645" s="60">
        <v>2</v>
      </c>
      <c r="R645" s="54" t="s">
        <v>868</v>
      </c>
      <c r="T645" s="55" t="str">
        <f t="shared" si="27"/>
        <v>{201,150},{2,3750}</v>
      </c>
      <c r="U645" s="55" t="s">
        <v>898</v>
      </c>
    </row>
    <row r="646" spans="1:21">
      <c r="A646" s="55">
        <v>42</v>
      </c>
      <c r="B646" s="55">
        <f t="shared" si="28"/>
        <v>1007</v>
      </c>
      <c r="C646" s="53" t="s">
        <v>57</v>
      </c>
      <c r="D646" s="54" t="s">
        <v>858</v>
      </c>
      <c r="E646" s="54" t="s">
        <v>1390</v>
      </c>
      <c r="F646" s="54" t="s">
        <v>873</v>
      </c>
      <c r="G646" s="77" t="s">
        <v>1790</v>
      </c>
      <c r="L646" s="55" t="str">
        <f t="shared" ref="L646:L709" si="29">"{"&amp;D646&amp;"}"&amp;","&amp;"{"&amp;F646&amp;"}"</f>
        <v>{1},{3}</v>
      </c>
      <c r="M646" s="55" t="s">
        <v>701</v>
      </c>
      <c r="O646" s="54">
        <v>201</v>
      </c>
      <c r="P646" s="54" t="s">
        <v>883</v>
      </c>
      <c r="Q646" s="60">
        <v>2</v>
      </c>
      <c r="R646" s="54" t="s">
        <v>868</v>
      </c>
      <c r="T646" s="55" t="str">
        <f t="shared" ref="T646:T709" si="30">"{"&amp;O646&amp;","&amp;P646&amp;"}"&amp;","&amp;"{"&amp;Q646&amp;","&amp;R646&amp;"}"</f>
        <v>{201,150},{2,3750}</v>
      </c>
      <c r="U646" s="55" t="s">
        <v>898</v>
      </c>
    </row>
    <row r="647" spans="1:21">
      <c r="A647" s="55">
        <v>43</v>
      </c>
      <c r="B647" s="55">
        <f t="shared" si="28"/>
        <v>1007</v>
      </c>
      <c r="C647" s="53" t="s">
        <v>57</v>
      </c>
      <c r="D647" s="54" t="s">
        <v>858</v>
      </c>
      <c r="E647" s="54" t="s">
        <v>1391</v>
      </c>
      <c r="F647" s="54" t="s">
        <v>873</v>
      </c>
      <c r="G647" s="77" t="s">
        <v>1791</v>
      </c>
      <c r="L647" s="55" t="str">
        <f t="shared" si="29"/>
        <v>{1},{3}</v>
      </c>
      <c r="M647" s="55" t="s">
        <v>702</v>
      </c>
      <c r="O647" s="54">
        <v>201</v>
      </c>
      <c r="P647" s="54" t="s">
        <v>883</v>
      </c>
      <c r="Q647" s="60">
        <v>2</v>
      </c>
      <c r="R647" s="54" t="s">
        <v>868</v>
      </c>
      <c r="T647" s="55" t="str">
        <f t="shared" si="30"/>
        <v>{201,150},{2,3750}</v>
      </c>
      <c r="U647" s="55" t="s">
        <v>898</v>
      </c>
    </row>
    <row r="648" spans="1:21">
      <c r="A648" s="55">
        <v>44</v>
      </c>
      <c r="B648" s="55">
        <f t="shared" si="28"/>
        <v>1007</v>
      </c>
      <c r="C648" s="53" t="s">
        <v>57</v>
      </c>
      <c r="D648" s="54" t="s">
        <v>858</v>
      </c>
      <c r="E648" s="54" t="s">
        <v>1392</v>
      </c>
      <c r="F648" s="54" t="s">
        <v>873</v>
      </c>
      <c r="G648" s="77" t="s">
        <v>1792</v>
      </c>
      <c r="L648" s="55" t="str">
        <f t="shared" si="29"/>
        <v>{1},{3}</v>
      </c>
      <c r="M648" s="55" t="s">
        <v>703</v>
      </c>
      <c r="O648" s="54">
        <v>201</v>
      </c>
      <c r="P648" s="54" t="s">
        <v>883</v>
      </c>
      <c r="Q648" s="60">
        <v>2</v>
      </c>
      <c r="R648" s="54" t="s">
        <v>868</v>
      </c>
      <c r="T648" s="55" t="str">
        <f t="shared" si="30"/>
        <v>{201,150},{2,3750}</v>
      </c>
      <c r="U648" s="55" t="s">
        <v>898</v>
      </c>
    </row>
    <row r="649" spans="1:21">
      <c r="A649" s="55">
        <v>45</v>
      </c>
      <c r="B649" s="55">
        <f t="shared" si="28"/>
        <v>1007</v>
      </c>
      <c r="C649" s="53" t="s">
        <v>57</v>
      </c>
      <c r="D649" s="54" t="s">
        <v>858</v>
      </c>
      <c r="E649" s="54" t="s">
        <v>1393</v>
      </c>
      <c r="F649" s="54" t="s">
        <v>873</v>
      </c>
      <c r="G649" s="77" t="s">
        <v>1793</v>
      </c>
      <c r="L649" s="55" t="str">
        <f t="shared" si="29"/>
        <v>{1},{3}</v>
      </c>
      <c r="M649" s="55" t="s">
        <v>704</v>
      </c>
      <c r="O649" s="54">
        <v>201</v>
      </c>
      <c r="P649" s="54" t="s">
        <v>883</v>
      </c>
      <c r="Q649" s="60">
        <v>2</v>
      </c>
      <c r="R649" s="54" t="s">
        <v>868</v>
      </c>
      <c r="T649" s="55" t="str">
        <f t="shared" si="30"/>
        <v>{201,150},{2,3750}</v>
      </c>
      <c r="U649" s="55" t="s">
        <v>898</v>
      </c>
    </row>
    <row r="650" spans="1:21">
      <c r="A650" s="55">
        <v>46</v>
      </c>
      <c r="B650" s="55">
        <f t="shared" si="28"/>
        <v>1007</v>
      </c>
      <c r="C650" s="53" t="s">
        <v>57</v>
      </c>
      <c r="D650" s="54" t="s">
        <v>858</v>
      </c>
      <c r="E650" s="54" t="s">
        <v>1394</v>
      </c>
      <c r="F650" s="54" t="s">
        <v>873</v>
      </c>
      <c r="G650" s="77" t="s">
        <v>1794</v>
      </c>
      <c r="L650" s="55" t="str">
        <f t="shared" si="29"/>
        <v>{1},{3}</v>
      </c>
      <c r="M650" s="55" t="s">
        <v>705</v>
      </c>
      <c r="O650" s="54">
        <v>201</v>
      </c>
      <c r="P650" s="54" t="s">
        <v>883</v>
      </c>
      <c r="Q650" s="60">
        <v>2</v>
      </c>
      <c r="R650" s="54" t="s">
        <v>868</v>
      </c>
      <c r="T650" s="55" t="str">
        <f t="shared" si="30"/>
        <v>{201,150},{2,3750}</v>
      </c>
      <c r="U650" s="55" t="s">
        <v>898</v>
      </c>
    </row>
    <row r="651" spans="1:21">
      <c r="A651" s="55">
        <v>47</v>
      </c>
      <c r="B651" s="55">
        <f t="shared" si="28"/>
        <v>1007</v>
      </c>
      <c r="C651" s="53" t="s">
        <v>57</v>
      </c>
      <c r="D651" s="54" t="s">
        <v>858</v>
      </c>
      <c r="E651" s="54" t="s">
        <v>1395</v>
      </c>
      <c r="F651" s="54" t="s">
        <v>873</v>
      </c>
      <c r="G651" s="77" t="s">
        <v>1795</v>
      </c>
      <c r="L651" s="55" t="str">
        <f t="shared" si="29"/>
        <v>{1},{3}</v>
      </c>
      <c r="M651" s="55" t="s">
        <v>706</v>
      </c>
      <c r="O651" s="54">
        <v>201</v>
      </c>
      <c r="P651" s="54" t="s">
        <v>883</v>
      </c>
      <c r="Q651" s="60">
        <v>2</v>
      </c>
      <c r="R651" s="54" t="s">
        <v>868</v>
      </c>
      <c r="T651" s="55" t="str">
        <f t="shared" si="30"/>
        <v>{201,150},{2,3750}</v>
      </c>
      <c r="U651" s="55" t="s">
        <v>898</v>
      </c>
    </row>
    <row r="652" spans="1:21">
      <c r="A652" s="55">
        <v>48</v>
      </c>
      <c r="B652" s="55">
        <f t="shared" si="28"/>
        <v>1007</v>
      </c>
      <c r="C652" s="53" t="s">
        <v>57</v>
      </c>
      <c r="D652" s="54" t="s">
        <v>858</v>
      </c>
      <c r="E652" s="54" t="s">
        <v>1396</v>
      </c>
      <c r="F652" s="54" t="s">
        <v>873</v>
      </c>
      <c r="G652" s="77" t="s">
        <v>1796</v>
      </c>
      <c r="L652" s="55" t="str">
        <f t="shared" si="29"/>
        <v>{1},{3}</v>
      </c>
      <c r="M652" s="55" t="s">
        <v>707</v>
      </c>
      <c r="O652" s="54">
        <v>201</v>
      </c>
      <c r="P652" s="54" t="s">
        <v>883</v>
      </c>
      <c r="Q652" s="60">
        <v>2</v>
      </c>
      <c r="R652" s="54" t="s">
        <v>868</v>
      </c>
      <c r="T652" s="55" t="str">
        <f t="shared" si="30"/>
        <v>{201,150},{2,3750}</v>
      </c>
      <c r="U652" s="55" t="s">
        <v>898</v>
      </c>
    </row>
    <row r="653" spans="1:21">
      <c r="A653" s="55">
        <v>49</v>
      </c>
      <c r="B653" s="55">
        <f t="shared" si="28"/>
        <v>1007</v>
      </c>
      <c r="C653" s="53" t="s">
        <v>57</v>
      </c>
      <c r="D653" s="54" t="s">
        <v>858</v>
      </c>
      <c r="E653" s="54" t="s">
        <v>1397</v>
      </c>
      <c r="F653" s="54" t="s">
        <v>873</v>
      </c>
      <c r="G653" s="77" t="s">
        <v>1797</v>
      </c>
      <c r="L653" s="55" t="str">
        <f t="shared" si="29"/>
        <v>{1},{3}</v>
      </c>
      <c r="M653" s="55" t="s">
        <v>708</v>
      </c>
      <c r="O653" s="54">
        <v>201</v>
      </c>
      <c r="P653" s="54" t="s">
        <v>883</v>
      </c>
      <c r="Q653" s="60">
        <v>2</v>
      </c>
      <c r="R653" s="54" t="s">
        <v>868</v>
      </c>
      <c r="T653" s="55" t="str">
        <f t="shared" si="30"/>
        <v>{201,150},{2,3750}</v>
      </c>
      <c r="U653" s="55" t="s">
        <v>898</v>
      </c>
    </row>
    <row r="654" spans="1:21">
      <c r="A654" s="55">
        <v>50</v>
      </c>
      <c r="B654" s="55">
        <f t="shared" si="28"/>
        <v>1007</v>
      </c>
      <c r="C654" s="53" t="s">
        <v>57</v>
      </c>
      <c r="D654" s="54" t="s">
        <v>858</v>
      </c>
      <c r="E654" s="54" t="s">
        <v>1398</v>
      </c>
      <c r="F654" s="54" t="s">
        <v>873</v>
      </c>
      <c r="G654" s="77" t="s">
        <v>1798</v>
      </c>
      <c r="L654" s="55" t="str">
        <f t="shared" si="29"/>
        <v>{1},{3}</v>
      </c>
      <c r="M654" s="55" t="s">
        <v>709</v>
      </c>
      <c r="O654" s="54">
        <v>201</v>
      </c>
      <c r="P654" s="54" t="s">
        <v>883</v>
      </c>
      <c r="Q654" s="60">
        <v>2</v>
      </c>
      <c r="R654" s="54" t="s">
        <v>868</v>
      </c>
      <c r="T654" s="55" t="str">
        <f t="shared" si="30"/>
        <v>{201,150},{2,3750}</v>
      </c>
      <c r="U654" s="55" t="s">
        <v>898</v>
      </c>
    </row>
    <row r="655" spans="1:21">
      <c r="A655" s="55">
        <v>51</v>
      </c>
      <c r="B655" s="55">
        <f t="shared" si="28"/>
        <v>1007</v>
      </c>
      <c r="C655" s="53" t="s">
        <v>57</v>
      </c>
      <c r="D655" s="54" t="s">
        <v>858</v>
      </c>
      <c r="E655" s="54" t="s">
        <v>1399</v>
      </c>
      <c r="F655" s="54" t="s">
        <v>873</v>
      </c>
      <c r="G655" s="77" t="s">
        <v>1799</v>
      </c>
      <c r="L655" s="55" t="str">
        <f t="shared" si="29"/>
        <v>{1},{3}</v>
      </c>
      <c r="M655" s="55" t="s">
        <v>710</v>
      </c>
      <c r="O655" s="54">
        <v>201</v>
      </c>
      <c r="P655" s="54" t="s">
        <v>883</v>
      </c>
      <c r="Q655" s="60">
        <v>2</v>
      </c>
      <c r="R655" s="54" t="s">
        <v>868</v>
      </c>
      <c r="T655" s="55" t="str">
        <f t="shared" si="30"/>
        <v>{201,150},{2,3750}</v>
      </c>
      <c r="U655" s="55" t="s">
        <v>898</v>
      </c>
    </row>
    <row r="656" spans="1:21">
      <c r="A656" s="55">
        <v>52</v>
      </c>
      <c r="B656" s="55">
        <f t="shared" si="28"/>
        <v>1007</v>
      </c>
      <c r="C656" s="53" t="s">
        <v>57</v>
      </c>
      <c r="D656" s="54" t="s">
        <v>858</v>
      </c>
      <c r="E656" s="54" t="s">
        <v>1400</v>
      </c>
      <c r="F656" s="54" t="s">
        <v>873</v>
      </c>
      <c r="G656" s="77" t="s">
        <v>1800</v>
      </c>
      <c r="L656" s="55" t="str">
        <f t="shared" si="29"/>
        <v>{1},{3}</v>
      </c>
      <c r="M656" s="55" t="s">
        <v>711</v>
      </c>
      <c r="O656" s="54">
        <v>201</v>
      </c>
      <c r="P656" s="54" t="s">
        <v>883</v>
      </c>
      <c r="Q656" s="60">
        <v>2</v>
      </c>
      <c r="R656" s="54" t="s">
        <v>868</v>
      </c>
      <c r="T656" s="55" t="str">
        <f t="shared" si="30"/>
        <v>{201,150},{2,3750}</v>
      </c>
      <c r="U656" s="55" t="s">
        <v>898</v>
      </c>
    </row>
    <row r="657" spans="1:21">
      <c r="A657" s="55">
        <v>53</v>
      </c>
      <c r="B657" s="55">
        <f t="shared" si="28"/>
        <v>1007</v>
      </c>
      <c r="C657" s="53" t="s">
        <v>57</v>
      </c>
      <c r="D657" s="54" t="s">
        <v>858</v>
      </c>
      <c r="E657" s="54" t="s">
        <v>1401</v>
      </c>
      <c r="F657" s="54" t="s">
        <v>873</v>
      </c>
      <c r="G657" s="77" t="s">
        <v>1801</v>
      </c>
      <c r="L657" s="55" t="str">
        <f t="shared" si="29"/>
        <v>{1},{3}</v>
      </c>
      <c r="M657" s="55" t="s">
        <v>712</v>
      </c>
      <c r="O657" s="54">
        <v>201</v>
      </c>
      <c r="P657" s="54" t="s">
        <v>883</v>
      </c>
      <c r="Q657" s="60">
        <v>2</v>
      </c>
      <c r="R657" s="54" t="s">
        <v>868</v>
      </c>
      <c r="T657" s="55" t="str">
        <f t="shared" si="30"/>
        <v>{201,150},{2,3750}</v>
      </c>
      <c r="U657" s="55" t="s">
        <v>898</v>
      </c>
    </row>
    <row r="658" spans="1:21">
      <c r="A658" s="55">
        <v>54</v>
      </c>
      <c r="B658" s="55">
        <f t="shared" si="28"/>
        <v>1007</v>
      </c>
      <c r="C658" s="53" t="s">
        <v>57</v>
      </c>
      <c r="D658" s="54" t="s">
        <v>858</v>
      </c>
      <c r="E658" s="54" t="s">
        <v>1402</v>
      </c>
      <c r="F658" s="54" t="s">
        <v>873</v>
      </c>
      <c r="G658" s="77" t="s">
        <v>1802</v>
      </c>
      <c r="L658" s="55" t="str">
        <f t="shared" si="29"/>
        <v>{1},{3}</v>
      </c>
      <c r="M658" s="55" t="s">
        <v>713</v>
      </c>
      <c r="O658" s="54">
        <v>201</v>
      </c>
      <c r="P658" s="54" t="s">
        <v>883</v>
      </c>
      <c r="Q658" s="60">
        <v>2</v>
      </c>
      <c r="R658" s="54" t="s">
        <v>868</v>
      </c>
      <c r="T658" s="55" t="str">
        <f t="shared" si="30"/>
        <v>{201,150},{2,3750}</v>
      </c>
      <c r="U658" s="55" t="s">
        <v>898</v>
      </c>
    </row>
    <row r="659" spans="1:21">
      <c r="A659" s="55">
        <v>55</v>
      </c>
      <c r="B659" s="55">
        <f t="shared" si="28"/>
        <v>1007</v>
      </c>
      <c r="C659" s="53" t="s">
        <v>57</v>
      </c>
      <c r="D659" s="54" t="s">
        <v>858</v>
      </c>
      <c r="E659" s="54" t="s">
        <v>1403</v>
      </c>
      <c r="F659" s="54" t="s">
        <v>873</v>
      </c>
      <c r="G659" s="77" t="s">
        <v>1803</v>
      </c>
      <c r="L659" s="55" t="str">
        <f t="shared" si="29"/>
        <v>{1},{3}</v>
      </c>
      <c r="M659" s="55" t="s">
        <v>714</v>
      </c>
      <c r="O659" s="54">
        <v>201</v>
      </c>
      <c r="P659" s="54" t="s">
        <v>883</v>
      </c>
      <c r="Q659" s="60">
        <v>2</v>
      </c>
      <c r="R659" s="54" t="s">
        <v>868</v>
      </c>
      <c r="T659" s="55" t="str">
        <f t="shared" si="30"/>
        <v>{201,150},{2,3750}</v>
      </c>
      <c r="U659" s="55" t="s">
        <v>898</v>
      </c>
    </row>
    <row r="660" spans="1:21">
      <c r="A660" s="55">
        <v>56</v>
      </c>
      <c r="B660" s="55">
        <f t="shared" si="28"/>
        <v>1007</v>
      </c>
      <c r="C660" s="53" t="s">
        <v>57</v>
      </c>
      <c r="D660" s="54" t="s">
        <v>858</v>
      </c>
      <c r="E660" s="54" t="s">
        <v>1404</v>
      </c>
      <c r="F660" s="54" t="s">
        <v>873</v>
      </c>
      <c r="G660" s="77" t="s">
        <v>1804</v>
      </c>
      <c r="L660" s="55" t="str">
        <f t="shared" si="29"/>
        <v>{1},{3}</v>
      </c>
      <c r="M660" s="55" t="s">
        <v>715</v>
      </c>
      <c r="O660" s="54">
        <v>201</v>
      </c>
      <c r="P660" s="54" t="s">
        <v>883</v>
      </c>
      <c r="Q660" s="60">
        <v>2</v>
      </c>
      <c r="R660" s="54" t="s">
        <v>868</v>
      </c>
      <c r="T660" s="55" t="str">
        <f t="shared" si="30"/>
        <v>{201,150},{2,3750}</v>
      </c>
      <c r="U660" s="55" t="s">
        <v>898</v>
      </c>
    </row>
    <row r="661" spans="1:21">
      <c r="A661" s="55">
        <v>57</v>
      </c>
      <c r="B661" s="55">
        <f t="shared" si="28"/>
        <v>1007</v>
      </c>
      <c r="C661" s="53" t="s">
        <v>57</v>
      </c>
      <c r="D661" s="54" t="s">
        <v>858</v>
      </c>
      <c r="E661" s="54" t="s">
        <v>1405</v>
      </c>
      <c r="F661" s="54" t="s">
        <v>873</v>
      </c>
      <c r="G661" s="77" t="s">
        <v>1805</v>
      </c>
      <c r="L661" s="55" t="str">
        <f t="shared" si="29"/>
        <v>{1},{3}</v>
      </c>
      <c r="M661" s="55" t="s">
        <v>716</v>
      </c>
      <c r="O661" s="54">
        <v>201</v>
      </c>
      <c r="P661" s="54" t="s">
        <v>883</v>
      </c>
      <c r="Q661" s="60">
        <v>2</v>
      </c>
      <c r="R661" s="54" t="s">
        <v>868</v>
      </c>
      <c r="T661" s="55" t="str">
        <f t="shared" si="30"/>
        <v>{201,150},{2,3750}</v>
      </c>
      <c r="U661" s="55" t="s">
        <v>898</v>
      </c>
    </row>
    <row r="662" spans="1:21">
      <c r="A662" s="55">
        <v>58</v>
      </c>
      <c r="B662" s="55">
        <f t="shared" si="28"/>
        <v>1007</v>
      </c>
      <c r="C662" s="53" t="s">
        <v>57</v>
      </c>
      <c r="D662" s="54" t="s">
        <v>858</v>
      </c>
      <c r="E662" s="54" t="s">
        <v>1406</v>
      </c>
      <c r="F662" s="54" t="s">
        <v>873</v>
      </c>
      <c r="G662" s="77" t="s">
        <v>1806</v>
      </c>
      <c r="L662" s="55" t="str">
        <f t="shared" si="29"/>
        <v>{1},{3}</v>
      </c>
      <c r="M662" s="55" t="s">
        <v>717</v>
      </c>
      <c r="O662" s="54">
        <v>201</v>
      </c>
      <c r="P662" s="54" t="s">
        <v>883</v>
      </c>
      <c r="Q662" s="60">
        <v>2</v>
      </c>
      <c r="R662" s="54" t="s">
        <v>868</v>
      </c>
      <c r="T662" s="55" t="str">
        <f t="shared" si="30"/>
        <v>{201,150},{2,3750}</v>
      </c>
      <c r="U662" s="55" t="s">
        <v>898</v>
      </c>
    </row>
    <row r="663" spans="1:21">
      <c r="A663" s="55">
        <v>59</v>
      </c>
      <c r="B663" s="55">
        <f t="shared" si="28"/>
        <v>1007</v>
      </c>
      <c r="C663" s="53" t="s">
        <v>57</v>
      </c>
      <c r="D663" s="54" t="s">
        <v>858</v>
      </c>
      <c r="E663" s="54" t="s">
        <v>1407</v>
      </c>
      <c r="F663" s="54" t="s">
        <v>873</v>
      </c>
      <c r="G663" s="77" t="s">
        <v>1807</v>
      </c>
      <c r="L663" s="55" t="str">
        <f t="shared" si="29"/>
        <v>{1},{3}</v>
      </c>
      <c r="M663" s="55" t="s">
        <v>718</v>
      </c>
      <c r="O663" s="54">
        <v>201</v>
      </c>
      <c r="P663" s="54" t="s">
        <v>883</v>
      </c>
      <c r="Q663" s="60">
        <v>2</v>
      </c>
      <c r="R663" s="54" t="s">
        <v>868</v>
      </c>
      <c r="T663" s="55" t="str">
        <f t="shared" si="30"/>
        <v>{201,150},{2,3750}</v>
      </c>
      <c r="U663" s="55" t="s">
        <v>898</v>
      </c>
    </row>
    <row r="664" spans="1:21" s="63" customFormat="1">
      <c r="A664" s="63">
        <v>60</v>
      </c>
      <c r="B664" s="63">
        <f t="shared" si="28"/>
        <v>1007</v>
      </c>
      <c r="C664" s="61" t="s">
        <v>58</v>
      </c>
      <c r="D664" s="62" t="s">
        <v>858</v>
      </c>
      <c r="E664" s="62" t="s">
        <v>1408</v>
      </c>
      <c r="F664" s="62" t="s">
        <v>873</v>
      </c>
      <c r="G664" s="78" t="s">
        <v>1808</v>
      </c>
      <c r="H664" s="78"/>
      <c r="I664" s="78"/>
      <c r="J664" s="78"/>
      <c r="L664" s="63" t="str">
        <f t="shared" si="29"/>
        <v>{1},{3}</v>
      </c>
      <c r="M664" s="63" t="s">
        <v>719</v>
      </c>
      <c r="O664" s="62" t="s">
        <v>886</v>
      </c>
      <c r="P664" s="62" t="s">
        <v>883</v>
      </c>
      <c r="Q664" s="64">
        <v>2</v>
      </c>
      <c r="R664" s="62" t="s">
        <v>869</v>
      </c>
      <c r="T664" s="55" t="str">
        <f t="shared" si="30"/>
        <v>{301,150},{2,4500}</v>
      </c>
      <c r="U664" s="63" t="s">
        <v>899</v>
      </c>
    </row>
    <row r="665" spans="1:21">
      <c r="A665" s="55">
        <v>61</v>
      </c>
      <c r="B665" s="55">
        <f t="shared" si="28"/>
        <v>1007</v>
      </c>
      <c r="C665" s="53" t="s">
        <v>59</v>
      </c>
      <c r="D665" s="54" t="s">
        <v>858</v>
      </c>
      <c r="E665" s="54" t="s">
        <v>1409</v>
      </c>
      <c r="F665" s="54" t="s">
        <v>873</v>
      </c>
      <c r="G665" s="77" t="s">
        <v>1809</v>
      </c>
      <c r="L665" s="55" t="str">
        <f t="shared" si="29"/>
        <v>{1},{3}</v>
      </c>
      <c r="M665" s="55" t="s">
        <v>720</v>
      </c>
      <c r="O665" s="54">
        <v>201</v>
      </c>
      <c r="P665" s="54" t="s">
        <v>884</v>
      </c>
      <c r="Q665" s="60">
        <v>2</v>
      </c>
      <c r="R665" s="54" t="s">
        <v>870</v>
      </c>
      <c r="T665" s="55" t="str">
        <f t="shared" si="30"/>
        <v>{201,300},{2,9000}</v>
      </c>
      <c r="U665" s="55" t="s">
        <v>900</v>
      </c>
    </row>
    <row r="666" spans="1:21">
      <c r="A666" s="55">
        <v>62</v>
      </c>
      <c r="B666" s="55">
        <f t="shared" si="28"/>
        <v>1007</v>
      </c>
      <c r="C666" s="53" t="s">
        <v>59</v>
      </c>
      <c r="D666" s="54" t="s">
        <v>858</v>
      </c>
      <c r="E666" s="54" t="s">
        <v>1410</v>
      </c>
      <c r="F666" s="54" t="s">
        <v>873</v>
      </c>
      <c r="G666" s="77" t="s">
        <v>1810</v>
      </c>
      <c r="L666" s="55" t="str">
        <f t="shared" si="29"/>
        <v>{1},{3}</v>
      </c>
      <c r="M666" s="55" t="s">
        <v>721</v>
      </c>
      <c r="O666" s="54">
        <v>201</v>
      </c>
      <c r="P666" s="54" t="s">
        <v>884</v>
      </c>
      <c r="Q666" s="60">
        <v>2</v>
      </c>
      <c r="R666" s="54" t="s">
        <v>870</v>
      </c>
      <c r="T666" s="55" t="str">
        <f t="shared" si="30"/>
        <v>{201,300},{2,9000}</v>
      </c>
      <c r="U666" s="55" t="s">
        <v>900</v>
      </c>
    </row>
    <row r="667" spans="1:21">
      <c r="A667" s="55">
        <v>63</v>
      </c>
      <c r="B667" s="55">
        <f t="shared" si="28"/>
        <v>1007</v>
      </c>
      <c r="C667" s="53" t="s">
        <v>59</v>
      </c>
      <c r="D667" s="54" t="s">
        <v>858</v>
      </c>
      <c r="E667" s="54" t="s">
        <v>1411</v>
      </c>
      <c r="F667" s="54" t="s">
        <v>873</v>
      </c>
      <c r="G667" s="77" t="s">
        <v>1811</v>
      </c>
      <c r="L667" s="55" t="str">
        <f t="shared" si="29"/>
        <v>{1},{3}</v>
      </c>
      <c r="M667" s="55" t="s">
        <v>722</v>
      </c>
      <c r="O667" s="54">
        <v>201</v>
      </c>
      <c r="P667" s="54" t="s">
        <v>884</v>
      </c>
      <c r="Q667" s="60">
        <v>2</v>
      </c>
      <c r="R667" s="54" t="s">
        <v>870</v>
      </c>
      <c r="T667" s="55" t="str">
        <f t="shared" si="30"/>
        <v>{201,300},{2,9000}</v>
      </c>
      <c r="U667" s="55" t="s">
        <v>900</v>
      </c>
    </row>
    <row r="668" spans="1:21">
      <c r="A668" s="55">
        <v>64</v>
      </c>
      <c r="B668" s="55">
        <f t="shared" si="28"/>
        <v>1007</v>
      </c>
      <c r="C668" s="53" t="s">
        <v>59</v>
      </c>
      <c r="D668" s="54" t="s">
        <v>858</v>
      </c>
      <c r="E668" s="54" t="s">
        <v>1412</v>
      </c>
      <c r="F668" s="54" t="s">
        <v>873</v>
      </c>
      <c r="G668" s="77" t="s">
        <v>1812</v>
      </c>
      <c r="L668" s="55" t="str">
        <f t="shared" si="29"/>
        <v>{1},{3}</v>
      </c>
      <c r="M668" s="55" t="s">
        <v>723</v>
      </c>
      <c r="O668" s="54">
        <v>201</v>
      </c>
      <c r="P668" s="54" t="s">
        <v>884</v>
      </c>
      <c r="Q668" s="60">
        <v>2</v>
      </c>
      <c r="R668" s="54" t="s">
        <v>870</v>
      </c>
      <c r="T668" s="55" t="str">
        <f t="shared" si="30"/>
        <v>{201,300},{2,9000}</v>
      </c>
      <c r="U668" s="55" t="s">
        <v>900</v>
      </c>
    </row>
    <row r="669" spans="1:21">
      <c r="A669" s="55">
        <v>65</v>
      </c>
      <c r="B669" s="55">
        <f t="shared" si="28"/>
        <v>1007</v>
      </c>
      <c r="C669" s="53" t="s">
        <v>59</v>
      </c>
      <c r="D669" s="54" t="s">
        <v>858</v>
      </c>
      <c r="E669" s="54" t="s">
        <v>1413</v>
      </c>
      <c r="F669" s="54" t="s">
        <v>873</v>
      </c>
      <c r="G669" s="77" t="s">
        <v>1813</v>
      </c>
      <c r="L669" s="55" t="str">
        <f t="shared" si="29"/>
        <v>{1},{3}</v>
      </c>
      <c r="M669" s="55" t="s">
        <v>724</v>
      </c>
      <c r="O669" s="54">
        <v>201</v>
      </c>
      <c r="P669" s="54" t="s">
        <v>884</v>
      </c>
      <c r="Q669" s="60">
        <v>2</v>
      </c>
      <c r="R669" s="54" t="s">
        <v>870</v>
      </c>
      <c r="T669" s="55" t="str">
        <f t="shared" si="30"/>
        <v>{201,300},{2,9000}</v>
      </c>
      <c r="U669" s="55" t="s">
        <v>900</v>
      </c>
    </row>
    <row r="670" spans="1:21">
      <c r="A670" s="55">
        <v>66</v>
      </c>
      <c r="B670" s="55">
        <f t="shared" si="28"/>
        <v>1007</v>
      </c>
      <c r="C670" s="53" t="s">
        <v>59</v>
      </c>
      <c r="D670" s="54" t="s">
        <v>858</v>
      </c>
      <c r="E670" s="54" t="s">
        <v>1414</v>
      </c>
      <c r="F670" s="54" t="s">
        <v>873</v>
      </c>
      <c r="G670" s="77" t="s">
        <v>1814</v>
      </c>
      <c r="L670" s="55" t="str">
        <f t="shared" si="29"/>
        <v>{1},{3}</v>
      </c>
      <c r="M670" s="55" t="s">
        <v>725</v>
      </c>
      <c r="O670" s="54">
        <v>201</v>
      </c>
      <c r="P670" s="54" t="s">
        <v>884</v>
      </c>
      <c r="Q670" s="60">
        <v>2</v>
      </c>
      <c r="R670" s="54" t="s">
        <v>870</v>
      </c>
      <c r="T670" s="55" t="str">
        <f t="shared" si="30"/>
        <v>{201,300},{2,9000}</v>
      </c>
      <c r="U670" s="55" t="s">
        <v>900</v>
      </c>
    </row>
    <row r="671" spans="1:21">
      <c r="A671" s="55">
        <v>67</v>
      </c>
      <c r="B671" s="55">
        <f t="shared" si="28"/>
        <v>1007</v>
      </c>
      <c r="C671" s="53" t="s">
        <v>59</v>
      </c>
      <c r="D671" s="54" t="s">
        <v>858</v>
      </c>
      <c r="E671" s="54" t="s">
        <v>1415</v>
      </c>
      <c r="F671" s="54" t="s">
        <v>873</v>
      </c>
      <c r="G671" s="77" t="s">
        <v>1815</v>
      </c>
      <c r="L671" s="55" t="str">
        <f t="shared" si="29"/>
        <v>{1},{3}</v>
      </c>
      <c r="M671" s="55" t="s">
        <v>726</v>
      </c>
      <c r="O671" s="54">
        <v>201</v>
      </c>
      <c r="P671" s="54" t="s">
        <v>884</v>
      </c>
      <c r="Q671" s="60">
        <v>2</v>
      </c>
      <c r="R671" s="54" t="s">
        <v>870</v>
      </c>
      <c r="T671" s="55" t="str">
        <f t="shared" si="30"/>
        <v>{201,300},{2,9000}</v>
      </c>
      <c r="U671" s="55" t="s">
        <v>900</v>
      </c>
    </row>
    <row r="672" spans="1:21">
      <c r="A672" s="55">
        <v>68</v>
      </c>
      <c r="B672" s="55">
        <f t="shared" si="28"/>
        <v>1007</v>
      </c>
      <c r="C672" s="53" t="s">
        <v>59</v>
      </c>
      <c r="D672" s="54" t="s">
        <v>858</v>
      </c>
      <c r="E672" s="54" t="s">
        <v>1416</v>
      </c>
      <c r="F672" s="54" t="s">
        <v>873</v>
      </c>
      <c r="G672" s="77" t="s">
        <v>1816</v>
      </c>
      <c r="L672" s="55" t="str">
        <f t="shared" si="29"/>
        <v>{1},{3}</v>
      </c>
      <c r="M672" s="55" t="s">
        <v>727</v>
      </c>
      <c r="O672" s="54">
        <v>201</v>
      </c>
      <c r="P672" s="54" t="s">
        <v>884</v>
      </c>
      <c r="Q672" s="60">
        <v>2</v>
      </c>
      <c r="R672" s="54" t="s">
        <v>870</v>
      </c>
      <c r="T672" s="55" t="str">
        <f t="shared" si="30"/>
        <v>{201,300},{2,9000}</v>
      </c>
      <c r="U672" s="55" t="s">
        <v>900</v>
      </c>
    </row>
    <row r="673" spans="1:21">
      <c r="A673" s="55">
        <v>69</v>
      </c>
      <c r="B673" s="55">
        <f t="shared" si="28"/>
        <v>1007</v>
      </c>
      <c r="C673" s="53" t="s">
        <v>59</v>
      </c>
      <c r="D673" s="54" t="s">
        <v>858</v>
      </c>
      <c r="E673" s="54" t="s">
        <v>1417</v>
      </c>
      <c r="F673" s="54" t="s">
        <v>873</v>
      </c>
      <c r="G673" s="77" t="s">
        <v>1817</v>
      </c>
      <c r="L673" s="55" t="str">
        <f t="shared" si="29"/>
        <v>{1},{3}</v>
      </c>
      <c r="M673" s="55" t="s">
        <v>728</v>
      </c>
      <c r="O673" s="54">
        <v>201</v>
      </c>
      <c r="P673" s="54" t="s">
        <v>884</v>
      </c>
      <c r="Q673" s="60">
        <v>2</v>
      </c>
      <c r="R673" s="54" t="s">
        <v>870</v>
      </c>
      <c r="T673" s="55" t="str">
        <f t="shared" si="30"/>
        <v>{201,300},{2,9000}</v>
      </c>
      <c r="U673" s="55" t="s">
        <v>900</v>
      </c>
    </row>
    <row r="674" spans="1:21">
      <c r="A674" s="55">
        <v>70</v>
      </c>
      <c r="B674" s="55">
        <f t="shared" si="28"/>
        <v>1007</v>
      </c>
      <c r="C674" s="53" t="s">
        <v>59</v>
      </c>
      <c r="D674" s="54" t="s">
        <v>858</v>
      </c>
      <c r="E674" s="54" t="s">
        <v>1418</v>
      </c>
      <c r="F674" s="54" t="s">
        <v>873</v>
      </c>
      <c r="G674" s="77" t="s">
        <v>1818</v>
      </c>
      <c r="L674" s="55" t="str">
        <f t="shared" si="29"/>
        <v>{1},{3}</v>
      </c>
      <c r="M674" s="55" t="s">
        <v>729</v>
      </c>
      <c r="O674" s="54">
        <v>201</v>
      </c>
      <c r="P674" s="54" t="s">
        <v>884</v>
      </c>
      <c r="Q674" s="60">
        <v>2</v>
      </c>
      <c r="R674" s="54" t="s">
        <v>870</v>
      </c>
      <c r="T674" s="55" t="str">
        <f t="shared" si="30"/>
        <v>{201,300},{2,9000}</v>
      </c>
      <c r="U674" s="55" t="s">
        <v>900</v>
      </c>
    </row>
    <row r="675" spans="1:21">
      <c r="A675" s="55">
        <v>71</v>
      </c>
      <c r="B675" s="55">
        <f t="shared" si="28"/>
        <v>1007</v>
      </c>
      <c r="C675" s="53" t="s">
        <v>59</v>
      </c>
      <c r="D675" s="54" t="s">
        <v>858</v>
      </c>
      <c r="E675" s="54" t="s">
        <v>1419</v>
      </c>
      <c r="F675" s="54" t="s">
        <v>873</v>
      </c>
      <c r="G675" s="77" t="s">
        <v>1819</v>
      </c>
      <c r="L675" s="55" t="str">
        <f t="shared" si="29"/>
        <v>{1},{3}</v>
      </c>
      <c r="M675" s="55" t="s">
        <v>730</v>
      </c>
      <c r="O675" s="54">
        <v>201</v>
      </c>
      <c r="P675" s="54" t="s">
        <v>884</v>
      </c>
      <c r="Q675" s="60">
        <v>2</v>
      </c>
      <c r="R675" s="54" t="s">
        <v>870</v>
      </c>
      <c r="T675" s="55" t="str">
        <f t="shared" si="30"/>
        <v>{201,300},{2,9000}</v>
      </c>
      <c r="U675" s="55" t="s">
        <v>900</v>
      </c>
    </row>
    <row r="676" spans="1:21">
      <c r="A676" s="55">
        <v>72</v>
      </c>
      <c r="B676" s="55">
        <f t="shared" si="28"/>
        <v>1007</v>
      </c>
      <c r="C676" s="53" t="s">
        <v>59</v>
      </c>
      <c r="D676" s="54" t="s">
        <v>858</v>
      </c>
      <c r="E676" s="54" t="s">
        <v>1420</v>
      </c>
      <c r="F676" s="54" t="s">
        <v>873</v>
      </c>
      <c r="G676" s="77" t="s">
        <v>1820</v>
      </c>
      <c r="L676" s="55" t="str">
        <f t="shared" si="29"/>
        <v>{1},{3}</v>
      </c>
      <c r="M676" s="55" t="s">
        <v>731</v>
      </c>
      <c r="O676" s="54">
        <v>201</v>
      </c>
      <c r="P676" s="54" t="s">
        <v>884</v>
      </c>
      <c r="Q676" s="60">
        <v>2</v>
      </c>
      <c r="R676" s="54" t="s">
        <v>870</v>
      </c>
      <c r="T676" s="55" t="str">
        <f t="shared" si="30"/>
        <v>{201,300},{2,9000}</v>
      </c>
      <c r="U676" s="55" t="s">
        <v>900</v>
      </c>
    </row>
    <row r="677" spans="1:21">
      <c r="A677" s="55">
        <v>73</v>
      </c>
      <c r="B677" s="55">
        <f t="shared" si="28"/>
        <v>1007</v>
      </c>
      <c r="C677" s="53" t="s">
        <v>59</v>
      </c>
      <c r="D677" s="54" t="s">
        <v>858</v>
      </c>
      <c r="E677" s="54" t="s">
        <v>1421</v>
      </c>
      <c r="F677" s="54" t="s">
        <v>873</v>
      </c>
      <c r="G677" s="77" t="s">
        <v>1821</v>
      </c>
      <c r="L677" s="55" t="str">
        <f t="shared" si="29"/>
        <v>{1},{3}</v>
      </c>
      <c r="M677" s="55" t="s">
        <v>732</v>
      </c>
      <c r="O677" s="54">
        <v>201</v>
      </c>
      <c r="P677" s="54" t="s">
        <v>884</v>
      </c>
      <c r="Q677" s="60">
        <v>2</v>
      </c>
      <c r="R677" s="54" t="s">
        <v>870</v>
      </c>
      <c r="T677" s="55" t="str">
        <f t="shared" si="30"/>
        <v>{201,300},{2,9000}</v>
      </c>
      <c r="U677" s="55" t="s">
        <v>900</v>
      </c>
    </row>
    <row r="678" spans="1:21">
      <c r="A678" s="55">
        <v>74</v>
      </c>
      <c r="B678" s="55">
        <f t="shared" si="28"/>
        <v>1007</v>
      </c>
      <c r="C678" s="53" t="s">
        <v>59</v>
      </c>
      <c r="D678" s="54" t="s">
        <v>858</v>
      </c>
      <c r="E678" s="54" t="s">
        <v>1422</v>
      </c>
      <c r="F678" s="54" t="s">
        <v>873</v>
      </c>
      <c r="G678" s="77" t="s">
        <v>1822</v>
      </c>
      <c r="L678" s="55" t="str">
        <f t="shared" si="29"/>
        <v>{1},{3}</v>
      </c>
      <c r="M678" s="55" t="s">
        <v>733</v>
      </c>
      <c r="O678" s="54">
        <v>201</v>
      </c>
      <c r="P678" s="54" t="s">
        <v>884</v>
      </c>
      <c r="Q678" s="60">
        <v>2</v>
      </c>
      <c r="R678" s="54" t="s">
        <v>870</v>
      </c>
      <c r="T678" s="55" t="str">
        <f t="shared" si="30"/>
        <v>{201,300},{2,9000}</v>
      </c>
      <c r="U678" s="55" t="s">
        <v>900</v>
      </c>
    </row>
    <row r="679" spans="1:21">
      <c r="A679" s="55">
        <v>75</v>
      </c>
      <c r="B679" s="55">
        <f t="shared" si="28"/>
        <v>1007</v>
      </c>
      <c r="C679" s="53" t="s">
        <v>59</v>
      </c>
      <c r="D679" s="54" t="s">
        <v>858</v>
      </c>
      <c r="E679" s="54" t="s">
        <v>1423</v>
      </c>
      <c r="F679" s="54" t="s">
        <v>873</v>
      </c>
      <c r="G679" s="77" t="s">
        <v>1823</v>
      </c>
      <c r="L679" s="55" t="str">
        <f t="shared" si="29"/>
        <v>{1},{3}</v>
      </c>
      <c r="M679" s="55" t="s">
        <v>734</v>
      </c>
      <c r="O679" s="54">
        <v>201</v>
      </c>
      <c r="P679" s="54" t="s">
        <v>884</v>
      </c>
      <c r="Q679" s="60">
        <v>2</v>
      </c>
      <c r="R679" s="54" t="s">
        <v>870</v>
      </c>
      <c r="T679" s="55" t="str">
        <f t="shared" si="30"/>
        <v>{201,300},{2,9000}</v>
      </c>
      <c r="U679" s="55" t="s">
        <v>900</v>
      </c>
    </row>
    <row r="680" spans="1:21">
      <c r="A680" s="55">
        <v>76</v>
      </c>
      <c r="B680" s="55">
        <f t="shared" si="28"/>
        <v>1007</v>
      </c>
      <c r="C680" s="53" t="s">
        <v>59</v>
      </c>
      <c r="D680" s="54" t="s">
        <v>858</v>
      </c>
      <c r="E680" s="54" t="s">
        <v>1424</v>
      </c>
      <c r="F680" s="54" t="s">
        <v>873</v>
      </c>
      <c r="G680" s="77" t="s">
        <v>1824</v>
      </c>
      <c r="L680" s="55" t="str">
        <f t="shared" si="29"/>
        <v>{1},{3}</v>
      </c>
      <c r="M680" s="55" t="s">
        <v>735</v>
      </c>
      <c r="O680" s="54">
        <v>201</v>
      </c>
      <c r="P680" s="54" t="s">
        <v>884</v>
      </c>
      <c r="Q680" s="60">
        <v>2</v>
      </c>
      <c r="R680" s="54" t="s">
        <v>870</v>
      </c>
      <c r="T680" s="55" t="str">
        <f t="shared" si="30"/>
        <v>{201,300},{2,9000}</v>
      </c>
      <c r="U680" s="55" t="s">
        <v>900</v>
      </c>
    </row>
    <row r="681" spans="1:21">
      <c r="A681" s="55">
        <v>77</v>
      </c>
      <c r="B681" s="55">
        <f t="shared" si="28"/>
        <v>1007</v>
      </c>
      <c r="C681" s="53" t="s">
        <v>59</v>
      </c>
      <c r="D681" s="54" t="s">
        <v>858</v>
      </c>
      <c r="E681" s="54" t="s">
        <v>1425</v>
      </c>
      <c r="F681" s="54" t="s">
        <v>873</v>
      </c>
      <c r="G681" s="77" t="s">
        <v>1825</v>
      </c>
      <c r="L681" s="55" t="str">
        <f t="shared" si="29"/>
        <v>{1},{3}</v>
      </c>
      <c r="M681" s="55" t="s">
        <v>736</v>
      </c>
      <c r="O681" s="54">
        <v>201</v>
      </c>
      <c r="P681" s="54" t="s">
        <v>884</v>
      </c>
      <c r="Q681" s="60">
        <v>2</v>
      </c>
      <c r="R681" s="54" t="s">
        <v>870</v>
      </c>
      <c r="T681" s="55" t="str">
        <f t="shared" si="30"/>
        <v>{201,300},{2,9000}</v>
      </c>
      <c r="U681" s="55" t="s">
        <v>900</v>
      </c>
    </row>
    <row r="682" spans="1:21">
      <c r="A682" s="55">
        <v>78</v>
      </c>
      <c r="B682" s="55">
        <f t="shared" si="28"/>
        <v>1007</v>
      </c>
      <c r="C682" s="53" t="s">
        <v>59</v>
      </c>
      <c r="D682" s="54" t="s">
        <v>858</v>
      </c>
      <c r="E682" s="54" t="s">
        <v>1426</v>
      </c>
      <c r="F682" s="54" t="s">
        <v>873</v>
      </c>
      <c r="G682" s="77" t="s">
        <v>1826</v>
      </c>
      <c r="L682" s="55" t="str">
        <f t="shared" si="29"/>
        <v>{1},{3}</v>
      </c>
      <c r="M682" s="55" t="s">
        <v>737</v>
      </c>
      <c r="O682" s="54">
        <v>201</v>
      </c>
      <c r="P682" s="54" t="s">
        <v>884</v>
      </c>
      <c r="Q682" s="60">
        <v>2</v>
      </c>
      <c r="R682" s="54" t="s">
        <v>870</v>
      </c>
      <c r="T682" s="55" t="str">
        <f t="shared" si="30"/>
        <v>{201,300},{2,9000}</v>
      </c>
      <c r="U682" s="55" t="s">
        <v>900</v>
      </c>
    </row>
    <row r="683" spans="1:21">
      <c r="A683" s="55">
        <v>79</v>
      </c>
      <c r="B683" s="55">
        <f t="shared" si="28"/>
        <v>1007</v>
      </c>
      <c r="C683" s="53" t="s">
        <v>59</v>
      </c>
      <c r="D683" s="54" t="s">
        <v>858</v>
      </c>
      <c r="E683" s="54" t="s">
        <v>1427</v>
      </c>
      <c r="F683" s="54" t="s">
        <v>873</v>
      </c>
      <c r="G683" s="77" t="s">
        <v>1827</v>
      </c>
      <c r="L683" s="55" t="str">
        <f t="shared" si="29"/>
        <v>{1},{3}</v>
      </c>
      <c r="M683" s="55" t="s">
        <v>738</v>
      </c>
      <c r="O683" s="54">
        <v>201</v>
      </c>
      <c r="P683" s="54" t="s">
        <v>884</v>
      </c>
      <c r="Q683" s="60">
        <v>2</v>
      </c>
      <c r="R683" s="54" t="s">
        <v>870</v>
      </c>
      <c r="T683" s="55" t="str">
        <f t="shared" si="30"/>
        <v>{201,300},{2,9000}</v>
      </c>
      <c r="U683" s="55" t="s">
        <v>900</v>
      </c>
    </row>
    <row r="684" spans="1:21" s="63" customFormat="1">
      <c r="A684" s="63">
        <v>80</v>
      </c>
      <c r="B684" s="63">
        <f t="shared" si="28"/>
        <v>1007</v>
      </c>
      <c r="C684" s="61" t="s">
        <v>60</v>
      </c>
      <c r="D684" s="62" t="s">
        <v>858</v>
      </c>
      <c r="E684" s="62" t="s">
        <v>1428</v>
      </c>
      <c r="F684" s="62" t="s">
        <v>873</v>
      </c>
      <c r="G684" s="78" t="s">
        <v>1828</v>
      </c>
      <c r="H684" s="78"/>
      <c r="I684" s="78"/>
      <c r="J684" s="78"/>
      <c r="L684" s="63" t="str">
        <f t="shared" si="29"/>
        <v>{1},{3}</v>
      </c>
      <c r="M684" s="63" t="s">
        <v>739</v>
      </c>
      <c r="O684" s="62" t="s">
        <v>886</v>
      </c>
      <c r="P684" s="62" t="s">
        <v>884</v>
      </c>
      <c r="Q684" s="64">
        <v>2</v>
      </c>
      <c r="R684" s="62" t="s">
        <v>871</v>
      </c>
      <c r="T684" s="55" t="str">
        <f t="shared" si="30"/>
        <v>{301,300},{2,10500}</v>
      </c>
      <c r="U684" s="63" t="s">
        <v>901</v>
      </c>
    </row>
    <row r="685" spans="1:21">
      <c r="A685" s="55">
        <v>81</v>
      </c>
      <c r="B685" s="55">
        <f t="shared" si="28"/>
        <v>1007</v>
      </c>
      <c r="C685" s="53" t="s">
        <v>61</v>
      </c>
      <c r="D685" s="54" t="s">
        <v>858</v>
      </c>
      <c r="E685" s="54" t="s">
        <v>1429</v>
      </c>
      <c r="F685" s="54" t="s">
        <v>873</v>
      </c>
      <c r="G685" s="77" t="s">
        <v>1829</v>
      </c>
      <c r="L685" s="55" t="str">
        <f t="shared" si="29"/>
        <v>{1},{3}</v>
      </c>
      <c r="M685" s="55" t="s">
        <v>740</v>
      </c>
      <c r="O685" s="54">
        <v>201</v>
      </c>
      <c r="P685" s="54" t="s">
        <v>885</v>
      </c>
      <c r="Q685" s="60">
        <v>2</v>
      </c>
      <c r="R685" s="54" t="s">
        <v>872</v>
      </c>
      <c r="T685" s="55" t="str">
        <f t="shared" si="30"/>
        <v>{201,450},{2,15750}</v>
      </c>
      <c r="U685" s="55" t="s">
        <v>902</v>
      </c>
    </row>
    <row r="686" spans="1:21">
      <c r="A686" s="55">
        <v>82</v>
      </c>
      <c r="B686" s="55">
        <f t="shared" si="28"/>
        <v>1007</v>
      </c>
      <c r="C686" s="53" t="s">
        <v>61</v>
      </c>
      <c r="D686" s="54" t="s">
        <v>858</v>
      </c>
      <c r="E686" s="54" t="s">
        <v>1430</v>
      </c>
      <c r="F686" s="54" t="s">
        <v>873</v>
      </c>
      <c r="G686" s="77" t="s">
        <v>1830</v>
      </c>
      <c r="L686" s="55" t="str">
        <f t="shared" si="29"/>
        <v>{1},{3}</v>
      </c>
      <c r="M686" s="55" t="s">
        <v>741</v>
      </c>
      <c r="O686" s="54">
        <v>201</v>
      </c>
      <c r="P686" s="54" t="s">
        <v>885</v>
      </c>
      <c r="Q686" s="60">
        <v>2</v>
      </c>
      <c r="R686" s="54" t="s">
        <v>872</v>
      </c>
      <c r="T686" s="55" t="str">
        <f t="shared" si="30"/>
        <v>{201,450},{2,15750}</v>
      </c>
      <c r="U686" s="55" t="s">
        <v>902</v>
      </c>
    </row>
    <row r="687" spans="1:21">
      <c r="A687" s="55">
        <v>83</v>
      </c>
      <c r="B687" s="55">
        <f t="shared" si="28"/>
        <v>1007</v>
      </c>
      <c r="C687" s="53" t="s">
        <v>61</v>
      </c>
      <c r="D687" s="54" t="s">
        <v>858</v>
      </c>
      <c r="E687" s="54" t="s">
        <v>1431</v>
      </c>
      <c r="F687" s="54" t="s">
        <v>873</v>
      </c>
      <c r="G687" s="77" t="s">
        <v>1831</v>
      </c>
      <c r="L687" s="55" t="str">
        <f t="shared" si="29"/>
        <v>{1},{3}</v>
      </c>
      <c r="M687" s="55" t="s">
        <v>742</v>
      </c>
      <c r="O687" s="54">
        <v>201</v>
      </c>
      <c r="P687" s="54" t="s">
        <v>885</v>
      </c>
      <c r="Q687" s="60">
        <v>2</v>
      </c>
      <c r="R687" s="54" t="s">
        <v>872</v>
      </c>
      <c r="T687" s="55" t="str">
        <f t="shared" si="30"/>
        <v>{201,450},{2,15750}</v>
      </c>
      <c r="U687" s="55" t="s">
        <v>902</v>
      </c>
    </row>
    <row r="688" spans="1:21">
      <c r="A688" s="55">
        <v>84</v>
      </c>
      <c r="B688" s="55">
        <f t="shared" si="28"/>
        <v>1007</v>
      </c>
      <c r="C688" s="53" t="s">
        <v>61</v>
      </c>
      <c r="D688" s="54" t="s">
        <v>858</v>
      </c>
      <c r="E688" s="54" t="s">
        <v>1432</v>
      </c>
      <c r="F688" s="54" t="s">
        <v>873</v>
      </c>
      <c r="G688" s="77" t="s">
        <v>1832</v>
      </c>
      <c r="L688" s="55" t="str">
        <f t="shared" si="29"/>
        <v>{1},{3}</v>
      </c>
      <c r="M688" s="55" t="s">
        <v>743</v>
      </c>
      <c r="O688" s="54">
        <v>201</v>
      </c>
      <c r="P688" s="54" t="s">
        <v>885</v>
      </c>
      <c r="Q688" s="60">
        <v>2</v>
      </c>
      <c r="R688" s="54" t="s">
        <v>872</v>
      </c>
      <c r="T688" s="55" t="str">
        <f t="shared" si="30"/>
        <v>{201,450},{2,15750}</v>
      </c>
      <c r="U688" s="55" t="s">
        <v>902</v>
      </c>
    </row>
    <row r="689" spans="1:21">
      <c r="A689" s="55">
        <v>85</v>
      </c>
      <c r="B689" s="55">
        <f t="shared" si="28"/>
        <v>1007</v>
      </c>
      <c r="C689" s="53" t="s">
        <v>61</v>
      </c>
      <c r="D689" s="54" t="s">
        <v>858</v>
      </c>
      <c r="E689" s="54" t="s">
        <v>1433</v>
      </c>
      <c r="F689" s="54" t="s">
        <v>873</v>
      </c>
      <c r="G689" s="77" t="s">
        <v>1833</v>
      </c>
      <c r="L689" s="55" t="str">
        <f t="shared" si="29"/>
        <v>{1},{3}</v>
      </c>
      <c r="M689" s="55" t="s">
        <v>744</v>
      </c>
      <c r="O689" s="54">
        <v>201</v>
      </c>
      <c r="P689" s="54" t="s">
        <v>885</v>
      </c>
      <c r="Q689" s="60">
        <v>2</v>
      </c>
      <c r="R689" s="54" t="s">
        <v>872</v>
      </c>
      <c r="T689" s="55" t="str">
        <f t="shared" si="30"/>
        <v>{201,450},{2,15750}</v>
      </c>
      <c r="U689" s="55" t="s">
        <v>902</v>
      </c>
    </row>
    <row r="690" spans="1:21">
      <c r="A690" s="55">
        <v>86</v>
      </c>
      <c r="B690" s="55">
        <f t="shared" ref="B690:B753" si="31">B590+1</f>
        <v>1007</v>
      </c>
      <c r="C690" s="53" t="s">
        <v>61</v>
      </c>
      <c r="D690" s="54" t="s">
        <v>858</v>
      </c>
      <c r="E690" s="54" t="s">
        <v>1434</v>
      </c>
      <c r="F690" s="54" t="s">
        <v>873</v>
      </c>
      <c r="G690" s="77" t="s">
        <v>1834</v>
      </c>
      <c r="L690" s="55" t="str">
        <f t="shared" si="29"/>
        <v>{1},{3}</v>
      </c>
      <c r="M690" s="55" t="s">
        <v>745</v>
      </c>
      <c r="O690" s="54">
        <v>201</v>
      </c>
      <c r="P690" s="54" t="s">
        <v>885</v>
      </c>
      <c r="Q690" s="60">
        <v>2</v>
      </c>
      <c r="R690" s="54" t="s">
        <v>872</v>
      </c>
      <c r="T690" s="55" t="str">
        <f t="shared" si="30"/>
        <v>{201,450},{2,15750}</v>
      </c>
      <c r="U690" s="55" t="s">
        <v>902</v>
      </c>
    </row>
    <row r="691" spans="1:21">
      <c r="A691" s="55">
        <v>87</v>
      </c>
      <c r="B691" s="55">
        <f t="shared" si="31"/>
        <v>1007</v>
      </c>
      <c r="C691" s="53" t="s">
        <v>61</v>
      </c>
      <c r="D691" s="54" t="s">
        <v>858</v>
      </c>
      <c r="E691" s="54" t="s">
        <v>1435</v>
      </c>
      <c r="F691" s="54" t="s">
        <v>873</v>
      </c>
      <c r="G691" s="77" t="s">
        <v>1835</v>
      </c>
      <c r="L691" s="55" t="str">
        <f t="shared" si="29"/>
        <v>{1},{3}</v>
      </c>
      <c r="M691" s="55" t="s">
        <v>746</v>
      </c>
      <c r="O691" s="54">
        <v>201</v>
      </c>
      <c r="P691" s="54" t="s">
        <v>885</v>
      </c>
      <c r="Q691" s="60">
        <v>2</v>
      </c>
      <c r="R691" s="54" t="s">
        <v>872</v>
      </c>
      <c r="T691" s="55" t="str">
        <f t="shared" si="30"/>
        <v>{201,450},{2,15750}</v>
      </c>
      <c r="U691" s="55" t="s">
        <v>902</v>
      </c>
    </row>
    <row r="692" spans="1:21">
      <c r="A692" s="55">
        <v>88</v>
      </c>
      <c r="B692" s="55">
        <f t="shared" si="31"/>
        <v>1007</v>
      </c>
      <c r="C692" s="53" t="s">
        <v>61</v>
      </c>
      <c r="D692" s="54" t="s">
        <v>858</v>
      </c>
      <c r="E692" s="54" t="s">
        <v>1436</v>
      </c>
      <c r="F692" s="54" t="s">
        <v>873</v>
      </c>
      <c r="G692" s="77" t="s">
        <v>1836</v>
      </c>
      <c r="L692" s="55" t="str">
        <f t="shared" si="29"/>
        <v>{1},{3}</v>
      </c>
      <c r="M692" s="55" t="s">
        <v>747</v>
      </c>
      <c r="O692" s="54">
        <v>201</v>
      </c>
      <c r="P692" s="54" t="s">
        <v>885</v>
      </c>
      <c r="Q692" s="60">
        <v>2</v>
      </c>
      <c r="R692" s="54" t="s">
        <v>872</v>
      </c>
      <c r="T692" s="55" t="str">
        <f t="shared" si="30"/>
        <v>{201,450},{2,15750}</v>
      </c>
      <c r="U692" s="55" t="s">
        <v>902</v>
      </c>
    </row>
    <row r="693" spans="1:21">
      <c r="A693" s="55">
        <v>89</v>
      </c>
      <c r="B693" s="55">
        <f t="shared" si="31"/>
        <v>1007</v>
      </c>
      <c r="C693" s="53" t="s">
        <v>61</v>
      </c>
      <c r="D693" s="54" t="s">
        <v>858</v>
      </c>
      <c r="E693" s="54" t="s">
        <v>1437</v>
      </c>
      <c r="F693" s="54" t="s">
        <v>873</v>
      </c>
      <c r="G693" s="77" t="s">
        <v>1837</v>
      </c>
      <c r="L693" s="55" t="str">
        <f t="shared" si="29"/>
        <v>{1},{3}</v>
      </c>
      <c r="M693" s="55" t="s">
        <v>748</v>
      </c>
      <c r="O693" s="54">
        <v>201</v>
      </c>
      <c r="P693" s="54" t="s">
        <v>885</v>
      </c>
      <c r="Q693" s="60">
        <v>2</v>
      </c>
      <c r="R693" s="54" t="s">
        <v>872</v>
      </c>
      <c r="T693" s="55" t="str">
        <f t="shared" si="30"/>
        <v>{201,450},{2,15750}</v>
      </c>
      <c r="U693" s="55" t="s">
        <v>902</v>
      </c>
    </row>
    <row r="694" spans="1:21">
      <c r="A694" s="55">
        <v>90</v>
      </c>
      <c r="B694" s="55">
        <f t="shared" si="31"/>
        <v>1007</v>
      </c>
      <c r="C694" s="53" t="s">
        <v>61</v>
      </c>
      <c r="D694" s="54" t="s">
        <v>858</v>
      </c>
      <c r="E694" s="54" t="s">
        <v>1438</v>
      </c>
      <c r="F694" s="54" t="s">
        <v>873</v>
      </c>
      <c r="G694" s="77" t="s">
        <v>1838</v>
      </c>
      <c r="L694" s="55" t="str">
        <f t="shared" si="29"/>
        <v>{1},{3}</v>
      </c>
      <c r="M694" s="55" t="s">
        <v>749</v>
      </c>
      <c r="O694" s="54">
        <v>201</v>
      </c>
      <c r="P694" s="54" t="s">
        <v>885</v>
      </c>
      <c r="Q694" s="60">
        <v>2</v>
      </c>
      <c r="R694" s="54" t="s">
        <v>872</v>
      </c>
      <c r="T694" s="55" t="str">
        <f t="shared" si="30"/>
        <v>{201,450},{2,15750}</v>
      </c>
      <c r="U694" s="55" t="s">
        <v>902</v>
      </c>
    </row>
    <row r="695" spans="1:21">
      <c r="A695" s="55">
        <v>91</v>
      </c>
      <c r="B695" s="55">
        <f t="shared" si="31"/>
        <v>1007</v>
      </c>
      <c r="C695" s="53" t="s">
        <v>61</v>
      </c>
      <c r="D695" s="54" t="s">
        <v>858</v>
      </c>
      <c r="E695" s="54" t="s">
        <v>1439</v>
      </c>
      <c r="F695" s="54" t="s">
        <v>873</v>
      </c>
      <c r="G695" s="77" t="s">
        <v>1839</v>
      </c>
      <c r="L695" s="55" t="str">
        <f t="shared" si="29"/>
        <v>{1},{3}</v>
      </c>
      <c r="M695" s="55" t="s">
        <v>750</v>
      </c>
      <c r="O695" s="54">
        <v>201</v>
      </c>
      <c r="P695" s="54" t="s">
        <v>885</v>
      </c>
      <c r="Q695" s="60">
        <v>2</v>
      </c>
      <c r="R695" s="54" t="s">
        <v>872</v>
      </c>
      <c r="T695" s="55" t="str">
        <f t="shared" si="30"/>
        <v>{201,450},{2,15750}</v>
      </c>
      <c r="U695" s="55" t="s">
        <v>902</v>
      </c>
    </row>
    <row r="696" spans="1:21">
      <c r="A696" s="55">
        <v>92</v>
      </c>
      <c r="B696" s="55">
        <f t="shared" si="31"/>
        <v>1007</v>
      </c>
      <c r="C696" s="53" t="s">
        <v>61</v>
      </c>
      <c r="D696" s="54" t="s">
        <v>858</v>
      </c>
      <c r="E696" s="54" t="s">
        <v>1440</v>
      </c>
      <c r="F696" s="54" t="s">
        <v>873</v>
      </c>
      <c r="G696" s="77" t="s">
        <v>1840</v>
      </c>
      <c r="L696" s="55" t="str">
        <f t="shared" si="29"/>
        <v>{1},{3}</v>
      </c>
      <c r="M696" s="55" t="s">
        <v>751</v>
      </c>
      <c r="O696" s="54">
        <v>201</v>
      </c>
      <c r="P696" s="54" t="s">
        <v>885</v>
      </c>
      <c r="Q696" s="60">
        <v>2</v>
      </c>
      <c r="R696" s="54" t="s">
        <v>872</v>
      </c>
      <c r="T696" s="55" t="str">
        <f t="shared" si="30"/>
        <v>{201,450},{2,15750}</v>
      </c>
      <c r="U696" s="55" t="s">
        <v>902</v>
      </c>
    </row>
    <row r="697" spans="1:21">
      <c r="A697" s="55">
        <v>93</v>
      </c>
      <c r="B697" s="55">
        <f t="shared" si="31"/>
        <v>1007</v>
      </c>
      <c r="C697" s="53" t="s">
        <v>61</v>
      </c>
      <c r="D697" s="54" t="s">
        <v>858</v>
      </c>
      <c r="E697" s="54" t="s">
        <v>1441</v>
      </c>
      <c r="F697" s="54" t="s">
        <v>873</v>
      </c>
      <c r="G697" s="77" t="s">
        <v>1841</v>
      </c>
      <c r="L697" s="55" t="str">
        <f t="shared" si="29"/>
        <v>{1},{3}</v>
      </c>
      <c r="M697" s="55" t="s">
        <v>752</v>
      </c>
      <c r="O697" s="54">
        <v>201</v>
      </c>
      <c r="P697" s="54" t="s">
        <v>885</v>
      </c>
      <c r="Q697" s="60">
        <v>2</v>
      </c>
      <c r="R697" s="54" t="s">
        <v>872</v>
      </c>
      <c r="T697" s="55" t="str">
        <f t="shared" si="30"/>
        <v>{201,450},{2,15750}</v>
      </c>
      <c r="U697" s="55" t="s">
        <v>902</v>
      </c>
    </row>
    <row r="698" spans="1:21">
      <c r="A698" s="55">
        <v>94</v>
      </c>
      <c r="B698" s="55">
        <f t="shared" si="31"/>
        <v>1007</v>
      </c>
      <c r="C698" s="53" t="s">
        <v>61</v>
      </c>
      <c r="D698" s="54" t="s">
        <v>858</v>
      </c>
      <c r="E698" s="54" t="s">
        <v>1442</v>
      </c>
      <c r="F698" s="54" t="s">
        <v>873</v>
      </c>
      <c r="G698" s="77" t="s">
        <v>1842</v>
      </c>
      <c r="L698" s="55" t="str">
        <f t="shared" si="29"/>
        <v>{1},{3}</v>
      </c>
      <c r="M698" s="55" t="s">
        <v>753</v>
      </c>
      <c r="O698" s="54">
        <v>201</v>
      </c>
      <c r="P698" s="54" t="s">
        <v>885</v>
      </c>
      <c r="Q698" s="60">
        <v>2</v>
      </c>
      <c r="R698" s="54" t="s">
        <v>872</v>
      </c>
      <c r="T698" s="55" t="str">
        <f t="shared" si="30"/>
        <v>{201,450},{2,15750}</v>
      </c>
      <c r="U698" s="55" t="s">
        <v>902</v>
      </c>
    </row>
    <row r="699" spans="1:21">
      <c r="A699" s="55">
        <v>95</v>
      </c>
      <c r="B699" s="55">
        <f t="shared" si="31"/>
        <v>1007</v>
      </c>
      <c r="C699" s="53" t="s">
        <v>61</v>
      </c>
      <c r="D699" s="54" t="s">
        <v>858</v>
      </c>
      <c r="E699" s="54" t="s">
        <v>1443</v>
      </c>
      <c r="F699" s="54" t="s">
        <v>873</v>
      </c>
      <c r="G699" s="77" t="s">
        <v>1843</v>
      </c>
      <c r="L699" s="55" t="str">
        <f t="shared" si="29"/>
        <v>{1},{3}</v>
      </c>
      <c r="M699" s="55" t="s">
        <v>754</v>
      </c>
      <c r="O699" s="54">
        <v>201</v>
      </c>
      <c r="P699" s="54" t="s">
        <v>885</v>
      </c>
      <c r="Q699" s="60">
        <v>2</v>
      </c>
      <c r="R699" s="54" t="s">
        <v>872</v>
      </c>
      <c r="T699" s="55" t="str">
        <f t="shared" si="30"/>
        <v>{201,450},{2,15750}</v>
      </c>
      <c r="U699" s="55" t="s">
        <v>902</v>
      </c>
    </row>
    <row r="700" spans="1:21">
      <c r="A700" s="55">
        <v>96</v>
      </c>
      <c r="B700" s="55">
        <f t="shared" si="31"/>
        <v>1007</v>
      </c>
      <c r="C700" s="53" t="s">
        <v>61</v>
      </c>
      <c r="D700" s="54" t="s">
        <v>858</v>
      </c>
      <c r="E700" s="54" t="s">
        <v>1444</v>
      </c>
      <c r="F700" s="54" t="s">
        <v>873</v>
      </c>
      <c r="G700" s="77" t="s">
        <v>1844</v>
      </c>
      <c r="L700" s="55" t="str">
        <f t="shared" si="29"/>
        <v>{1},{3}</v>
      </c>
      <c r="M700" s="55" t="s">
        <v>755</v>
      </c>
      <c r="O700" s="54">
        <v>201</v>
      </c>
      <c r="P700" s="54" t="s">
        <v>885</v>
      </c>
      <c r="Q700" s="60">
        <v>2</v>
      </c>
      <c r="R700" s="54" t="s">
        <v>872</v>
      </c>
      <c r="T700" s="55" t="str">
        <f t="shared" si="30"/>
        <v>{201,450},{2,15750}</v>
      </c>
      <c r="U700" s="55" t="s">
        <v>902</v>
      </c>
    </row>
    <row r="701" spans="1:21">
      <c r="A701" s="55">
        <v>97</v>
      </c>
      <c r="B701" s="55">
        <f t="shared" si="31"/>
        <v>1007</v>
      </c>
      <c r="C701" s="53" t="s">
        <v>61</v>
      </c>
      <c r="D701" s="54" t="s">
        <v>858</v>
      </c>
      <c r="E701" s="54" t="s">
        <v>1445</v>
      </c>
      <c r="F701" s="54" t="s">
        <v>873</v>
      </c>
      <c r="G701" s="77" t="s">
        <v>1845</v>
      </c>
      <c r="L701" s="55" t="str">
        <f t="shared" si="29"/>
        <v>{1},{3}</v>
      </c>
      <c r="M701" s="55" t="s">
        <v>756</v>
      </c>
      <c r="O701" s="54">
        <v>201</v>
      </c>
      <c r="P701" s="54" t="s">
        <v>885</v>
      </c>
      <c r="Q701" s="60">
        <v>2</v>
      </c>
      <c r="R701" s="54" t="s">
        <v>872</v>
      </c>
      <c r="T701" s="55" t="str">
        <f t="shared" si="30"/>
        <v>{201,450},{2,15750}</v>
      </c>
      <c r="U701" s="55" t="s">
        <v>902</v>
      </c>
    </row>
    <row r="702" spans="1:21">
      <c r="A702" s="55">
        <v>98</v>
      </c>
      <c r="B702" s="55">
        <f t="shared" si="31"/>
        <v>1007</v>
      </c>
      <c r="C702" s="53" t="s">
        <v>61</v>
      </c>
      <c r="D702" s="54" t="s">
        <v>858</v>
      </c>
      <c r="E702" s="54" t="s">
        <v>1446</v>
      </c>
      <c r="F702" s="54" t="s">
        <v>873</v>
      </c>
      <c r="G702" s="77" t="s">
        <v>1846</v>
      </c>
      <c r="L702" s="55" t="str">
        <f t="shared" si="29"/>
        <v>{1},{3}</v>
      </c>
      <c r="M702" s="55" t="s">
        <v>757</v>
      </c>
      <c r="O702" s="54">
        <v>201</v>
      </c>
      <c r="P702" s="54" t="s">
        <v>885</v>
      </c>
      <c r="Q702" s="60">
        <v>2</v>
      </c>
      <c r="R702" s="54" t="s">
        <v>872</v>
      </c>
      <c r="T702" s="55" t="str">
        <f t="shared" si="30"/>
        <v>{201,450},{2,15750}</v>
      </c>
      <c r="U702" s="55" t="s">
        <v>902</v>
      </c>
    </row>
    <row r="703" spans="1:21">
      <c r="A703" s="55">
        <v>99</v>
      </c>
      <c r="B703" s="55">
        <f t="shared" si="31"/>
        <v>1007</v>
      </c>
      <c r="C703" s="53" t="s">
        <v>61</v>
      </c>
      <c r="D703" s="54" t="s">
        <v>858</v>
      </c>
      <c r="E703" s="54" t="s">
        <v>1447</v>
      </c>
      <c r="F703" s="54" t="s">
        <v>873</v>
      </c>
      <c r="G703" s="77" t="s">
        <v>1847</v>
      </c>
      <c r="L703" s="55" t="str">
        <f t="shared" si="29"/>
        <v>{1},{3}</v>
      </c>
      <c r="M703" s="55" t="s">
        <v>758</v>
      </c>
      <c r="O703" s="54">
        <v>201</v>
      </c>
      <c r="P703" s="54" t="s">
        <v>885</v>
      </c>
      <c r="Q703" s="60">
        <v>2</v>
      </c>
      <c r="R703" s="54" t="s">
        <v>872</v>
      </c>
      <c r="T703" s="55" t="str">
        <f t="shared" si="30"/>
        <v>{201,450},{2,15750}</v>
      </c>
      <c r="U703" s="55" t="s">
        <v>902</v>
      </c>
    </row>
    <row r="704" spans="1:21">
      <c r="A704" s="55">
        <v>100</v>
      </c>
      <c r="B704" s="55">
        <f t="shared" si="31"/>
        <v>1007</v>
      </c>
      <c r="D704" s="54" t="s">
        <v>858</v>
      </c>
      <c r="E704" s="54" t="s">
        <v>1448</v>
      </c>
      <c r="F704" s="54" t="s">
        <v>873</v>
      </c>
      <c r="G704" s="77" t="s">
        <v>1848</v>
      </c>
      <c r="L704" s="55" t="str">
        <f t="shared" si="29"/>
        <v>{1},{3}</v>
      </c>
      <c r="M704" s="55" t="s">
        <v>759</v>
      </c>
      <c r="Q704" s="65"/>
      <c r="T704" s="55" t="str">
        <f t="shared" si="30"/>
        <v>{,},{,}</v>
      </c>
      <c r="U704" s="55" t="s">
        <v>903</v>
      </c>
    </row>
    <row r="705" spans="1:21">
      <c r="A705" s="55">
        <v>1</v>
      </c>
      <c r="B705" s="55">
        <f t="shared" si="31"/>
        <v>1008</v>
      </c>
      <c r="C705" s="53" t="s">
        <v>46</v>
      </c>
      <c r="D705" s="54" t="s">
        <v>858</v>
      </c>
      <c r="E705" s="54" t="s">
        <v>865</v>
      </c>
      <c r="F705" s="54" t="s">
        <v>873</v>
      </c>
      <c r="G705" s="77" t="s">
        <v>1937</v>
      </c>
      <c r="L705" s="55" t="str">
        <f t="shared" si="29"/>
        <v>{1},{3}</v>
      </c>
      <c r="M705" s="55" t="s">
        <v>760</v>
      </c>
      <c r="O705" s="54">
        <v>201</v>
      </c>
      <c r="P705" s="54" t="s">
        <v>874</v>
      </c>
      <c r="Q705" s="60">
        <v>2</v>
      </c>
      <c r="R705" s="54" t="s">
        <v>859</v>
      </c>
      <c r="T705" s="55" t="str">
        <f t="shared" si="30"/>
        <v>{201,20},{2,400}</v>
      </c>
      <c r="U705" s="55" t="s">
        <v>887</v>
      </c>
    </row>
    <row r="706" spans="1:21">
      <c r="A706" s="55">
        <v>2</v>
      </c>
      <c r="B706" s="55">
        <f t="shared" si="31"/>
        <v>1008</v>
      </c>
      <c r="C706" s="53" t="s">
        <v>47</v>
      </c>
      <c r="D706" s="54" t="s">
        <v>858</v>
      </c>
      <c r="E706" s="54" t="s">
        <v>1014</v>
      </c>
      <c r="F706" s="54" t="s">
        <v>873</v>
      </c>
      <c r="G706" s="77" t="s">
        <v>1377</v>
      </c>
      <c r="L706" s="55" t="str">
        <f t="shared" si="29"/>
        <v>{1},{3}</v>
      </c>
      <c r="M706" s="55" t="s">
        <v>761</v>
      </c>
      <c r="O706" s="54">
        <v>201</v>
      </c>
      <c r="P706" s="54" t="s">
        <v>875</v>
      </c>
      <c r="Q706" s="60">
        <v>2</v>
      </c>
      <c r="R706" s="54" t="s">
        <v>860</v>
      </c>
      <c r="T706" s="55" t="str">
        <f t="shared" si="30"/>
        <v>{201,22},{2,440}</v>
      </c>
      <c r="U706" s="55" t="s">
        <v>888</v>
      </c>
    </row>
    <row r="707" spans="1:21">
      <c r="A707" s="55">
        <v>3</v>
      </c>
      <c r="B707" s="55">
        <f t="shared" si="31"/>
        <v>1008</v>
      </c>
      <c r="C707" s="53" t="s">
        <v>48</v>
      </c>
      <c r="D707" s="54" t="s">
        <v>858</v>
      </c>
      <c r="E707" s="54" t="s">
        <v>1016</v>
      </c>
      <c r="F707" s="54" t="s">
        <v>873</v>
      </c>
      <c r="G707" s="77" t="s">
        <v>1301</v>
      </c>
      <c r="L707" s="55" t="str">
        <f t="shared" si="29"/>
        <v>{1},{3}</v>
      </c>
      <c r="M707" s="55" t="s">
        <v>386</v>
      </c>
      <c r="O707" s="54">
        <v>201</v>
      </c>
      <c r="P707" s="54" t="s">
        <v>876</v>
      </c>
      <c r="Q707" s="60">
        <v>2</v>
      </c>
      <c r="R707" s="54" t="s">
        <v>861</v>
      </c>
      <c r="T707" s="55" t="str">
        <f t="shared" si="30"/>
        <v>{201,24},{2,480}</v>
      </c>
      <c r="U707" s="55" t="s">
        <v>889</v>
      </c>
    </row>
    <row r="708" spans="1:21">
      <c r="A708" s="55">
        <v>4</v>
      </c>
      <c r="B708" s="55">
        <f t="shared" si="31"/>
        <v>1008</v>
      </c>
      <c r="C708" s="53" t="s">
        <v>49</v>
      </c>
      <c r="D708" s="54" t="s">
        <v>858</v>
      </c>
      <c r="E708" s="54" t="s">
        <v>1018</v>
      </c>
      <c r="F708" s="54" t="s">
        <v>873</v>
      </c>
      <c r="G708" s="77" t="s">
        <v>1380</v>
      </c>
      <c r="L708" s="55" t="str">
        <f t="shared" si="29"/>
        <v>{1},{3}</v>
      </c>
      <c r="M708" s="55" t="s">
        <v>762</v>
      </c>
      <c r="O708" s="54">
        <v>201</v>
      </c>
      <c r="P708" s="54" t="s">
        <v>877</v>
      </c>
      <c r="Q708" s="60">
        <v>2</v>
      </c>
      <c r="R708" s="54" t="s">
        <v>862</v>
      </c>
      <c r="T708" s="55" t="str">
        <f t="shared" si="30"/>
        <v>{201,25},{2,500}</v>
      </c>
      <c r="U708" s="55" t="s">
        <v>890</v>
      </c>
    </row>
    <row r="709" spans="1:21">
      <c r="A709" s="55">
        <v>5</v>
      </c>
      <c r="B709" s="55">
        <f t="shared" si="31"/>
        <v>1008</v>
      </c>
      <c r="C709" s="53" t="s">
        <v>50</v>
      </c>
      <c r="D709" s="54" t="s">
        <v>858</v>
      </c>
      <c r="E709" s="54" t="s">
        <v>1020</v>
      </c>
      <c r="F709" s="54" t="s">
        <v>873</v>
      </c>
      <c r="G709" s="77" t="s">
        <v>1938</v>
      </c>
      <c r="L709" s="55" t="str">
        <f t="shared" si="29"/>
        <v>{1},{3}</v>
      </c>
      <c r="M709" s="55" t="s">
        <v>763</v>
      </c>
      <c r="O709" s="54">
        <v>201</v>
      </c>
      <c r="P709" s="54" t="s">
        <v>878</v>
      </c>
      <c r="Q709" s="60">
        <v>2</v>
      </c>
      <c r="R709" s="54" t="s">
        <v>863</v>
      </c>
      <c r="T709" s="55" t="str">
        <f t="shared" si="30"/>
        <v>{201,27},{2,540}</v>
      </c>
      <c r="U709" s="55" t="s">
        <v>891</v>
      </c>
    </row>
    <row r="710" spans="1:21">
      <c r="A710" s="55">
        <v>6</v>
      </c>
      <c r="B710" s="55">
        <f t="shared" si="31"/>
        <v>1008</v>
      </c>
      <c r="C710" s="53" t="s">
        <v>51</v>
      </c>
      <c r="D710" s="54" t="s">
        <v>858</v>
      </c>
      <c r="E710" s="54" t="s">
        <v>929</v>
      </c>
      <c r="F710" s="54" t="s">
        <v>873</v>
      </c>
      <c r="G710" s="77" t="s">
        <v>868</v>
      </c>
      <c r="L710" s="55" t="str">
        <f t="shared" ref="L710:L773" si="32">"{"&amp;D710&amp;"}"&amp;","&amp;"{"&amp;F710&amp;"}"</f>
        <v>{1},{3}</v>
      </c>
      <c r="M710" s="55" t="s">
        <v>764</v>
      </c>
      <c r="O710" s="54">
        <v>201</v>
      </c>
      <c r="P710" s="54" t="s">
        <v>879</v>
      </c>
      <c r="Q710" s="60">
        <v>2</v>
      </c>
      <c r="R710" s="54" t="s">
        <v>864</v>
      </c>
      <c r="T710" s="55" t="str">
        <f t="shared" ref="T710:T773" si="33">"{"&amp;O710&amp;","&amp;P710&amp;"}"&amp;","&amp;"{"&amp;Q710&amp;","&amp;R710&amp;"}"</f>
        <v>{201,29},{2,580}</v>
      </c>
      <c r="U710" s="55" t="s">
        <v>892</v>
      </c>
    </row>
    <row r="711" spans="1:21">
      <c r="A711" s="55">
        <v>7</v>
      </c>
      <c r="B711" s="55">
        <f t="shared" si="31"/>
        <v>1008</v>
      </c>
      <c r="C711" s="53" t="s">
        <v>52</v>
      </c>
      <c r="D711" s="54" t="s">
        <v>858</v>
      </c>
      <c r="E711" s="54" t="s">
        <v>1103</v>
      </c>
      <c r="F711" s="54" t="s">
        <v>873</v>
      </c>
      <c r="G711" s="77" t="s">
        <v>1686</v>
      </c>
      <c r="L711" s="55" t="str">
        <f t="shared" si="32"/>
        <v>{1},{3}</v>
      </c>
      <c r="M711" s="55" t="s">
        <v>391</v>
      </c>
      <c r="O711" s="54">
        <v>201</v>
      </c>
      <c r="P711" s="54" t="s">
        <v>880</v>
      </c>
      <c r="Q711" s="60">
        <v>2</v>
      </c>
      <c r="R711" s="54" t="s">
        <v>865</v>
      </c>
      <c r="T711" s="55" t="str">
        <f t="shared" si="33"/>
        <v>{201,30},{2,600}</v>
      </c>
      <c r="U711" s="55" t="s">
        <v>893</v>
      </c>
    </row>
    <row r="712" spans="1:21">
      <c r="A712" s="55">
        <v>8</v>
      </c>
      <c r="B712" s="55">
        <f t="shared" si="31"/>
        <v>1008</v>
      </c>
      <c r="C712" s="53" t="s">
        <v>53</v>
      </c>
      <c r="D712" s="54" t="s">
        <v>858</v>
      </c>
      <c r="E712" s="54" t="s">
        <v>932</v>
      </c>
      <c r="F712" s="54" t="s">
        <v>873</v>
      </c>
      <c r="G712" s="77" t="s">
        <v>1939</v>
      </c>
      <c r="L712" s="55" t="str">
        <f t="shared" si="32"/>
        <v>{1},{3}</v>
      </c>
      <c r="M712" s="55" t="s">
        <v>765</v>
      </c>
      <c r="O712" s="54">
        <v>201</v>
      </c>
      <c r="P712" s="54" t="s">
        <v>881</v>
      </c>
      <c r="Q712" s="60">
        <v>2</v>
      </c>
      <c r="R712" s="54" t="s">
        <v>866</v>
      </c>
      <c r="T712" s="55" t="str">
        <f t="shared" si="33"/>
        <v>{201,50},{2,1000}</v>
      </c>
      <c r="U712" s="55" t="s">
        <v>894</v>
      </c>
    </row>
    <row r="713" spans="1:21">
      <c r="A713" s="55">
        <v>9</v>
      </c>
      <c r="B713" s="55">
        <f t="shared" si="31"/>
        <v>1008</v>
      </c>
      <c r="C713" s="53" t="s">
        <v>53</v>
      </c>
      <c r="D713" s="54" t="s">
        <v>858</v>
      </c>
      <c r="E713" s="54" t="s">
        <v>1284</v>
      </c>
      <c r="F713" s="54" t="s">
        <v>873</v>
      </c>
      <c r="G713" s="77" t="s">
        <v>869</v>
      </c>
      <c r="L713" s="55" t="str">
        <f t="shared" si="32"/>
        <v>{1},{3}</v>
      </c>
      <c r="M713" s="55" t="s">
        <v>766</v>
      </c>
      <c r="O713" s="54">
        <v>201</v>
      </c>
      <c r="P713" s="54" t="s">
        <v>881</v>
      </c>
      <c r="Q713" s="60">
        <v>2</v>
      </c>
      <c r="R713" s="54" t="s">
        <v>866</v>
      </c>
      <c r="T713" s="55" t="str">
        <f t="shared" si="33"/>
        <v>{201,50},{2,1000}</v>
      </c>
      <c r="U713" s="55" t="s">
        <v>894</v>
      </c>
    </row>
    <row r="714" spans="1:21">
      <c r="A714" s="55">
        <v>10</v>
      </c>
      <c r="B714" s="55">
        <f t="shared" si="31"/>
        <v>1008</v>
      </c>
      <c r="C714" s="53" t="s">
        <v>53</v>
      </c>
      <c r="D714" s="54" t="s">
        <v>858</v>
      </c>
      <c r="E714" s="54" t="s">
        <v>935</v>
      </c>
      <c r="F714" s="54" t="s">
        <v>873</v>
      </c>
      <c r="G714" s="77" t="s">
        <v>1940</v>
      </c>
      <c r="L714" s="55" t="str">
        <f t="shared" si="32"/>
        <v>{1},{3}</v>
      </c>
      <c r="M714" s="55" t="s">
        <v>767</v>
      </c>
      <c r="O714" s="54">
        <v>201</v>
      </c>
      <c r="P714" s="54" t="s">
        <v>881</v>
      </c>
      <c r="Q714" s="60">
        <v>2</v>
      </c>
      <c r="R714" s="54" t="s">
        <v>866</v>
      </c>
      <c r="T714" s="55" t="str">
        <f t="shared" si="33"/>
        <v>{201,50},{2,1000}</v>
      </c>
      <c r="U714" s="55" t="s">
        <v>894</v>
      </c>
    </row>
    <row r="715" spans="1:21">
      <c r="A715" s="55">
        <v>11</v>
      </c>
      <c r="B715" s="55">
        <f t="shared" si="31"/>
        <v>1008</v>
      </c>
      <c r="C715" s="53" t="s">
        <v>53</v>
      </c>
      <c r="D715" s="54" t="s">
        <v>858</v>
      </c>
      <c r="E715" s="54" t="s">
        <v>906</v>
      </c>
      <c r="F715" s="54" t="s">
        <v>873</v>
      </c>
      <c r="G715" s="77" t="s">
        <v>1691</v>
      </c>
      <c r="L715" s="55" t="str">
        <f t="shared" si="32"/>
        <v>{1},{3}</v>
      </c>
      <c r="M715" s="55" t="s">
        <v>396</v>
      </c>
      <c r="O715" s="54">
        <v>201</v>
      </c>
      <c r="P715" s="54" t="s">
        <v>881</v>
      </c>
      <c r="Q715" s="60">
        <v>2</v>
      </c>
      <c r="R715" s="54" t="s">
        <v>866</v>
      </c>
      <c r="T715" s="55" t="str">
        <f t="shared" si="33"/>
        <v>{201,50},{2,1000}</v>
      </c>
      <c r="U715" s="55" t="s">
        <v>894</v>
      </c>
    </row>
    <row r="716" spans="1:21">
      <c r="A716" s="55">
        <v>12</v>
      </c>
      <c r="B716" s="55">
        <f t="shared" si="31"/>
        <v>1008</v>
      </c>
      <c r="C716" s="53" t="s">
        <v>53</v>
      </c>
      <c r="D716" s="54" t="s">
        <v>858</v>
      </c>
      <c r="E716" s="54" t="s">
        <v>938</v>
      </c>
      <c r="F716" s="54" t="s">
        <v>873</v>
      </c>
      <c r="G716" s="77" t="s">
        <v>1941</v>
      </c>
      <c r="L716" s="55" t="str">
        <f t="shared" si="32"/>
        <v>{1},{3}</v>
      </c>
      <c r="M716" s="55" t="s">
        <v>768</v>
      </c>
      <c r="O716" s="54">
        <v>201</v>
      </c>
      <c r="P716" s="54" t="s">
        <v>881</v>
      </c>
      <c r="Q716" s="60">
        <v>2</v>
      </c>
      <c r="R716" s="54" t="s">
        <v>866</v>
      </c>
      <c r="T716" s="55" t="str">
        <f t="shared" si="33"/>
        <v>{201,50},{2,1000}</v>
      </c>
      <c r="U716" s="55" t="s">
        <v>894</v>
      </c>
    </row>
    <row r="717" spans="1:21">
      <c r="A717" s="55">
        <v>13</v>
      </c>
      <c r="B717" s="55">
        <f t="shared" si="31"/>
        <v>1008</v>
      </c>
      <c r="C717" s="53" t="s">
        <v>53</v>
      </c>
      <c r="D717" s="54" t="s">
        <v>858</v>
      </c>
      <c r="E717" s="54" t="s">
        <v>1449</v>
      </c>
      <c r="F717" s="54" t="s">
        <v>873</v>
      </c>
      <c r="G717" s="77" t="s">
        <v>1942</v>
      </c>
      <c r="L717" s="55" t="str">
        <f t="shared" si="32"/>
        <v>{1},{3}</v>
      </c>
      <c r="M717" s="55" t="s">
        <v>769</v>
      </c>
      <c r="O717" s="54">
        <v>201</v>
      </c>
      <c r="P717" s="54" t="s">
        <v>881</v>
      </c>
      <c r="Q717" s="60">
        <v>2</v>
      </c>
      <c r="R717" s="54" t="s">
        <v>866</v>
      </c>
      <c r="T717" s="55" t="str">
        <f t="shared" si="33"/>
        <v>{201,50},{2,1000}</v>
      </c>
      <c r="U717" s="55" t="s">
        <v>894</v>
      </c>
    </row>
    <row r="718" spans="1:21">
      <c r="A718" s="55">
        <v>14</v>
      </c>
      <c r="B718" s="55">
        <f t="shared" si="31"/>
        <v>1008</v>
      </c>
      <c r="C718" s="53" t="s">
        <v>53</v>
      </c>
      <c r="D718" s="54" t="s">
        <v>858</v>
      </c>
      <c r="E718" s="54" t="s">
        <v>941</v>
      </c>
      <c r="F718" s="54" t="s">
        <v>873</v>
      </c>
      <c r="G718" s="77" t="s">
        <v>1943</v>
      </c>
      <c r="L718" s="55" t="str">
        <f t="shared" si="32"/>
        <v>{1},{3}</v>
      </c>
      <c r="M718" s="55" t="s">
        <v>770</v>
      </c>
      <c r="O718" s="54">
        <v>201</v>
      </c>
      <c r="P718" s="54" t="s">
        <v>881</v>
      </c>
      <c r="Q718" s="60">
        <v>2</v>
      </c>
      <c r="R718" s="54" t="s">
        <v>866</v>
      </c>
      <c r="T718" s="55" t="str">
        <f t="shared" si="33"/>
        <v>{201,50},{2,1000}</v>
      </c>
      <c r="U718" s="55" t="s">
        <v>894</v>
      </c>
    </row>
    <row r="719" spans="1:21">
      <c r="A719" s="55">
        <v>15</v>
      </c>
      <c r="B719" s="55">
        <f t="shared" si="31"/>
        <v>1008</v>
      </c>
      <c r="C719" s="53" t="s">
        <v>53</v>
      </c>
      <c r="D719" s="54" t="s">
        <v>858</v>
      </c>
      <c r="E719" s="54" t="s">
        <v>1206</v>
      </c>
      <c r="F719" s="54" t="s">
        <v>873</v>
      </c>
      <c r="G719" s="77" t="s">
        <v>1774</v>
      </c>
      <c r="L719" s="55" t="str">
        <f t="shared" si="32"/>
        <v>{1},{3}</v>
      </c>
      <c r="M719" s="55" t="s">
        <v>771</v>
      </c>
      <c r="O719" s="54">
        <v>201</v>
      </c>
      <c r="P719" s="54" t="s">
        <v>881</v>
      </c>
      <c r="Q719" s="60">
        <v>2</v>
      </c>
      <c r="R719" s="54" t="s">
        <v>866</v>
      </c>
      <c r="T719" s="55" t="str">
        <f t="shared" si="33"/>
        <v>{201,50},{2,1000}</v>
      </c>
      <c r="U719" s="55" t="s">
        <v>894</v>
      </c>
    </row>
    <row r="720" spans="1:21">
      <c r="A720" s="55">
        <v>16</v>
      </c>
      <c r="B720" s="55">
        <f t="shared" si="31"/>
        <v>1008</v>
      </c>
      <c r="C720" s="53" t="s">
        <v>53</v>
      </c>
      <c r="D720" s="54" t="s">
        <v>858</v>
      </c>
      <c r="E720" s="54" t="s">
        <v>944</v>
      </c>
      <c r="F720" s="54" t="s">
        <v>873</v>
      </c>
      <c r="G720" s="77" t="s">
        <v>1944</v>
      </c>
      <c r="L720" s="55" t="str">
        <f t="shared" si="32"/>
        <v>{1},{3}</v>
      </c>
      <c r="M720" s="55" t="s">
        <v>772</v>
      </c>
      <c r="O720" s="54">
        <v>201</v>
      </c>
      <c r="P720" s="54" t="s">
        <v>881</v>
      </c>
      <c r="Q720" s="60">
        <v>2</v>
      </c>
      <c r="R720" s="54" t="s">
        <v>866</v>
      </c>
      <c r="T720" s="55" t="str">
        <f t="shared" si="33"/>
        <v>{201,50},{2,1000}</v>
      </c>
      <c r="U720" s="55" t="s">
        <v>894</v>
      </c>
    </row>
    <row r="721" spans="1:21">
      <c r="A721" s="55">
        <v>17</v>
      </c>
      <c r="B721" s="55">
        <f t="shared" si="31"/>
        <v>1008</v>
      </c>
      <c r="C721" s="53" t="s">
        <v>53</v>
      </c>
      <c r="D721" s="54" t="s">
        <v>858</v>
      </c>
      <c r="E721" s="54" t="s">
        <v>1450</v>
      </c>
      <c r="F721" s="54" t="s">
        <v>873</v>
      </c>
      <c r="G721" s="77" t="s">
        <v>1945</v>
      </c>
      <c r="L721" s="55" t="str">
        <f t="shared" si="32"/>
        <v>{1},{3}</v>
      </c>
      <c r="M721" s="55" t="s">
        <v>773</v>
      </c>
      <c r="O721" s="54">
        <v>201</v>
      </c>
      <c r="P721" s="54" t="s">
        <v>881</v>
      </c>
      <c r="Q721" s="60">
        <v>2</v>
      </c>
      <c r="R721" s="54" t="s">
        <v>866</v>
      </c>
      <c r="T721" s="55" t="str">
        <f t="shared" si="33"/>
        <v>{201,50},{2,1000}</v>
      </c>
      <c r="U721" s="55" t="s">
        <v>894</v>
      </c>
    </row>
    <row r="722" spans="1:21">
      <c r="A722" s="55">
        <v>18</v>
      </c>
      <c r="B722" s="55">
        <f t="shared" si="31"/>
        <v>1008</v>
      </c>
      <c r="C722" s="53" t="s">
        <v>53</v>
      </c>
      <c r="D722" s="54" t="s">
        <v>858</v>
      </c>
      <c r="E722" s="54" t="s">
        <v>947</v>
      </c>
      <c r="F722" s="54" t="s">
        <v>873</v>
      </c>
      <c r="G722" s="77" t="s">
        <v>1468</v>
      </c>
      <c r="L722" s="55" t="str">
        <f t="shared" si="32"/>
        <v>{1},{3}</v>
      </c>
      <c r="M722" s="55" t="s">
        <v>774</v>
      </c>
      <c r="O722" s="54">
        <v>201</v>
      </c>
      <c r="P722" s="54" t="s">
        <v>881</v>
      </c>
      <c r="Q722" s="60">
        <v>2</v>
      </c>
      <c r="R722" s="54" t="s">
        <v>866</v>
      </c>
      <c r="T722" s="55" t="str">
        <f t="shared" si="33"/>
        <v>{201,50},{2,1000}</v>
      </c>
      <c r="U722" s="55" t="s">
        <v>894</v>
      </c>
    </row>
    <row r="723" spans="1:21">
      <c r="A723" s="55">
        <v>19</v>
      </c>
      <c r="B723" s="55">
        <f t="shared" si="31"/>
        <v>1008</v>
      </c>
      <c r="C723" s="53" t="s">
        <v>53</v>
      </c>
      <c r="D723" s="54" t="s">
        <v>858</v>
      </c>
      <c r="E723" s="54" t="s">
        <v>1451</v>
      </c>
      <c r="F723" s="54" t="s">
        <v>873</v>
      </c>
      <c r="G723" s="77" t="s">
        <v>1946</v>
      </c>
      <c r="L723" s="55" t="str">
        <f t="shared" si="32"/>
        <v>{1},{3}</v>
      </c>
      <c r="M723" s="55" t="s">
        <v>775</v>
      </c>
      <c r="O723" s="54">
        <v>201</v>
      </c>
      <c r="P723" s="54" t="s">
        <v>881</v>
      </c>
      <c r="Q723" s="60">
        <v>2</v>
      </c>
      <c r="R723" s="54" t="s">
        <v>866</v>
      </c>
      <c r="T723" s="55" t="str">
        <f t="shared" si="33"/>
        <v>{201,50},{2,1000}</v>
      </c>
      <c r="U723" s="55" t="s">
        <v>894</v>
      </c>
    </row>
    <row r="724" spans="1:21" s="63" customFormat="1">
      <c r="A724" s="63">
        <v>20</v>
      </c>
      <c r="B724" s="63">
        <f t="shared" si="31"/>
        <v>1008</v>
      </c>
      <c r="C724" s="61" t="s">
        <v>54</v>
      </c>
      <c r="D724" s="62" t="s">
        <v>858</v>
      </c>
      <c r="E724" s="62" t="s">
        <v>1452</v>
      </c>
      <c r="F724" s="62" t="s">
        <v>873</v>
      </c>
      <c r="G724" s="78" t="s">
        <v>1947</v>
      </c>
      <c r="H724" s="78"/>
      <c r="I724" s="78"/>
      <c r="J724" s="78"/>
      <c r="L724" s="63" t="str">
        <f t="shared" si="32"/>
        <v>{1},{3}</v>
      </c>
      <c r="M724" s="63" t="s">
        <v>776</v>
      </c>
      <c r="O724" s="62" t="s">
        <v>886</v>
      </c>
      <c r="P724" s="62" t="s">
        <v>881</v>
      </c>
      <c r="Q724" s="64">
        <v>2</v>
      </c>
      <c r="R724" s="62" t="s">
        <v>866</v>
      </c>
      <c r="T724" s="55" t="str">
        <f t="shared" si="33"/>
        <v>{301,50},{2,1000}</v>
      </c>
      <c r="U724" s="63" t="s">
        <v>895</v>
      </c>
    </row>
    <row r="725" spans="1:21">
      <c r="A725" s="55">
        <v>21</v>
      </c>
      <c r="B725" s="55">
        <f t="shared" si="31"/>
        <v>1008</v>
      </c>
      <c r="C725" s="53" t="s">
        <v>55</v>
      </c>
      <c r="D725" s="54" t="s">
        <v>858</v>
      </c>
      <c r="E725" s="54" t="s">
        <v>1453</v>
      </c>
      <c r="F725" s="54" t="s">
        <v>873</v>
      </c>
      <c r="G725" s="77" t="s">
        <v>1948</v>
      </c>
      <c r="L725" s="55" t="str">
        <f t="shared" si="32"/>
        <v>{1},{3}</v>
      </c>
      <c r="M725" s="55" t="s">
        <v>777</v>
      </c>
      <c r="O725" s="54">
        <v>201</v>
      </c>
      <c r="P725" s="54" t="s">
        <v>882</v>
      </c>
      <c r="Q725" s="60">
        <v>2</v>
      </c>
      <c r="R725" s="54" t="s">
        <v>867</v>
      </c>
      <c r="T725" s="55" t="str">
        <f t="shared" si="33"/>
        <v>{201,100},{2,2000}</v>
      </c>
      <c r="U725" s="55" t="s">
        <v>896</v>
      </c>
    </row>
    <row r="726" spans="1:21">
      <c r="A726" s="55">
        <v>22</v>
      </c>
      <c r="B726" s="55">
        <f t="shared" si="31"/>
        <v>1008</v>
      </c>
      <c r="C726" s="53" t="s">
        <v>55</v>
      </c>
      <c r="D726" s="54" t="s">
        <v>858</v>
      </c>
      <c r="E726" s="54" t="s">
        <v>1454</v>
      </c>
      <c r="F726" s="54" t="s">
        <v>873</v>
      </c>
      <c r="G726" s="77" t="s">
        <v>1949</v>
      </c>
      <c r="L726" s="55" t="str">
        <f t="shared" si="32"/>
        <v>{1},{3}</v>
      </c>
      <c r="M726" s="55" t="s">
        <v>778</v>
      </c>
      <c r="O726" s="54">
        <v>201</v>
      </c>
      <c r="P726" s="54" t="s">
        <v>882</v>
      </c>
      <c r="Q726" s="60">
        <v>2</v>
      </c>
      <c r="R726" s="54" t="s">
        <v>867</v>
      </c>
      <c r="T726" s="55" t="str">
        <f t="shared" si="33"/>
        <v>{201,100},{2,2000}</v>
      </c>
      <c r="U726" s="55" t="s">
        <v>896</v>
      </c>
    </row>
    <row r="727" spans="1:21">
      <c r="A727" s="55">
        <v>23</v>
      </c>
      <c r="B727" s="55">
        <f t="shared" si="31"/>
        <v>1008</v>
      </c>
      <c r="C727" s="53" t="s">
        <v>55</v>
      </c>
      <c r="D727" s="54" t="s">
        <v>858</v>
      </c>
      <c r="E727" s="54" t="s">
        <v>1455</v>
      </c>
      <c r="F727" s="54" t="s">
        <v>873</v>
      </c>
      <c r="G727" s="77" t="s">
        <v>1950</v>
      </c>
      <c r="L727" s="55" t="str">
        <f t="shared" si="32"/>
        <v>{1},{3}</v>
      </c>
      <c r="M727" s="55" t="s">
        <v>779</v>
      </c>
      <c r="O727" s="54">
        <v>201</v>
      </c>
      <c r="P727" s="54" t="s">
        <v>882</v>
      </c>
      <c r="Q727" s="60">
        <v>2</v>
      </c>
      <c r="R727" s="54" t="s">
        <v>867</v>
      </c>
      <c r="T727" s="55" t="str">
        <f t="shared" si="33"/>
        <v>{201,100},{2,2000}</v>
      </c>
      <c r="U727" s="55" t="s">
        <v>896</v>
      </c>
    </row>
    <row r="728" spans="1:21">
      <c r="A728" s="55">
        <v>24</v>
      </c>
      <c r="B728" s="55">
        <f t="shared" si="31"/>
        <v>1008</v>
      </c>
      <c r="C728" s="53" t="s">
        <v>55</v>
      </c>
      <c r="D728" s="54" t="s">
        <v>858</v>
      </c>
      <c r="E728" s="54" t="s">
        <v>1456</v>
      </c>
      <c r="F728" s="54" t="s">
        <v>873</v>
      </c>
      <c r="G728" s="77" t="s">
        <v>1951</v>
      </c>
      <c r="L728" s="55" t="str">
        <f t="shared" si="32"/>
        <v>{1},{3}</v>
      </c>
      <c r="M728" s="55" t="s">
        <v>780</v>
      </c>
      <c r="O728" s="54">
        <v>201</v>
      </c>
      <c r="P728" s="54" t="s">
        <v>882</v>
      </c>
      <c r="Q728" s="60">
        <v>2</v>
      </c>
      <c r="R728" s="54" t="s">
        <v>867</v>
      </c>
      <c r="T728" s="55" t="str">
        <f t="shared" si="33"/>
        <v>{201,100},{2,2000}</v>
      </c>
      <c r="U728" s="55" t="s">
        <v>896</v>
      </c>
    </row>
    <row r="729" spans="1:21">
      <c r="A729" s="55">
        <v>25</v>
      </c>
      <c r="B729" s="55">
        <f t="shared" si="31"/>
        <v>1008</v>
      </c>
      <c r="C729" s="53" t="s">
        <v>55</v>
      </c>
      <c r="D729" s="54" t="s">
        <v>858</v>
      </c>
      <c r="E729" s="54" t="s">
        <v>1457</v>
      </c>
      <c r="F729" s="54" t="s">
        <v>873</v>
      </c>
      <c r="G729" s="77" t="s">
        <v>1952</v>
      </c>
      <c r="L729" s="55" t="str">
        <f t="shared" si="32"/>
        <v>{1},{3}</v>
      </c>
      <c r="M729" s="55" t="s">
        <v>781</v>
      </c>
      <c r="O729" s="54">
        <v>201</v>
      </c>
      <c r="P729" s="54" t="s">
        <v>882</v>
      </c>
      <c r="Q729" s="60">
        <v>2</v>
      </c>
      <c r="R729" s="54" t="s">
        <v>867</v>
      </c>
      <c r="T729" s="55" t="str">
        <f t="shared" si="33"/>
        <v>{201,100},{2,2000}</v>
      </c>
      <c r="U729" s="55" t="s">
        <v>896</v>
      </c>
    </row>
    <row r="730" spans="1:21">
      <c r="A730" s="55">
        <v>26</v>
      </c>
      <c r="B730" s="55">
        <f t="shared" si="31"/>
        <v>1008</v>
      </c>
      <c r="C730" s="53" t="s">
        <v>55</v>
      </c>
      <c r="D730" s="54" t="s">
        <v>858</v>
      </c>
      <c r="E730" s="54" t="s">
        <v>1458</v>
      </c>
      <c r="F730" s="54" t="s">
        <v>873</v>
      </c>
      <c r="G730" s="77" t="s">
        <v>1953</v>
      </c>
      <c r="L730" s="55" t="str">
        <f t="shared" si="32"/>
        <v>{1},{3}</v>
      </c>
      <c r="M730" s="55" t="s">
        <v>782</v>
      </c>
      <c r="O730" s="54">
        <v>201</v>
      </c>
      <c r="P730" s="54" t="s">
        <v>882</v>
      </c>
      <c r="Q730" s="60">
        <v>2</v>
      </c>
      <c r="R730" s="54" t="s">
        <v>867</v>
      </c>
      <c r="T730" s="55" t="str">
        <f t="shared" si="33"/>
        <v>{201,100},{2,2000}</v>
      </c>
      <c r="U730" s="55" t="s">
        <v>896</v>
      </c>
    </row>
    <row r="731" spans="1:21">
      <c r="A731" s="55">
        <v>27</v>
      </c>
      <c r="B731" s="55">
        <f t="shared" si="31"/>
        <v>1008</v>
      </c>
      <c r="C731" s="53" t="s">
        <v>55</v>
      </c>
      <c r="D731" s="54" t="s">
        <v>858</v>
      </c>
      <c r="E731" s="54" t="s">
        <v>1459</v>
      </c>
      <c r="F731" s="54" t="s">
        <v>873</v>
      </c>
      <c r="G731" s="77" t="s">
        <v>1954</v>
      </c>
      <c r="L731" s="55" t="str">
        <f t="shared" si="32"/>
        <v>{1},{3}</v>
      </c>
      <c r="M731" s="55" t="s">
        <v>783</v>
      </c>
      <c r="O731" s="54">
        <v>201</v>
      </c>
      <c r="P731" s="54" t="s">
        <v>882</v>
      </c>
      <c r="Q731" s="60">
        <v>2</v>
      </c>
      <c r="R731" s="54" t="s">
        <v>867</v>
      </c>
      <c r="T731" s="55" t="str">
        <f t="shared" si="33"/>
        <v>{201,100},{2,2000}</v>
      </c>
      <c r="U731" s="55" t="s">
        <v>896</v>
      </c>
    </row>
    <row r="732" spans="1:21">
      <c r="A732" s="55">
        <v>28</v>
      </c>
      <c r="B732" s="55">
        <f t="shared" si="31"/>
        <v>1008</v>
      </c>
      <c r="C732" s="53" t="s">
        <v>55</v>
      </c>
      <c r="D732" s="54" t="s">
        <v>858</v>
      </c>
      <c r="E732" s="54" t="s">
        <v>1460</v>
      </c>
      <c r="F732" s="54" t="s">
        <v>873</v>
      </c>
      <c r="G732" s="77" t="s">
        <v>1955</v>
      </c>
      <c r="L732" s="55" t="str">
        <f t="shared" si="32"/>
        <v>{1},{3}</v>
      </c>
      <c r="M732" s="55" t="s">
        <v>784</v>
      </c>
      <c r="O732" s="54">
        <v>201</v>
      </c>
      <c r="P732" s="54" t="s">
        <v>882</v>
      </c>
      <c r="Q732" s="60">
        <v>2</v>
      </c>
      <c r="R732" s="54" t="s">
        <v>867</v>
      </c>
      <c r="T732" s="55" t="str">
        <f t="shared" si="33"/>
        <v>{201,100},{2,2000}</v>
      </c>
      <c r="U732" s="55" t="s">
        <v>896</v>
      </c>
    </row>
    <row r="733" spans="1:21">
      <c r="A733" s="55">
        <v>29</v>
      </c>
      <c r="B733" s="55">
        <f t="shared" si="31"/>
        <v>1008</v>
      </c>
      <c r="C733" s="53" t="s">
        <v>55</v>
      </c>
      <c r="D733" s="54" t="s">
        <v>858</v>
      </c>
      <c r="E733" s="54" t="s">
        <v>1461</v>
      </c>
      <c r="F733" s="54" t="s">
        <v>873</v>
      </c>
      <c r="G733" s="77" t="s">
        <v>1956</v>
      </c>
      <c r="L733" s="55" t="str">
        <f t="shared" si="32"/>
        <v>{1},{3}</v>
      </c>
      <c r="M733" s="55" t="s">
        <v>785</v>
      </c>
      <c r="O733" s="54">
        <v>201</v>
      </c>
      <c r="P733" s="54" t="s">
        <v>882</v>
      </c>
      <c r="Q733" s="60">
        <v>2</v>
      </c>
      <c r="R733" s="54" t="s">
        <v>867</v>
      </c>
      <c r="T733" s="55" t="str">
        <f t="shared" si="33"/>
        <v>{201,100},{2,2000}</v>
      </c>
      <c r="U733" s="55" t="s">
        <v>896</v>
      </c>
    </row>
    <row r="734" spans="1:21">
      <c r="A734" s="55">
        <v>30</v>
      </c>
      <c r="B734" s="55">
        <f t="shared" si="31"/>
        <v>1008</v>
      </c>
      <c r="C734" s="53" t="s">
        <v>55</v>
      </c>
      <c r="D734" s="54" t="s">
        <v>858</v>
      </c>
      <c r="E734" s="54" t="s">
        <v>1462</v>
      </c>
      <c r="F734" s="54" t="s">
        <v>873</v>
      </c>
      <c r="G734" s="77" t="s">
        <v>872</v>
      </c>
      <c r="L734" s="55" t="str">
        <f t="shared" si="32"/>
        <v>{1},{3}</v>
      </c>
      <c r="M734" s="55" t="s">
        <v>786</v>
      </c>
      <c r="O734" s="54">
        <v>201</v>
      </c>
      <c r="P734" s="54" t="s">
        <v>882</v>
      </c>
      <c r="Q734" s="60">
        <v>2</v>
      </c>
      <c r="R734" s="54" t="s">
        <v>867</v>
      </c>
      <c r="T734" s="55" t="str">
        <f t="shared" si="33"/>
        <v>{201,100},{2,2000}</v>
      </c>
      <c r="U734" s="55" t="s">
        <v>896</v>
      </c>
    </row>
    <row r="735" spans="1:21">
      <c r="A735" s="55">
        <v>31</v>
      </c>
      <c r="B735" s="55">
        <f t="shared" si="31"/>
        <v>1008</v>
      </c>
      <c r="C735" s="53" t="s">
        <v>55</v>
      </c>
      <c r="D735" s="54" t="s">
        <v>858</v>
      </c>
      <c r="E735" s="54" t="s">
        <v>1463</v>
      </c>
      <c r="F735" s="54" t="s">
        <v>873</v>
      </c>
      <c r="G735" s="77" t="s">
        <v>1957</v>
      </c>
      <c r="L735" s="55" t="str">
        <f t="shared" si="32"/>
        <v>{1},{3}</v>
      </c>
      <c r="M735" s="55" t="s">
        <v>787</v>
      </c>
      <c r="O735" s="54">
        <v>201</v>
      </c>
      <c r="P735" s="54" t="s">
        <v>882</v>
      </c>
      <c r="Q735" s="60">
        <v>2</v>
      </c>
      <c r="R735" s="54" t="s">
        <v>867</v>
      </c>
      <c r="T735" s="55" t="str">
        <f t="shared" si="33"/>
        <v>{201,100},{2,2000}</v>
      </c>
      <c r="U735" s="55" t="s">
        <v>896</v>
      </c>
    </row>
    <row r="736" spans="1:21">
      <c r="A736" s="55">
        <v>32</v>
      </c>
      <c r="B736" s="55">
        <f t="shared" si="31"/>
        <v>1008</v>
      </c>
      <c r="C736" s="53" t="s">
        <v>55</v>
      </c>
      <c r="D736" s="54" t="s">
        <v>858</v>
      </c>
      <c r="E736" s="54" t="s">
        <v>1464</v>
      </c>
      <c r="F736" s="54" t="s">
        <v>873</v>
      </c>
      <c r="G736" s="77" t="s">
        <v>1958</v>
      </c>
      <c r="L736" s="55" t="str">
        <f t="shared" si="32"/>
        <v>{1},{3}</v>
      </c>
      <c r="M736" s="55" t="s">
        <v>788</v>
      </c>
      <c r="O736" s="54">
        <v>201</v>
      </c>
      <c r="P736" s="54" t="s">
        <v>882</v>
      </c>
      <c r="Q736" s="60">
        <v>2</v>
      </c>
      <c r="R736" s="54" t="s">
        <v>867</v>
      </c>
      <c r="T736" s="55" t="str">
        <f t="shared" si="33"/>
        <v>{201,100},{2,2000}</v>
      </c>
      <c r="U736" s="55" t="s">
        <v>896</v>
      </c>
    </row>
    <row r="737" spans="1:21">
      <c r="A737" s="55">
        <v>33</v>
      </c>
      <c r="B737" s="55">
        <f t="shared" si="31"/>
        <v>1008</v>
      </c>
      <c r="C737" s="53" t="s">
        <v>55</v>
      </c>
      <c r="D737" s="54" t="s">
        <v>858</v>
      </c>
      <c r="E737" s="54" t="s">
        <v>1305</v>
      </c>
      <c r="F737" s="54" t="s">
        <v>873</v>
      </c>
      <c r="G737" s="77" t="s">
        <v>1959</v>
      </c>
      <c r="L737" s="55" t="str">
        <f t="shared" si="32"/>
        <v>{1},{3}</v>
      </c>
      <c r="M737" s="55" t="s">
        <v>789</v>
      </c>
      <c r="O737" s="54">
        <v>201</v>
      </c>
      <c r="P737" s="54" t="s">
        <v>882</v>
      </c>
      <c r="Q737" s="60">
        <v>2</v>
      </c>
      <c r="R737" s="54" t="s">
        <v>867</v>
      </c>
      <c r="T737" s="55" t="str">
        <f t="shared" si="33"/>
        <v>{201,100},{2,2000}</v>
      </c>
      <c r="U737" s="55" t="s">
        <v>896</v>
      </c>
    </row>
    <row r="738" spans="1:21">
      <c r="A738" s="55">
        <v>34</v>
      </c>
      <c r="B738" s="55">
        <f t="shared" si="31"/>
        <v>1008</v>
      </c>
      <c r="C738" s="53" t="s">
        <v>55</v>
      </c>
      <c r="D738" s="54" t="s">
        <v>858</v>
      </c>
      <c r="E738" s="54" t="s">
        <v>1306</v>
      </c>
      <c r="F738" s="54" t="s">
        <v>873</v>
      </c>
      <c r="G738" s="77" t="s">
        <v>1960</v>
      </c>
      <c r="L738" s="55" t="str">
        <f t="shared" si="32"/>
        <v>{1},{3}</v>
      </c>
      <c r="M738" s="55" t="s">
        <v>790</v>
      </c>
      <c r="O738" s="54">
        <v>201</v>
      </c>
      <c r="P738" s="54" t="s">
        <v>882</v>
      </c>
      <c r="Q738" s="60">
        <v>2</v>
      </c>
      <c r="R738" s="54" t="s">
        <v>867</v>
      </c>
      <c r="T738" s="55" t="str">
        <f t="shared" si="33"/>
        <v>{201,100},{2,2000}</v>
      </c>
      <c r="U738" s="55" t="s">
        <v>896</v>
      </c>
    </row>
    <row r="739" spans="1:21">
      <c r="A739" s="55">
        <v>35</v>
      </c>
      <c r="B739" s="55">
        <f t="shared" si="31"/>
        <v>1008</v>
      </c>
      <c r="C739" s="53" t="s">
        <v>55</v>
      </c>
      <c r="D739" s="54" t="s">
        <v>858</v>
      </c>
      <c r="E739" s="54" t="s">
        <v>1307</v>
      </c>
      <c r="F739" s="54" t="s">
        <v>873</v>
      </c>
      <c r="G739" s="77" t="s">
        <v>1961</v>
      </c>
      <c r="L739" s="55" t="str">
        <f t="shared" si="32"/>
        <v>{1},{3}</v>
      </c>
      <c r="M739" s="55" t="s">
        <v>791</v>
      </c>
      <c r="O739" s="54">
        <v>201</v>
      </c>
      <c r="P739" s="54" t="s">
        <v>882</v>
      </c>
      <c r="Q739" s="60">
        <v>2</v>
      </c>
      <c r="R739" s="54" t="s">
        <v>867</v>
      </c>
      <c r="T739" s="55" t="str">
        <f t="shared" si="33"/>
        <v>{201,100},{2,2000}</v>
      </c>
      <c r="U739" s="55" t="s">
        <v>896</v>
      </c>
    </row>
    <row r="740" spans="1:21">
      <c r="A740" s="55">
        <v>36</v>
      </c>
      <c r="B740" s="55">
        <f t="shared" si="31"/>
        <v>1008</v>
      </c>
      <c r="C740" s="53" t="s">
        <v>55</v>
      </c>
      <c r="D740" s="54" t="s">
        <v>858</v>
      </c>
      <c r="E740" s="54" t="s">
        <v>869</v>
      </c>
      <c r="F740" s="54" t="s">
        <v>873</v>
      </c>
      <c r="G740" s="77" t="s">
        <v>1962</v>
      </c>
      <c r="L740" s="55" t="str">
        <f t="shared" si="32"/>
        <v>{1},{3}</v>
      </c>
      <c r="M740" s="55" t="s">
        <v>792</v>
      </c>
      <c r="O740" s="54">
        <v>201</v>
      </c>
      <c r="P740" s="54" t="s">
        <v>882</v>
      </c>
      <c r="Q740" s="60">
        <v>2</v>
      </c>
      <c r="R740" s="54" t="s">
        <v>867</v>
      </c>
      <c r="T740" s="55" t="str">
        <f t="shared" si="33"/>
        <v>{201,100},{2,2000}</v>
      </c>
      <c r="U740" s="55" t="s">
        <v>896</v>
      </c>
    </row>
    <row r="741" spans="1:21">
      <c r="A741" s="55">
        <v>37</v>
      </c>
      <c r="B741" s="55">
        <f t="shared" si="31"/>
        <v>1008</v>
      </c>
      <c r="C741" s="53" t="s">
        <v>55</v>
      </c>
      <c r="D741" s="54" t="s">
        <v>858</v>
      </c>
      <c r="E741" s="54" t="s">
        <v>1308</v>
      </c>
      <c r="F741" s="54" t="s">
        <v>873</v>
      </c>
      <c r="G741" s="77" t="s">
        <v>1963</v>
      </c>
      <c r="L741" s="55" t="str">
        <f t="shared" si="32"/>
        <v>{1},{3}</v>
      </c>
      <c r="M741" s="55" t="s">
        <v>793</v>
      </c>
      <c r="O741" s="54">
        <v>201</v>
      </c>
      <c r="P741" s="54" t="s">
        <v>882</v>
      </c>
      <c r="Q741" s="60">
        <v>2</v>
      </c>
      <c r="R741" s="54" t="s">
        <v>867</v>
      </c>
      <c r="T741" s="55" t="str">
        <f t="shared" si="33"/>
        <v>{201,100},{2,2000}</v>
      </c>
      <c r="U741" s="55" t="s">
        <v>896</v>
      </c>
    </row>
    <row r="742" spans="1:21">
      <c r="A742" s="55">
        <v>38</v>
      </c>
      <c r="B742" s="55">
        <f t="shared" si="31"/>
        <v>1008</v>
      </c>
      <c r="C742" s="53" t="s">
        <v>55</v>
      </c>
      <c r="D742" s="54" t="s">
        <v>858</v>
      </c>
      <c r="E742" s="54" t="s">
        <v>1309</v>
      </c>
      <c r="F742" s="54" t="s">
        <v>873</v>
      </c>
      <c r="G742" s="77" t="s">
        <v>1964</v>
      </c>
      <c r="L742" s="55" t="str">
        <f t="shared" si="32"/>
        <v>{1},{3}</v>
      </c>
      <c r="M742" s="55" t="s">
        <v>794</v>
      </c>
      <c r="O742" s="54">
        <v>201</v>
      </c>
      <c r="P742" s="54" t="s">
        <v>882</v>
      </c>
      <c r="Q742" s="60">
        <v>2</v>
      </c>
      <c r="R742" s="54" t="s">
        <v>867</v>
      </c>
      <c r="T742" s="55" t="str">
        <f t="shared" si="33"/>
        <v>{201,100},{2,2000}</v>
      </c>
      <c r="U742" s="55" t="s">
        <v>896</v>
      </c>
    </row>
    <row r="743" spans="1:21">
      <c r="A743" s="55">
        <v>39</v>
      </c>
      <c r="B743" s="55">
        <f t="shared" si="31"/>
        <v>1008</v>
      </c>
      <c r="C743" s="53" t="s">
        <v>55</v>
      </c>
      <c r="D743" s="54" t="s">
        <v>858</v>
      </c>
      <c r="E743" s="54" t="s">
        <v>1310</v>
      </c>
      <c r="F743" s="54" t="s">
        <v>873</v>
      </c>
      <c r="G743" s="77" t="s">
        <v>1625</v>
      </c>
      <c r="L743" s="55" t="str">
        <f t="shared" si="32"/>
        <v>{1},{3}</v>
      </c>
      <c r="M743" s="55" t="s">
        <v>795</v>
      </c>
      <c r="O743" s="54">
        <v>201</v>
      </c>
      <c r="P743" s="54" t="s">
        <v>882</v>
      </c>
      <c r="Q743" s="60">
        <v>2</v>
      </c>
      <c r="R743" s="54" t="s">
        <v>867</v>
      </c>
      <c r="T743" s="55" t="str">
        <f t="shared" si="33"/>
        <v>{201,100},{2,2000}</v>
      </c>
      <c r="U743" s="55" t="s">
        <v>896</v>
      </c>
    </row>
    <row r="744" spans="1:21" s="63" customFormat="1">
      <c r="A744" s="63">
        <v>40</v>
      </c>
      <c r="B744" s="63">
        <f t="shared" si="31"/>
        <v>1008</v>
      </c>
      <c r="C744" s="61" t="s">
        <v>56</v>
      </c>
      <c r="D744" s="62" t="s">
        <v>858</v>
      </c>
      <c r="E744" s="62" t="s">
        <v>1465</v>
      </c>
      <c r="F744" s="62" t="s">
        <v>873</v>
      </c>
      <c r="G744" s="78" t="s">
        <v>1965</v>
      </c>
      <c r="H744" s="78"/>
      <c r="I744" s="78"/>
      <c r="J744" s="78"/>
      <c r="L744" s="63" t="str">
        <f t="shared" si="32"/>
        <v>{1},{3}</v>
      </c>
      <c r="M744" s="63" t="s">
        <v>796</v>
      </c>
      <c r="O744" s="62" t="s">
        <v>886</v>
      </c>
      <c r="P744" s="62" t="s">
        <v>882</v>
      </c>
      <c r="Q744" s="64">
        <v>2</v>
      </c>
      <c r="R744" s="62" t="s">
        <v>867</v>
      </c>
      <c r="T744" s="55" t="str">
        <f t="shared" si="33"/>
        <v>{301,100},{2,2000}</v>
      </c>
      <c r="U744" s="63" t="s">
        <v>897</v>
      </c>
    </row>
    <row r="745" spans="1:21">
      <c r="A745" s="55">
        <v>41</v>
      </c>
      <c r="B745" s="55">
        <f t="shared" si="31"/>
        <v>1008</v>
      </c>
      <c r="C745" s="53" t="s">
        <v>57</v>
      </c>
      <c r="D745" s="54" t="s">
        <v>858</v>
      </c>
      <c r="E745" s="54" t="s">
        <v>1466</v>
      </c>
      <c r="F745" s="54" t="s">
        <v>873</v>
      </c>
      <c r="G745" s="77" t="s">
        <v>1966</v>
      </c>
      <c r="L745" s="55" t="str">
        <f t="shared" si="32"/>
        <v>{1},{3}</v>
      </c>
      <c r="M745" s="55" t="s">
        <v>797</v>
      </c>
      <c r="O745" s="54">
        <v>201</v>
      </c>
      <c r="P745" s="54" t="s">
        <v>883</v>
      </c>
      <c r="Q745" s="60">
        <v>2</v>
      </c>
      <c r="R745" s="54" t="s">
        <v>868</v>
      </c>
      <c r="T745" s="55" t="str">
        <f t="shared" si="33"/>
        <v>{201,150},{2,3750}</v>
      </c>
      <c r="U745" s="55" t="s">
        <v>898</v>
      </c>
    </row>
    <row r="746" spans="1:21">
      <c r="A746" s="55">
        <v>42</v>
      </c>
      <c r="B746" s="55">
        <f t="shared" si="31"/>
        <v>1008</v>
      </c>
      <c r="C746" s="53" t="s">
        <v>57</v>
      </c>
      <c r="D746" s="54" t="s">
        <v>858</v>
      </c>
      <c r="E746" s="54" t="s">
        <v>1467</v>
      </c>
      <c r="F746" s="54" t="s">
        <v>873</v>
      </c>
      <c r="G746" s="77" t="s">
        <v>1967</v>
      </c>
      <c r="L746" s="55" t="str">
        <f t="shared" si="32"/>
        <v>{1},{3}</v>
      </c>
      <c r="M746" s="55" t="s">
        <v>798</v>
      </c>
      <c r="O746" s="54">
        <v>201</v>
      </c>
      <c r="P746" s="54" t="s">
        <v>883</v>
      </c>
      <c r="Q746" s="60">
        <v>2</v>
      </c>
      <c r="R746" s="54" t="s">
        <v>868</v>
      </c>
      <c r="T746" s="55" t="str">
        <f t="shared" si="33"/>
        <v>{201,150},{2,3750}</v>
      </c>
      <c r="U746" s="55" t="s">
        <v>898</v>
      </c>
    </row>
    <row r="747" spans="1:21">
      <c r="A747" s="55">
        <v>43</v>
      </c>
      <c r="B747" s="55">
        <f t="shared" si="31"/>
        <v>1008</v>
      </c>
      <c r="C747" s="53" t="s">
        <v>57</v>
      </c>
      <c r="D747" s="54" t="s">
        <v>858</v>
      </c>
      <c r="E747" s="54" t="s">
        <v>1468</v>
      </c>
      <c r="F747" s="54" t="s">
        <v>873</v>
      </c>
      <c r="G747" s="77" t="s">
        <v>1968</v>
      </c>
      <c r="L747" s="55" t="str">
        <f t="shared" si="32"/>
        <v>{1},{3}</v>
      </c>
      <c r="M747" s="55" t="s">
        <v>799</v>
      </c>
      <c r="O747" s="54">
        <v>201</v>
      </c>
      <c r="P747" s="54" t="s">
        <v>883</v>
      </c>
      <c r="Q747" s="60">
        <v>2</v>
      </c>
      <c r="R747" s="54" t="s">
        <v>868</v>
      </c>
      <c r="T747" s="55" t="str">
        <f t="shared" si="33"/>
        <v>{201,150},{2,3750}</v>
      </c>
      <c r="U747" s="55" t="s">
        <v>898</v>
      </c>
    </row>
    <row r="748" spans="1:21">
      <c r="A748" s="55">
        <v>44</v>
      </c>
      <c r="B748" s="55">
        <f t="shared" si="31"/>
        <v>1008</v>
      </c>
      <c r="C748" s="53" t="s">
        <v>57</v>
      </c>
      <c r="D748" s="54" t="s">
        <v>858</v>
      </c>
      <c r="E748" s="54" t="s">
        <v>1469</v>
      </c>
      <c r="F748" s="54" t="s">
        <v>873</v>
      </c>
      <c r="G748" s="77" t="s">
        <v>1969</v>
      </c>
      <c r="L748" s="55" t="str">
        <f t="shared" si="32"/>
        <v>{1},{3}</v>
      </c>
      <c r="M748" s="55" t="s">
        <v>800</v>
      </c>
      <c r="O748" s="54">
        <v>201</v>
      </c>
      <c r="P748" s="54" t="s">
        <v>883</v>
      </c>
      <c r="Q748" s="60">
        <v>2</v>
      </c>
      <c r="R748" s="54" t="s">
        <v>868</v>
      </c>
      <c r="T748" s="55" t="str">
        <f t="shared" si="33"/>
        <v>{201,150},{2,3750}</v>
      </c>
      <c r="U748" s="55" t="s">
        <v>898</v>
      </c>
    </row>
    <row r="749" spans="1:21">
      <c r="A749" s="55">
        <v>45</v>
      </c>
      <c r="B749" s="55">
        <f t="shared" si="31"/>
        <v>1008</v>
      </c>
      <c r="C749" s="53" t="s">
        <v>57</v>
      </c>
      <c r="D749" s="54" t="s">
        <v>858</v>
      </c>
      <c r="E749" s="54" t="s">
        <v>1245</v>
      </c>
      <c r="F749" s="54" t="s">
        <v>873</v>
      </c>
      <c r="G749" s="77" t="s">
        <v>1970</v>
      </c>
      <c r="L749" s="55" t="str">
        <f t="shared" si="32"/>
        <v>{1},{3}</v>
      </c>
      <c r="M749" s="55" t="s">
        <v>801</v>
      </c>
      <c r="O749" s="54">
        <v>201</v>
      </c>
      <c r="P749" s="54" t="s">
        <v>883</v>
      </c>
      <c r="Q749" s="60">
        <v>2</v>
      </c>
      <c r="R749" s="54" t="s">
        <v>868</v>
      </c>
      <c r="T749" s="55" t="str">
        <f t="shared" si="33"/>
        <v>{201,150},{2,3750}</v>
      </c>
      <c r="U749" s="55" t="s">
        <v>898</v>
      </c>
    </row>
    <row r="750" spans="1:21">
      <c r="A750" s="55">
        <v>46</v>
      </c>
      <c r="B750" s="55">
        <f t="shared" si="31"/>
        <v>1008</v>
      </c>
      <c r="C750" s="53" t="s">
        <v>57</v>
      </c>
      <c r="D750" s="54" t="s">
        <v>858</v>
      </c>
      <c r="E750" s="54" t="s">
        <v>1470</v>
      </c>
      <c r="F750" s="54" t="s">
        <v>873</v>
      </c>
      <c r="G750" s="77" t="s">
        <v>1971</v>
      </c>
      <c r="L750" s="55" t="str">
        <f t="shared" si="32"/>
        <v>{1},{3}</v>
      </c>
      <c r="M750" s="55" t="s">
        <v>802</v>
      </c>
      <c r="O750" s="54">
        <v>201</v>
      </c>
      <c r="P750" s="54" t="s">
        <v>883</v>
      </c>
      <c r="Q750" s="60">
        <v>2</v>
      </c>
      <c r="R750" s="54" t="s">
        <v>868</v>
      </c>
      <c r="T750" s="55" t="str">
        <f t="shared" si="33"/>
        <v>{201,150},{2,3750}</v>
      </c>
      <c r="U750" s="55" t="s">
        <v>898</v>
      </c>
    </row>
    <row r="751" spans="1:21">
      <c r="A751" s="55">
        <v>47</v>
      </c>
      <c r="B751" s="55">
        <f t="shared" si="31"/>
        <v>1008</v>
      </c>
      <c r="C751" s="53" t="s">
        <v>57</v>
      </c>
      <c r="D751" s="54" t="s">
        <v>858</v>
      </c>
      <c r="E751" s="54" t="s">
        <v>1471</v>
      </c>
      <c r="F751" s="54" t="s">
        <v>873</v>
      </c>
      <c r="G751" s="77" t="s">
        <v>1972</v>
      </c>
      <c r="L751" s="55" t="str">
        <f t="shared" si="32"/>
        <v>{1},{3}</v>
      </c>
      <c r="M751" s="55" t="s">
        <v>803</v>
      </c>
      <c r="O751" s="54">
        <v>201</v>
      </c>
      <c r="P751" s="54" t="s">
        <v>883</v>
      </c>
      <c r="Q751" s="60">
        <v>2</v>
      </c>
      <c r="R751" s="54" t="s">
        <v>868</v>
      </c>
      <c r="T751" s="55" t="str">
        <f t="shared" si="33"/>
        <v>{201,150},{2,3750}</v>
      </c>
      <c r="U751" s="55" t="s">
        <v>898</v>
      </c>
    </row>
    <row r="752" spans="1:21">
      <c r="A752" s="55">
        <v>48</v>
      </c>
      <c r="B752" s="55">
        <f t="shared" si="31"/>
        <v>1008</v>
      </c>
      <c r="C752" s="53" t="s">
        <v>57</v>
      </c>
      <c r="D752" s="54" t="s">
        <v>858</v>
      </c>
      <c r="E752" s="54" t="s">
        <v>1472</v>
      </c>
      <c r="F752" s="54" t="s">
        <v>873</v>
      </c>
      <c r="G752" s="77" t="s">
        <v>1973</v>
      </c>
      <c r="L752" s="55" t="str">
        <f t="shared" si="32"/>
        <v>{1},{3}</v>
      </c>
      <c r="M752" s="55" t="s">
        <v>804</v>
      </c>
      <c r="O752" s="54">
        <v>201</v>
      </c>
      <c r="P752" s="54" t="s">
        <v>883</v>
      </c>
      <c r="Q752" s="60">
        <v>2</v>
      </c>
      <c r="R752" s="54" t="s">
        <v>868</v>
      </c>
      <c r="T752" s="55" t="str">
        <f t="shared" si="33"/>
        <v>{201,150},{2,3750}</v>
      </c>
      <c r="U752" s="55" t="s">
        <v>898</v>
      </c>
    </row>
    <row r="753" spans="1:21">
      <c r="A753" s="55">
        <v>49</v>
      </c>
      <c r="B753" s="55">
        <f t="shared" si="31"/>
        <v>1008</v>
      </c>
      <c r="C753" s="53" t="s">
        <v>57</v>
      </c>
      <c r="D753" s="54" t="s">
        <v>858</v>
      </c>
      <c r="E753" s="54" t="s">
        <v>1473</v>
      </c>
      <c r="F753" s="54" t="s">
        <v>873</v>
      </c>
      <c r="G753" s="77" t="s">
        <v>1974</v>
      </c>
      <c r="L753" s="55" t="str">
        <f t="shared" si="32"/>
        <v>{1},{3}</v>
      </c>
      <c r="M753" s="55" t="s">
        <v>805</v>
      </c>
      <c r="O753" s="54">
        <v>201</v>
      </c>
      <c r="P753" s="54" t="s">
        <v>883</v>
      </c>
      <c r="Q753" s="60">
        <v>2</v>
      </c>
      <c r="R753" s="54" t="s">
        <v>868</v>
      </c>
      <c r="T753" s="55" t="str">
        <f t="shared" si="33"/>
        <v>{201,150},{2,3750}</v>
      </c>
      <c r="U753" s="55" t="s">
        <v>898</v>
      </c>
    </row>
    <row r="754" spans="1:21">
      <c r="A754" s="55">
        <v>50</v>
      </c>
      <c r="B754" s="55">
        <f t="shared" ref="B754:B804" si="34">B654+1</f>
        <v>1008</v>
      </c>
      <c r="C754" s="53" t="s">
        <v>57</v>
      </c>
      <c r="D754" s="54" t="s">
        <v>858</v>
      </c>
      <c r="E754" s="54" t="s">
        <v>1474</v>
      </c>
      <c r="F754" s="54" t="s">
        <v>873</v>
      </c>
      <c r="G754" s="77" t="s">
        <v>1975</v>
      </c>
      <c r="L754" s="55" t="str">
        <f t="shared" si="32"/>
        <v>{1},{3}</v>
      </c>
      <c r="M754" s="55" t="s">
        <v>806</v>
      </c>
      <c r="O754" s="54">
        <v>201</v>
      </c>
      <c r="P754" s="54" t="s">
        <v>883</v>
      </c>
      <c r="Q754" s="60">
        <v>2</v>
      </c>
      <c r="R754" s="54" t="s">
        <v>868</v>
      </c>
      <c r="T754" s="55" t="str">
        <f t="shared" si="33"/>
        <v>{201,150},{2,3750}</v>
      </c>
      <c r="U754" s="55" t="s">
        <v>898</v>
      </c>
    </row>
    <row r="755" spans="1:21">
      <c r="A755" s="55">
        <v>51</v>
      </c>
      <c r="B755" s="55">
        <f t="shared" si="34"/>
        <v>1008</v>
      </c>
      <c r="C755" s="53" t="s">
        <v>57</v>
      </c>
      <c r="D755" s="54" t="s">
        <v>858</v>
      </c>
      <c r="E755" s="54" t="s">
        <v>1475</v>
      </c>
      <c r="F755" s="54" t="s">
        <v>873</v>
      </c>
      <c r="G755" s="77" t="s">
        <v>1976</v>
      </c>
      <c r="L755" s="55" t="str">
        <f t="shared" si="32"/>
        <v>{1},{3}</v>
      </c>
      <c r="M755" s="55" t="s">
        <v>807</v>
      </c>
      <c r="O755" s="54">
        <v>201</v>
      </c>
      <c r="P755" s="54" t="s">
        <v>883</v>
      </c>
      <c r="Q755" s="60">
        <v>2</v>
      </c>
      <c r="R755" s="54" t="s">
        <v>868</v>
      </c>
      <c r="T755" s="55" t="str">
        <f t="shared" si="33"/>
        <v>{201,150},{2,3750}</v>
      </c>
      <c r="U755" s="55" t="s">
        <v>898</v>
      </c>
    </row>
    <row r="756" spans="1:21">
      <c r="A756" s="55">
        <v>52</v>
      </c>
      <c r="B756" s="55">
        <f t="shared" si="34"/>
        <v>1008</v>
      </c>
      <c r="C756" s="53" t="s">
        <v>57</v>
      </c>
      <c r="D756" s="54" t="s">
        <v>858</v>
      </c>
      <c r="E756" s="54" t="s">
        <v>1476</v>
      </c>
      <c r="F756" s="54" t="s">
        <v>873</v>
      </c>
      <c r="G756" s="77" t="s">
        <v>1977</v>
      </c>
      <c r="L756" s="55" t="str">
        <f t="shared" si="32"/>
        <v>{1},{3}</v>
      </c>
      <c r="M756" s="55" t="s">
        <v>808</v>
      </c>
      <c r="O756" s="54">
        <v>201</v>
      </c>
      <c r="P756" s="54" t="s">
        <v>883</v>
      </c>
      <c r="Q756" s="60">
        <v>2</v>
      </c>
      <c r="R756" s="54" t="s">
        <v>868</v>
      </c>
      <c r="T756" s="55" t="str">
        <f t="shared" si="33"/>
        <v>{201,150},{2,3750}</v>
      </c>
      <c r="U756" s="55" t="s">
        <v>898</v>
      </c>
    </row>
    <row r="757" spans="1:21">
      <c r="A757" s="55">
        <v>53</v>
      </c>
      <c r="B757" s="55">
        <f t="shared" si="34"/>
        <v>1008</v>
      </c>
      <c r="C757" s="53" t="s">
        <v>57</v>
      </c>
      <c r="D757" s="54" t="s">
        <v>858</v>
      </c>
      <c r="E757" s="54" t="s">
        <v>1477</v>
      </c>
      <c r="F757" s="54" t="s">
        <v>873</v>
      </c>
      <c r="G757" s="77" t="s">
        <v>1978</v>
      </c>
      <c r="L757" s="55" t="str">
        <f t="shared" si="32"/>
        <v>{1},{3}</v>
      </c>
      <c r="M757" s="55" t="s">
        <v>809</v>
      </c>
      <c r="O757" s="54">
        <v>201</v>
      </c>
      <c r="P757" s="54" t="s">
        <v>883</v>
      </c>
      <c r="Q757" s="60">
        <v>2</v>
      </c>
      <c r="R757" s="54" t="s">
        <v>868</v>
      </c>
      <c r="T757" s="55" t="str">
        <f t="shared" si="33"/>
        <v>{201,150},{2,3750}</v>
      </c>
      <c r="U757" s="55" t="s">
        <v>898</v>
      </c>
    </row>
    <row r="758" spans="1:21">
      <c r="A758" s="55">
        <v>54</v>
      </c>
      <c r="B758" s="55">
        <f t="shared" si="34"/>
        <v>1008</v>
      </c>
      <c r="C758" s="53" t="s">
        <v>57</v>
      </c>
      <c r="D758" s="54" t="s">
        <v>858</v>
      </c>
      <c r="E758" s="54" t="s">
        <v>1478</v>
      </c>
      <c r="F758" s="54" t="s">
        <v>873</v>
      </c>
      <c r="G758" s="77" t="s">
        <v>1979</v>
      </c>
      <c r="L758" s="55" t="str">
        <f t="shared" si="32"/>
        <v>{1},{3}</v>
      </c>
      <c r="M758" s="55" t="s">
        <v>810</v>
      </c>
      <c r="O758" s="54">
        <v>201</v>
      </c>
      <c r="P758" s="54" t="s">
        <v>883</v>
      </c>
      <c r="Q758" s="60">
        <v>2</v>
      </c>
      <c r="R758" s="54" t="s">
        <v>868</v>
      </c>
      <c r="T758" s="55" t="str">
        <f t="shared" si="33"/>
        <v>{201,150},{2,3750}</v>
      </c>
      <c r="U758" s="55" t="s">
        <v>898</v>
      </c>
    </row>
    <row r="759" spans="1:21">
      <c r="A759" s="55">
        <v>55</v>
      </c>
      <c r="B759" s="55">
        <f t="shared" si="34"/>
        <v>1008</v>
      </c>
      <c r="C759" s="53" t="s">
        <v>57</v>
      </c>
      <c r="D759" s="54" t="s">
        <v>858</v>
      </c>
      <c r="E759" s="54" t="s">
        <v>1479</v>
      </c>
      <c r="F759" s="54" t="s">
        <v>873</v>
      </c>
      <c r="G759" s="77" t="s">
        <v>1980</v>
      </c>
      <c r="L759" s="55" t="str">
        <f t="shared" si="32"/>
        <v>{1},{3}</v>
      </c>
      <c r="M759" s="55" t="s">
        <v>811</v>
      </c>
      <c r="O759" s="54">
        <v>201</v>
      </c>
      <c r="P759" s="54" t="s">
        <v>883</v>
      </c>
      <c r="Q759" s="60">
        <v>2</v>
      </c>
      <c r="R759" s="54" t="s">
        <v>868</v>
      </c>
      <c r="T759" s="55" t="str">
        <f t="shared" si="33"/>
        <v>{201,150},{2,3750}</v>
      </c>
      <c r="U759" s="55" t="s">
        <v>898</v>
      </c>
    </row>
    <row r="760" spans="1:21">
      <c r="A760" s="55">
        <v>56</v>
      </c>
      <c r="B760" s="55">
        <f t="shared" si="34"/>
        <v>1008</v>
      </c>
      <c r="C760" s="53" t="s">
        <v>57</v>
      </c>
      <c r="D760" s="54" t="s">
        <v>858</v>
      </c>
      <c r="E760" s="54" t="s">
        <v>1480</v>
      </c>
      <c r="F760" s="54" t="s">
        <v>873</v>
      </c>
      <c r="G760" s="77" t="s">
        <v>1981</v>
      </c>
      <c r="L760" s="55" t="str">
        <f t="shared" si="32"/>
        <v>{1},{3}</v>
      </c>
      <c r="M760" s="55" t="s">
        <v>812</v>
      </c>
      <c r="O760" s="54">
        <v>201</v>
      </c>
      <c r="P760" s="54" t="s">
        <v>883</v>
      </c>
      <c r="Q760" s="60">
        <v>2</v>
      </c>
      <c r="R760" s="54" t="s">
        <v>868</v>
      </c>
      <c r="T760" s="55" t="str">
        <f t="shared" si="33"/>
        <v>{201,150},{2,3750}</v>
      </c>
      <c r="U760" s="55" t="s">
        <v>898</v>
      </c>
    </row>
    <row r="761" spans="1:21">
      <c r="A761" s="55">
        <v>57</v>
      </c>
      <c r="B761" s="55">
        <f t="shared" si="34"/>
        <v>1008</v>
      </c>
      <c r="C761" s="53" t="s">
        <v>57</v>
      </c>
      <c r="D761" s="54" t="s">
        <v>858</v>
      </c>
      <c r="E761" s="54" t="s">
        <v>1481</v>
      </c>
      <c r="F761" s="54" t="s">
        <v>873</v>
      </c>
      <c r="G761" s="77" t="s">
        <v>1982</v>
      </c>
      <c r="L761" s="55" t="str">
        <f t="shared" si="32"/>
        <v>{1},{3}</v>
      </c>
      <c r="M761" s="55" t="s">
        <v>813</v>
      </c>
      <c r="O761" s="54">
        <v>201</v>
      </c>
      <c r="P761" s="54" t="s">
        <v>883</v>
      </c>
      <c r="Q761" s="60">
        <v>2</v>
      </c>
      <c r="R761" s="54" t="s">
        <v>868</v>
      </c>
      <c r="T761" s="55" t="str">
        <f t="shared" si="33"/>
        <v>{201,150},{2,3750}</v>
      </c>
      <c r="U761" s="55" t="s">
        <v>898</v>
      </c>
    </row>
    <row r="762" spans="1:21">
      <c r="A762" s="55">
        <v>58</v>
      </c>
      <c r="B762" s="55">
        <f t="shared" si="34"/>
        <v>1008</v>
      </c>
      <c r="C762" s="53" t="s">
        <v>57</v>
      </c>
      <c r="D762" s="54" t="s">
        <v>858</v>
      </c>
      <c r="E762" s="54" t="s">
        <v>1482</v>
      </c>
      <c r="F762" s="54" t="s">
        <v>873</v>
      </c>
      <c r="G762" s="77" t="s">
        <v>1983</v>
      </c>
      <c r="L762" s="55" t="str">
        <f t="shared" si="32"/>
        <v>{1},{3}</v>
      </c>
      <c r="M762" s="55" t="s">
        <v>814</v>
      </c>
      <c r="O762" s="54">
        <v>201</v>
      </c>
      <c r="P762" s="54" t="s">
        <v>883</v>
      </c>
      <c r="Q762" s="60">
        <v>2</v>
      </c>
      <c r="R762" s="54" t="s">
        <v>868</v>
      </c>
      <c r="T762" s="55" t="str">
        <f t="shared" si="33"/>
        <v>{201,150},{2,3750}</v>
      </c>
      <c r="U762" s="55" t="s">
        <v>898</v>
      </c>
    </row>
    <row r="763" spans="1:21">
      <c r="A763" s="55">
        <v>59</v>
      </c>
      <c r="B763" s="55">
        <f t="shared" si="34"/>
        <v>1008</v>
      </c>
      <c r="C763" s="53" t="s">
        <v>57</v>
      </c>
      <c r="D763" s="54" t="s">
        <v>858</v>
      </c>
      <c r="E763" s="54" t="s">
        <v>1483</v>
      </c>
      <c r="F763" s="54" t="s">
        <v>873</v>
      </c>
      <c r="G763" s="77" t="s">
        <v>1984</v>
      </c>
      <c r="L763" s="55" t="str">
        <f t="shared" si="32"/>
        <v>{1},{3}</v>
      </c>
      <c r="M763" s="55" t="s">
        <v>815</v>
      </c>
      <c r="O763" s="54">
        <v>201</v>
      </c>
      <c r="P763" s="54" t="s">
        <v>883</v>
      </c>
      <c r="Q763" s="60">
        <v>2</v>
      </c>
      <c r="R763" s="54" t="s">
        <v>868</v>
      </c>
      <c r="T763" s="55" t="str">
        <f t="shared" si="33"/>
        <v>{201,150},{2,3750}</v>
      </c>
      <c r="U763" s="55" t="s">
        <v>898</v>
      </c>
    </row>
    <row r="764" spans="1:21" s="63" customFormat="1">
      <c r="A764" s="63">
        <v>60</v>
      </c>
      <c r="B764" s="63">
        <f t="shared" si="34"/>
        <v>1008</v>
      </c>
      <c r="C764" s="61" t="s">
        <v>58</v>
      </c>
      <c r="D764" s="62" t="s">
        <v>858</v>
      </c>
      <c r="E764" s="62" t="s">
        <v>1484</v>
      </c>
      <c r="F764" s="62" t="s">
        <v>873</v>
      </c>
      <c r="G764" s="78" t="s">
        <v>1985</v>
      </c>
      <c r="H764" s="78"/>
      <c r="I764" s="78"/>
      <c r="J764" s="78"/>
      <c r="L764" s="63" t="str">
        <f t="shared" si="32"/>
        <v>{1},{3}</v>
      </c>
      <c r="M764" s="63" t="s">
        <v>816</v>
      </c>
      <c r="O764" s="62" t="s">
        <v>886</v>
      </c>
      <c r="P764" s="62" t="s">
        <v>883</v>
      </c>
      <c r="Q764" s="64">
        <v>2</v>
      </c>
      <c r="R764" s="62" t="s">
        <v>869</v>
      </c>
      <c r="T764" s="55" t="str">
        <f t="shared" si="33"/>
        <v>{301,150},{2,4500}</v>
      </c>
      <c r="U764" s="63" t="s">
        <v>899</v>
      </c>
    </row>
    <row r="765" spans="1:21">
      <c r="A765" s="55">
        <v>61</v>
      </c>
      <c r="B765" s="55">
        <f t="shared" si="34"/>
        <v>1008</v>
      </c>
      <c r="C765" s="53" t="s">
        <v>59</v>
      </c>
      <c r="D765" s="54" t="s">
        <v>858</v>
      </c>
      <c r="E765" s="54" t="s">
        <v>1485</v>
      </c>
      <c r="F765" s="54" t="s">
        <v>873</v>
      </c>
      <c r="G765" s="77" t="s">
        <v>1986</v>
      </c>
      <c r="L765" s="55" t="str">
        <f t="shared" si="32"/>
        <v>{1},{3}</v>
      </c>
      <c r="M765" s="55" t="s">
        <v>817</v>
      </c>
      <c r="O765" s="54">
        <v>201</v>
      </c>
      <c r="P765" s="54" t="s">
        <v>884</v>
      </c>
      <c r="Q765" s="60">
        <v>2</v>
      </c>
      <c r="R765" s="54" t="s">
        <v>870</v>
      </c>
      <c r="T765" s="55" t="str">
        <f t="shared" si="33"/>
        <v>{201,300},{2,9000}</v>
      </c>
      <c r="U765" s="55" t="s">
        <v>900</v>
      </c>
    </row>
    <row r="766" spans="1:21">
      <c r="A766" s="55">
        <v>62</v>
      </c>
      <c r="B766" s="55">
        <f t="shared" si="34"/>
        <v>1008</v>
      </c>
      <c r="C766" s="53" t="s">
        <v>59</v>
      </c>
      <c r="D766" s="54" t="s">
        <v>858</v>
      </c>
      <c r="E766" s="54" t="s">
        <v>1486</v>
      </c>
      <c r="F766" s="54" t="s">
        <v>873</v>
      </c>
      <c r="G766" s="77" t="s">
        <v>1987</v>
      </c>
      <c r="L766" s="55" t="str">
        <f t="shared" si="32"/>
        <v>{1},{3}</v>
      </c>
      <c r="M766" s="55" t="s">
        <v>818</v>
      </c>
      <c r="O766" s="54">
        <v>201</v>
      </c>
      <c r="P766" s="54" t="s">
        <v>884</v>
      </c>
      <c r="Q766" s="60">
        <v>2</v>
      </c>
      <c r="R766" s="54" t="s">
        <v>870</v>
      </c>
      <c r="T766" s="55" t="str">
        <f t="shared" si="33"/>
        <v>{201,300},{2,9000}</v>
      </c>
      <c r="U766" s="55" t="s">
        <v>900</v>
      </c>
    </row>
    <row r="767" spans="1:21">
      <c r="A767" s="55">
        <v>63</v>
      </c>
      <c r="B767" s="55">
        <f t="shared" si="34"/>
        <v>1008</v>
      </c>
      <c r="C767" s="53" t="s">
        <v>59</v>
      </c>
      <c r="D767" s="54" t="s">
        <v>858</v>
      </c>
      <c r="E767" s="54" t="s">
        <v>1487</v>
      </c>
      <c r="F767" s="54" t="s">
        <v>873</v>
      </c>
      <c r="G767" s="77" t="s">
        <v>1988</v>
      </c>
      <c r="L767" s="55" t="str">
        <f t="shared" si="32"/>
        <v>{1},{3}</v>
      </c>
      <c r="M767" s="55" t="s">
        <v>819</v>
      </c>
      <c r="O767" s="54">
        <v>201</v>
      </c>
      <c r="P767" s="54" t="s">
        <v>884</v>
      </c>
      <c r="Q767" s="60">
        <v>2</v>
      </c>
      <c r="R767" s="54" t="s">
        <v>870</v>
      </c>
      <c r="T767" s="55" t="str">
        <f t="shared" si="33"/>
        <v>{201,300},{2,9000}</v>
      </c>
      <c r="U767" s="55" t="s">
        <v>900</v>
      </c>
    </row>
    <row r="768" spans="1:21">
      <c r="A768" s="55">
        <v>64</v>
      </c>
      <c r="B768" s="55">
        <f t="shared" si="34"/>
        <v>1008</v>
      </c>
      <c r="C768" s="53" t="s">
        <v>59</v>
      </c>
      <c r="D768" s="54" t="s">
        <v>858</v>
      </c>
      <c r="E768" s="54" t="s">
        <v>1488</v>
      </c>
      <c r="F768" s="54" t="s">
        <v>873</v>
      </c>
      <c r="G768" s="77" t="s">
        <v>1989</v>
      </c>
      <c r="L768" s="55" t="str">
        <f t="shared" si="32"/>
        <v>{1},{3}</v>
      </c>
      <c r="M768" s="55" t="s">
        <v>820</v>
      </c>
      <c r="O768" s="54">
        <v>201</v>
      </c>
      <c r="P768" s="54" t="s">
        <v>884</v>
      </c>
      <c r="Q768" s="60">
        <v>2</v>
      </c>
      <c r="R768" s="54" t="s">
        <v>870</v>
      </c>
      <c r="T768" s="55" t="str">
        <f t="shared" si="33"/>
        <v>{201,300},{2,9000}</v>
      </c>
      <c r="U768" s="55" t="s">
        <v>900</v>
      </c>
    </row>
    <row r="769" spans="1:21">
      <c r="A769" s="55">
        <v>65</v>
      </c>
      <c r="B769" s="55">
        <f t="shared" si="34"/>
        <v>1008</v>
      </c>
      <c r="C769" s="53" t="s">
        <v>59</v>
      </c>
      <c r="D769" s="54" t="s">
        <v>858</v>
      </c>
      <c r="E769" s="54" t="s">
        <v>1489</v>
      </c>
      <c r="F769" s="54" t="s">
        <v>873</v>
      </c>
      <c r="G769" s="77" t="s">
        <v>1990</v>
      </c>
      <c r="L769" s="55" t="str">
        <f t="shared" si="32"/>
        <v>{1},{3}</v>
      </c>
      <c r="M769" s="55" t="s">
        <v>821</v>
      </c>
      <c r="O769" s="54">
        <v>201</v>
      </c>
      <c r="P769" s="54" t="s">
        <v>884</v>
      </c>
      <c r="Q769" s="60">
        <v>2</v>
      </c>
      <c r="R769" s="54" t="s">
        <v>870</v>
      </c>
      <c r="T769" s="55" t="str">
        <f t="shared" si="33"/>
        <v>{201,300},{2,9000}</v>
      </c>
      <c r="U769" s="55" t="s">
        <v>900</v>
      </c>
    </row>
    <row r="770" spans="1:21">
      <c r="A770" s="55">
        <v>66</v>
      </c>
      <c r="B770" s="55">
        <f t="shared" si="34"/>
        <v>1008</v>
      </c>
      <c r="C770" s="53" t="s">
        <v>59</v>
      </c>
      <c r="D770" s="54" t="s">
        <v>858</v>
      </c>
      <c r="E770" s="54" t="s">
        <v>1490</v>
      </c>
      <c r="F770" s="54" t="s">
        <v>873</v>
      </c>
      <c r="G770" s="77" t="s">
        <v>1991</v>
      </c>
      <c r="L770" s="55" t="str">
        <f t="shared" si="32"/>
        <v>{1},{3}</v>
      </c>
      <c r="M770" s="55" t="s">
        <v>822</v>
      </c>
      <c r="O770" s="54">
        <v>201</v>
      </c>
      <c r="P770" s="54" t="s">
        <v>884</v>
      </c>
      <c r="Q770" s="60">
        <v>2</v>
      </c>
      <c r="R770" s="54" t="s">
        <v>870</v>
      </c>
      <c r="T770" s="55" t="str">
        <f t="shared" si="33"/>
        <v>{201,300},{2,9000}</v>
      </c>
      <c r="U770" s="55" t="s">
        <v>900</v>
      </c>
    </row>
    <row r="771" spans="1:21">
      <c r="A771" s="55">
        <v>67</v>
      </c>
      <c r="B771" s="55">
        <f t="shared" si="34"/>
        <v>1008</v>
      </c>
      <c r="C771" s="53" t="s">
        <v>59</v>
      </c>
      <c r="D771" s="54" t="s">
        <v>858</v>
      </c>
      <c r="E771" s="54" t="s">
        <v>1491</v>
      </c>
      <c r="F771" s="54" t="s">
        <v>873</v>
      </c>
      <c r="G771" s="77" t="s">
        <v>1992</v>
      </c>
      <c r="L771" s="55" t="str">
        <f t="shared" si="32"/>
        <v>{1},{3}</v>
      </c>
      <c r="M771" s="55" t="s">
        <v>823</v>
      </c>
      <c r="O771" s="54">
        <v>201</v>
      </c>
      <c r="P771" s="54" t="s">
        <v>884</v>
      </c>
      <c r="Q771" s="60">
        <v>2</v>
      </c>
      <c r="R771" s="54" t="s">
        <v>870</v>
      </c>
      <c r="T771" s="55" t="str">
        <f t="shared" si="33"/>
        <v>{201,300},{2,9000}</v>
      </c>
      <c r="U771" s="55" t="s">
        <v>900</v>
      </c>
    </row>
    <row r="772" spans="1:21">
      <c r="A772" s="55">
        <v>68</v>
      </c>
      <c r="B772" s="55">
        <f t="shared" si="34"/>
        <v>1008</v>
      </c>
      <c r="C772" s="53" t="s">
        <v>59</v>
      </c>
      <c r="D772" s="54" t="s">
        <v>858</v>
      </c>
      <c r="E772" s="54" t="s">
        <v>1492</v>
      </c>
      <c r="F772" s="54" t="s">
        <v>873</v>
      </c>
      <c r="G772" s="77" t="s">
        <v>1993</v>
      </c>
      <c r="L772" s="55" t="str">
        <f t="shared" si="32"/>
        <v>{1},{3}</v>
      </c>
      <c r="M772" s="55" t="s">
        <v>824</v>
      </c>
      <c r="O772" s="54">
        <v>201</v>
      </c>
      <c r="P772" s="54" t="s">
        <v>884</v>
      </c>
      <c r="Q772" s="60">
        <v>2</v>
      </c>
      <c r="R772" s="54" t="s">
        <v>870</v>
      </c>
      <c r="T772" s="55" t="str">
        <f t="shared" si="33"/>
        <v>{201,300},{2,9000}</v>
      </c>
      <c r="U772" s="55" t="s">
        <v>900</v>
      </c>
    </row>
    <row r="773" spans="1:21">
      <c r="A773" s="55">
        <v>69</v>
      </c>
      <c r="B773" s="55">
        <f t="shared" si="34"/>
        <v>1008</v>
      </c>
      <c r="C773" s="53" t="s">
        <v>59</v>
      </c>
      <c r="D773" s="54" t="s">
        <v>858</v>
      </c>
      <c r="E773" s="54" t="s">
        <v>1493</v>
      </c>
      <c r="F773" s="54" t="s">
        <v>873</v>
      </c>
      <c r="G773" s="77" t="s">
        <v>1994</v>
      </c>
      <c r="L773" s="55" t="str">
        <f t="shared" si="32"/>
        <v>{1},{3}</v>
      </c>
      <c r="M773" s="55" t="s">
        <v>825</v>
      </c>
      <c r="O773" s="54">
        <v>201</v>
      </c>
      <c r="P773" s="54" t="s">
        <v>884</v>
      </c>
      <c r="Q773" s="60">
        <v>2</v>
      </c>
      <c r="R773" s="54" t="s">
        <v>870</v>
      </c>
      <c r="T773" s="55" t="str">
        <f t="shared" si="33"/>
        <v>{201,300},{2,9000}</v>
      </c>
      <c r="U773" s="55" t="s">
        <v>900</v>
      </c>
    </row>
    <row r="774" spans="1:21">
      <c r="A774" s="55">
        <v>70</v>
      </c>
      <c r="B774" s="55">
        <f t="shared" si="34"/>
        <v>1008</v>
      </c>
      <c r="C774" s="53" t="s">
        <v>59</v>
      </c>
      <c r="D774" s="54" t="s">
        <v>858</v>
      </c>
      <c r="E774" s="54" t="s">
        <v>1494</v>
      </c>
      <c r="F774" s="54" t="s">
        <v>873</v>
      </c>
      <c r="G774" s="77" t="s">
        <v>1995</v>
      </c>
      <c r="L774" s="55" t="str">
        <f t="shared" ref="L774:L804" si="35">"{"&amp;D774&amp;"}"&amp;","&amp;"{"&amp;F774&amp;"}"</f>
        <v>{1},{3}</v>
      </c>
      <c r="M774" s="55" t="s">
        <v>826</v>
      </c>
      <c r="O774" s="54">
        <v>201</v>
      </c>
      <c r="P774" s="54" t="s">
        <v>884</v>
      </c>
      <c r="Q774" s="60">
        <v>2</v>
      </c>
      <c r="R774" s="54" t="s">
        <v>870</v>
      </c>
      <c r="T774" s="55" t="str">
        <f t="shared" ref="T774:T804" si="36">"{"&amp;O774&amp;","&amp;P774&amp;"}"&amp;","&amp;"{"&amp;Q774&amp;","&amp;R774&amp;"}"</f>
        <v>{201,300},{2,9000}</v>
      </c>
      <c r="U774" s="55" t="s">
        <v>900</v>
      </c>
    </row>
    <row r="775" spans="1:21">
      <c r="A775" s="55">
        <v>71</v>
      </c>
      <c r="B775" s="55">
        <f t="shared" si="34"/>
        <v>1008</v>
      </c>
      <c r="C775" s="53" t="s">
        <v>59</v>
      </c>
      <c r="D775" s="54" t="s">
        <v>858</v>
      </c>
      <c r="E775" s="54" t="s">
        <v>1495</v>
      </c>
      <c r="F775" s="54" t="s">
        <v>873</v>
      </c>
      <c r="G775" s="77" t="s">
        <v>1996</v>
      </c>
      <c r="L775" s="55" t="str">
        <f t="shared" si="35"/>
        <v>{1},{3}</v>
      </c>
      <c r="M775" s="55" t="s">
        <v>827</v>
      </c>
      <c r="O775" s="54">
        <v>201</v>
      </c>
      <c r="P775" s="54" t="s">
        <v>884</v>
      </c>
      <c r="Q775" s="60">
        <v>2</v>
      </c>
      <c r="R775" s="54" t="s">
        <v>870</v>
      </c>
      <c r="T775" s="55" t="str">
        <f t="shared" si="36"/>
        <v>{201,300},{2,9000}</v>
      </c>
      <c r="U775" s="55" t="s">
        <v>900</v>
      </c>
    </row>
    <row r="776" spans="1:21">
      <c r="A776" s="55">
        <v>72</v>
      </c>
      <c r="B776" s="55">
        <f t="shared" si="34"/>
        <v>1008</v>
      </c>
      <c r="C776" s="53" t="s">
        <v>59</v>
      </c>
      <c r="D776" s="54" t="s">
        <v>858</v>
      </c>
      <c r="E776" s="54" t="s">
        <v>1496</v>
      </c>
      <c r="F776" s="54" t="s">
        <v>873</v>
      </c>
      <c r="G776" s="77" t="s">
        <v>1997</v>
      </c>
      <c r="L776" s="55" t="str">
        <f t="shared" si="35"/>
        <v>{1},{3}</v>
      </c>
      <c r="M776" s="55" t="s">
        <v>828</v>
      </c>
      <c r="O776" s="54">
        <v>201</v>
      </c>
      <c r="P776" s="54" t="s">
        <v>884</v>
      </c>
      <c r="Q776" s="60">
        <v>2</v>
      </c>
      <c r="R776" s="54" t="s">
        <v>870</v>
      </c>
      <c r="T776" s="55" t="str">
        <f t="shared" si="36"/>
        <v>{201,300},{2,9000}</v>
      </c>
      <c r="U776" s="55" t="s">
        <v>900</v>
      </c>
    </row>
    <row r="777" spans="1:21">
      <c r="A777" s="55">
        <v>73</v>
      </c>
      <c r="B777" s="55">
        <f t="shared" si="34"/>
        <v>1008</v>
      </c>
      <c r="C777" s="53" t="s">
        <v>59</v>
      </c>
      <c r="D777" s="54" t="s">
        <v>858</v>
      </c>
      <c r="E777" s="54" t="s">
        <v>1497</v>
      </c>
      <c r="F777" s="54" t="s">
        <v>873</v>
      </c>
      <c r="G777" s="77" t="s">
        <v>1998</v>
      </c>
      <c r="L777" s="55" t="str">
        <f t="shared" si="35"/>
        <v>{1},{3}</v>
      </c>
      <c r="M777" s="55" t="s">
        <v>829</v>
      </c>
      <c r="O777" s="54">
        <v>201</v>
      </c>
      <c r="P777" s="54" t="s">
        <v>884</v>
      </c>
      <c r="Q777" s="60">
        <v>2</v>
      </c>
      <c r="R777" s="54" t="s">
        <v>870</v>
      </c>
      <c r="T777" s="55" t="str">
        <f t="shared" si="36"/>
        <v>{201,300},{2,9000}</v>
      </c>
      <c r="U777" s="55" t="s">
        <v>900</v>
      </c>
    </row>
    <row r="778" spans="1:21">
      <c r="A778" s="55">
        <v>74</v>
      </c>
      <c r="B778" s="55">
        <f t="shared" si="34"/>
        <v>1008</v>
      </c>
      <c r="C778" s="53" t="s">
        <v>59</v>
      </c>
      <c r="D778" s="54" t="s">
        <v>858</v>
      </c>
      <c r="E778" s="54" t="s">
        <v>1498</v>
      </c>
      <c r="F778" s="54" t="s">
        <v>873</v>
      </c>
      <c r="G778" s="77" t="s">
        <v>1999</v>
      </c>
      <c r="L778" s="55" t="str">
        <f t="shared" si="35"/>
        <v>{1},{3}</v>
      </c>
      <c r="M778" s="55" t="s">
        <v>830</v>
      </c>
      <c r="O778" s="54">
        <v>201</v>
      </c>
      <c r="P778" s="54" t="s">
        <v>884</v>
      </c>
      <c r="Q778" s="60">
        <v>2</v>
      </c>
      <c r="R778" s="54" t="s">
        <v>870</v>
      </c>
      <c r="T778" s="55" t="str">
        <f t="shared" si="36"/>
        <v>{201,300},{2,9000}</v>
      </c>
      <c r="U778" s="55" t="s">
        <v>900</v>
      </c>
    </row>
    <row r="779" spans="1:21">
      <c r="A779" s="55">
        <v>75</v>
      </c>
      <c r="B779" s="55">
        <f t="shared" si="34"/>
        <v>1008</v>
      </c>
      <c r="C779" s="53" t="s">
        <v>59</v>
      </c>
      <c r="D779" s="54" t="s">
        <v>858</v>
      </c>
      <c r="E779" s="54" t="s">
        <v>1499</v>
      </c>
      <c r="F779" s="54" t="s">
        <v>873</v>
      </c>
      <c r="G779" s="77" t="s">
        <v>2000</v>
      </c>
      <c r="L779" s="55" t="str">
        <f t="shared" si="35"/>
        <v>{1},{3}</v>
      </c>
      <c r="M779" s="55" t="s">
        <v>831</v>
      </c>
      <c r="O779" s="54">
        <v>201</v>
      </c>
      <c r="P779" s="54" t="s">
        <v>884</v>
      </c>
      <c r="Q779" s="60">
        <v>2</v>
      </c>
      <c r="R779" s="54" t="s">
        <v>870</v>
      </c>
      <c r="T779" s="55" t="str">
        <f t="shared" si="36"/>
        <v>{201,300},{2,9000}</v>
      </c>
      <c r="U779" s="55" t="s">
        <v>900</v>
      </c>
    </row>
    <row r="780" spans="1:21">
      <c r="A780" s="55">
        <v>76</v>
      </c>
      <c r="B780" s="55">
        <f t="shared" si="34"/>
        <v>1008</v>
      </c>
      <c r="C780" s="53" t="s">
        <v>59</v>
      </c>
      <c r="D780" s="54" t="s">
        <v>858</v>
      </c>
      <c r="E780" s="54" t="s">
        <v>1500</v>
      </c>
      <c r="F780" s="54" t="s">
        <v>873</v>
      </c>
      <c r="G780" s="77" t="s">
        <v>2001</v>
      </c>
      <c r="L780" s="55" t="str">
        <f t="shared" si="35"/>
        <v>{1},{3}</v>
      </c>
      <c r="M780" s="55" t="s">
        <v>832</v>
      </c>
      <c r="O780" s="54">
        <v>201</v>
      </c>
      <c r="P780" s="54" t="s">
        <v>884</v>
      </c>
      <c r="Q780" s="60">
        <v>2</v>
      </c>
      <c r="R780" s="54" t="s">
        <v>870</v>
      </c>
      <c r="T780" s="55" t="str">
        <f t="shared" si="36"/>
        <v>{201,300},{2,9000}</v>
      </c>
      <c r="U780" s="55" t="s">
        <v>900</v>
      </c>
    </row>
    <row r="781" spans="1:21">
      <c r="A781" s="55">
        <v>77</v>
      </c>
      <c r="B781" s="55">
        <f t="shared" si="34"/>
        <v>1008</v>
      </c>
      <c r="C781" s="53" t="s">
        <v>59</v>
      </c>
      <c r="D781" s="54" t="s">
        <v>858</v>
      </c>
      <c r="E781" s="54" t="s">
        <v>1501</v>
      </c>
      <c r="F781" s="54" t="s">
        <v>873</v>
      </c>
      <c r="G781" s="77" t="s">
        <v>2002</v>
      </c>
      <c r="L781" s="55" t="str">
        <f t="shared" si="35"/>
        <v>{1},{3}</v>
      </c>
      <c r="M781" s="55" t="s">
        <v>833</v>
      </c>
      <c r="O781" s="54">
        <v>201</v>
      </c>
      <c r="P781" s="54" t="s">
        <v>884</v>
      </c>
      <c r="Q781" s="60">
        <v>2</v>
      </c>
      <c r="R781" s="54" t="s">
        <v>870</v>
      </c>
      <c r="T781" s="55" t="str">
        <f t="shared" si="36"/>
        <v>{201,300},{2,9000}</v>
      </c>
      <c r="U781" s="55" t="s">
        <v>900</v>
      </c>
    </row>
    <row r="782" spans="1:21">
      <c r="A782" s="55">
        <v>78</v>
      </c>
      <c r="B782" s="55">
        <f t="shared" si="34"/>
        <v>1008</v>
      </c>
      <c r="C782" s="53" t="s">
        <v>59</v>
      </c>
      <c r="D782" s="54" t="s">
        <v>858</v>
      </c>
      <c r="E782" s="54" t="s">
        <v>1502</v>
      </c>
      <c r="F782" s="54" t="s">
        <v>873</v>
      </c>
      <c r="G782" s="77" t="s">
        <v>2003</v>
      </c>
      <c r="L782" s="55" t="str">
        <f t="shared" si="35"/>
        <v>{1},{3}</v>
      </c>
      <c r="M782" s="55" t="s">
        <v>834</v>
      </c>
      <c r="O782" s="54">
        <v>201</v>
      </c>
      <c r="P782" s="54" t="s">
        <v>884</v>
      </c>
      <c r="Q782" s="60">
        <v>2</v>
      </c>
      <c r="R782" s="54" t="s">
        <v>870</v>
      </c>
      <c r="T782" s="55" t="str">
        <f t="shared" si="36"/>
        <v>{201,300},{2,9000}</v>
      </c>
      <c r="U782" s="55" t="s">
        <v>900</v>
      </c>
    </row>
    <row r="783" spans="1:21">
      <c r="A783" s="55">
        <v>79</v>
      </c>
      <c r="B783" s="55">
        <f t="shared" si="34"/>
        <v>1008</v>
      </c>
      <c r="C783" s="53" t="s">
        <v>59</v>
      </c>
      <c r="D783" s="54" t="s">
        <v>858</v>
      </c>
      <c r="E783" s="54" t="s">
        <v>1503</v>
      </c>
      <c r="F783" s="54" t="s">
        <v>873</v>
      </c>
      <c r="G783" s="77" t="s">
        <v>2004</v>
      </c>
      <c r="L783" s="55" t="str">
        <f t="shared" si="35"/>
        <v>{1},{3}</v>
      </c>
      <c r="M783" s="55" t="s">
        <v>835</v>
      </c>
      <c r="O783" s="54">
        <v>201</v>
      </c>
      <c r="P783" s="54" t="s">
        <v>884</v>
      </c>
      <c r="Q783" s="60">
        <v>2</v>
      </c>
      <c r="R783" s="54" t="s">
        <v>870</v>
      </c>
      <c r="T783" s="55" t="str">
        <f t="shared" si="36"/>
        <v>{201,300},{2,9000}</v>
      </c>
      <c r="U783" s="55" t="s">
        <v>900</v>
      </c>
    </row>
    <row r="784" spans="1:21" s="63" customFormat="1">
      <c r="A784" s="63">
        <v>80</v>
      </c>
      <c r="B784" s="63">
        <f t="shared" si="34"/>
        <v>1008</v>
      </c>
      <c r="C784" s="61" t="s">
        <v>60</v>
      </c>
      <c r="D784" s="62" t="s">
        <v>858</v>
      </c>
      <c r="E784" s="62" t="s">
        <v>1504</v>
      </c>
      <c r="F784" s="62" t="s">
        <v>873</v>
      </c>
      <c r="G784" s="78" t="s">
        <v>2005</v>
      </c>
      <c r="H784" s="78"/>
      <c r="I784" s="78"/>
      <c r="J784" s="78"/>
      <c r="L784" s="63" t="str">
        <f t="shared" si="35"/>
        <v>{1},{3}</v>
      </c>
      <c r="M784" s="63" t="s">
        <v>836</v>
      </c>
      <c r="O784" s="62" t="s">
        <v>886</v>
      </c>
      <c r="P784" s="62" t="s">
        <v>884</v>
      </c>
      <c r="Q784" s="64">
        <v>2</v>
      </c>
      <c r="R784" s="62" t="s">
        <v>871</v>
      </c>
      <c r="T784" s="55" t="str">
        <f t="shared" si="36"/>
        <v>{301,300},{2,10500}</v>
      </c>
      <c r="U784" s="63" t="s">
        <v>901</v>
      </c>
    </row>
    <row r="785" spans="1:21">
      <c r="A785" s="55">
        <v>81</v>
      </c>
      <c r="B785" s="55">
        <f t="shared" si="34"/>
        <v>1008</v>
      </c>
      <c r="C785" s="53" t="s">
        <v>61</v>
      </c>
      <c r="D785" s="54" t="s">
        <v>858</v>
      </c>
      <c r="E785" s="54" t="s">
        <v>1505</v>
      </c>
      <c r="F785" s="54" t="s">
        <v>873</v>
      </c>
      <c r="G785" s="77" t="s">
        <v>2006</v>
      </c>
      <c r="L785" s="55" t="str">
        <f t="shared" si="35"/>
        <v>{1},{3}</v>
      </c>
      <c r="M785" s="55" t="s">
        <v>837</v>
      </c>
      <c r="O785" s="54">
        <v>201</v>
      </c>
      <c r="P785" s="54" t="s">
        <v>885</v>
      </c>
      <c r="Q785" s="60">
        <v>2</v>
      </c>
      <c r="R785" s="54" t="s">
        <v>872</v>
      </c>
      <c r="T785" s="55" t="str">
        <f t="shared" si="36"/>
        <v>{201,450},{2,15750}</v>
      </c>
      <c r="U785" s="55" t="s">
        <v>902</v>
      </c>
    </row>
    <row r="786" spans="1:21">
      <c r="A786" s="55">
        <v>82</v>
      </c>
      <c r="B786" s="55">
        <f t="shared" si="34"/>
        <v>1008</v>
      </c>
      <c r="C786" s="53" t="s">
        <v>61</v>
      </c>
      <c r="D786" s="54" t="s">
        <v>858</v>
      </c>
      <c r="E786" s="54" t="s">
        <v>1506</v>
      </c>
      <c r="F786" s="54" t="s">
        <v>873</v>
      </c>
      <c r="G786" s="77" t="s">
        <v>2007</v>
      </c>
      <c r="L786" s="55" t="str">
        <f t="shared" si="35"/>
        <v>{1},{3}</v>
      </c>
      <c r="M786" s="55" t="s">
        <v>838</v>
      </c>
      <c r="O786" s="54">
        <v>201</v>
      </c>
      <c r="P786" s="54" t="s">
        <v>885</v>
      </c>
      <c r="Q786" s="60">
        <v>2</v>
      </c>
      <c r="R786" s="54" t="s">
        <v>872</v>
      </c>
      <c r="T786" s="55" t="str">
        <f t="shared" si="36"/>
        <v>{201,450},{2,15750}</v>
      </c>
      <c r="U786" s="55" t="s">
        <v>902</v>
      </c>
    </row>
    <row r="787" spans="1:21">
      <c r="A787" s="55">
        <v>83</v>
      </c>
      <c r="B787" s="55">
        <f t="shared" si="34"/>
        <v>1008</v>
      </c>
      <c r="C787" s="53" t="s">
        <v>61</v>
      </c>
      <c r="D787" s="54" t="s">
        <v>858</v>
      </c>
      <c r="E787" s="54" t="s">
        <v>1507</v>
      </c>
      <c r="F787" s="54" t="s">
        <v>873</v>
      </c>
      <c r="G787" s="77" t="s">
        <v>2008</v>
      </c>
      <c r="L787" s="55" t="str">
        <f t="shared" si="35"/>
        <v>{1},{3}</v>
      </c>
      <c r="M787" s="55" t="s">
        <v>839</v>
      </c>
      <c r="O787" s="54">
        <v>201</v>
      </c>
      <c r="P787" s="54" t="s">
        <v>885</v>
      </c>
      <c r="Q787" s="60">
        <v>2</v>
      </c>
      <c r="R787" s="54" t="s">
        <v>872</v>
      </c>
      <c r="T787" s="55" t="str">
        <f t="shared" si="36"/>
        <v>{201,450},{2,15750}</v>
      </c>
      <c r="U787" s="55" t="s">
        <v>902</v>
      </c>
    </row>
    <row r="788" spans="1:21">
      <c r="A788" s="55">
        <v>84</v>
      </c>
      <c r="B788" s="55">
        <f t="shared" si="34"/>
        <v>1008</v>
      </c>
      <c r="C788" s="53" t="s">
        <v>61</v>
      </c>
      <c r="D788" s="54" t="s">
        <v>858</v>
      </c>
      <c r="E788" s="54" t="s">
        <v>1508</v>
      </c>
      <c r="F788" s="54" t="s">
        <v>873</v>
      </c>
      <c r="G788" s="77" t="s">
        <v>2009</v>
      </c>
      <c r="L788" s="55" t="str">
        <f t="shared" si="35"/>
        <v>{1},{3}</v>
      </c>
      <c r="M788" s="55" t="s">
        <v>840</v>
      </c>
      <c r="O788" s="54">
        <v>201</v>
      </c>
      <c r="P788" s="54" t="s">
        <v>885</v>
      </c>
      <c r="Q788" s="60">
        <v>2</v>
      </c>
      <c r="R788" s="54" t="s">
        <v>872</v>
      </c>
      <c r="T788" s="55" t="str">
        <f t="shared" si="36"/>
        <v>{201,450},{2,15750}</v>
      </c>
      <c r="U788" s="55" t="s">
        <v>902</v>
      </c>
    </row>
    <row r="789" spans="1:21">
      <c r="A789" s="55">
        <v>85</v>
      </c>
      <c r="B789" s="55">
        <f t="shared" si="34"/>
        <v>1008</v>
      </c>
      <c r="C789" s="53" t="s">
        <v>61</v>
      </c>
      <c r="D789" s="54" t="s">
        <v>858</v>
      </c>
      <c r="E789" s="54" t="s">
        <v>1509</v>
      </c>
      <c r="F789" s="54" t="s">
        <v>873</v>
      </c>
      <c r="G789" s="77" t="s">
        <v>2010</v>
      </c>
      <c r="L789" s="55" t="str">
        <f t="shared" si="35"/>
        <v>{1},{3}</v>
      </c>
      <c r="M789" s="55" t="s">
        <v>841</v>
      </c>
      <c r="O789" s="54">
        <v>201</v>
      </c>
      <c r="P789" s="54" t="s">
        <v>885</v>
      </c>
      <c r="Q789" s="60">
        <v>2</v>
      </c>
      <c r="R789" s="54" t="s">
        <v>872</v>
      </c>
      <c r="T789" s="55" t="str">
        <f t="shared" si="36"/>
        <v>{201,450},{2,15750}</v>
      </c>
      <c r="U789" s="55" t="s">
        <v>902</v>
      </c>
    </row>
    <row r="790" spans="1:21">
      <c r="A790" s="55">
        <v>86</v>
      </c>
      <c r="B790" s="55">
        <f t="shared" si="34"/>
        <v>1008</v>
      </c>
      <c r="C790" s="53" t="s">
        <v>61</v>
      </c>
      <c r="D790" s="54" t="s">
        <v>858</v>
      </c>
      <c r="E790" s="54" t="s">
        <v>1510</v>
      </c>
      <c r="F790" s="54" t="s">
        <v>873</v>
      </c>
      <c r="G790" s="77" t="s">
        <v>2011</v>
      </c>
      <c r="L790" s="55" t="str">
        <f t="shared" si="35"/>
        <v>{1},{3}</v>
      </c>
      <c r="M790" s="55" t="s">
        <v>842</v>
      </c>
      <c r="O790" s="54">
        <v>201</v>
      </c>
      <c r="P790" s="54" t="s">
        <v>885</v>
      </c>
      <c r="Q790" s="60">
        <v>2</v>
      </c>
      <c r="R790" s="54" t="s">
        <v>872</v>
      </c>
      <c r="T790" s="55" t="str">
        <f t="shared" si="36"/>
        <v>{201,450},{2,15750}</v>
      </c>
      <c r="U790" s="55" t="s">
        <v>902</v>
      </c>
    </row>
    <row r="791" spans="1:21">
      <c r="A791" s="55">
        <v>87</v>
      </c>
      <c r="B791" s="55">
        <f t="shared" si="34"/>
        <v>1008</v>
      </c>
      <c r="C791" s="53" t="s">
        <v>61</v>
      </c>
      <c r="D791" s="54" t="s">
        <v>858</v>
      </c>
      <c r="E791" s="54" t="s">
        <v>1511</v>
      </c>
      <c r="F791" s="54" t="s">
        <v>873</v>
      </c>
      <c r="G791" s="77" t="s">
        <v>2012</v>
      </c>
      <c r="L791" s="55" t="str">
        <f t="shared" si="35"/>
        <v>{1},{3}</v>
      </c>
      <c r="M791" s="55" t="s">
        <v>843</v>
      </c>
      <c r="O791" s="54">
        <v>201</v>
      </c>
      <c r="P791" s="54" t="s">
        <v>885</v>
      </c>
      <c r="Q791" s="60">
        <v>2</v>
      </c>
      <c r="R791" s="54" t="s">
        <v>872</v>
      </c>
      <c r="T791" s="55" t="str">
        <f t="shared" si="36"/>
        <v>{201,450},{2,15750}</v>
      </c>
      <c r="U791" s="55" t="s">
        <v>902</v>
      </c>
    </row>
    <row r="792" spans="1:21">
      <c r="A792" s="55">
        <v>88</v>
      </c>
      <c r="B792" s="55">
        <f t="shared" si="34"/>
        <v>1008</v>
      </c>
      <c r="C792" s="53" t="s">
        <v>61</v>
      </c>
      <c r="D792" s="54" t="s">
        <v>858</v>
      </c>
      <c r="E792" s="54" t="s">
        <v>1512</v>
      </c>
      <c r="F792" s="54" t="s">
        <v>873</v>
      </c>
      <c r="G792" s="77" t="s">
        <v>2013</v>
      </c>
      <c r="L792" s="55" t="str">
        <f t="shared" si="35"/>
        <v>{1},{3}</v>
      </c>
      <c r="M792" s="55" t="s">
        <v>844</v>
      </c>
      <c r="O792" s="54">
        <v>201</v>
      </c>
      <c r="P792" s="54" t="s">
        <v>885</v>
      </c>
      <c r="Q792" s="60">
        <v>2</v>
      </c>
      <c r="R792" s="54" t="s">
        <v>872</v>
      </c>
      <c r="T792" s="55" t="str">
        <f t="shared" si="36"/>
        <v>{201,450},{2,15750}</v>
      </c>
      <c r="U792" s="55" t="s">
        <v>902</v>
      </c>
    </row>
    <row r="793" spans="1:21">
      <c r="A793" s="55">
        <v>89</v>
      </c>
      <c r="B793" s="55">
        <f t="shared" si="34"/>
        <v>1008</v>
      </c>
      <c r="C793" s="53" t="s">
        <v>61</v>
      </c>
      <c r="D793" s="54" t="s">
        <v>858</v>
      </c>
      <c r="E793" s="54" t="s">
        <v>1513</v>
      </c>
      <c r="F793" s="54" t="s">
        <v>873</v>
      </c>
      <c r="G793" s="77" t="s">
        <v>2014</v>
      </c>
      <c r="L793" s="55" t="str">
        <f t="shared" si="35"/>
        <v>{1},{3}</v>
      </c>
      <c r="M793" s="55" t="s">
        <v>845</v>
      </c>
      <c r="O793" s="54">
        <v>201</v>
      </c>
      <c r="P793" s="54" t="s">
        <v>885</v>
      </c>
      <c r="Q793" s="60">
        <v>2</v>
      </c>
      <c r="R793" s="54" t="s">
        <v>872</v>
      </c>
      <c r="T793" s="55" t="str">
        <f t="shared" si="36"/>
        <v>{201,450},{2,15750}</v>
      </c>
      <c r="U793" s="55" t="s">
        <v>902</v>
      </c>
    </row>
    <row r="794" spans="1:21">
      <c r="A794" s="55">
        <v>90</v>
      </c>
      <c r="B794" s="55">
        <f t="shared" si="34"/>
        <v>1008</v>
      </c>
      <c r="C794" s="53" t="s">
        <v>61</v>
      </c>
      <c r="D794" s="54" t="s">
        <v>858</v>
      </c>
      <c r="E794" s="54" t="s">
        <v>1514</v>
      </c>
      <c r="F794" s="54" t="s">
        <v>873</v>
      </c>
      <c r="G794" s="77" t="s">
        <v>2015</v>
      </c>
      <c r="L794" s="55" t="str">
        <f t="shared" si="35"/>
        <v>{1},{3}</v>
      </c>
      <c r="M794" s="55" t="s">
        <v>846</v>
      </c>
      <c r="O794" s="54">
        <v>201</v>
      </c>
      <c r="P794" s="54" t="s">
        <v>885</v>
      </c>
      <c r="Q794" s="60">
        <v>2</v>
      </c>
      <c r="R794" s="54" t="s">
        <v>872</v>
      </c>
      <c r="T794" s="55" t="str">
        <f t="shared" si="36"/>
        <v>{201,450},{2,15750}</v>
      </c>
      <c r="U794" s="55" t="s">
        <v>902</v>
      </c>
    </row>
    <row r="795" spans="1:21">
      <c r="A795" s="55">
        <v>91</v>
      </c>
      <c r="B795" s="55">
        <f t="shared" si="34"/>
        <v>1008</v>
      </c>
      <c r="C795" s="53" t="s">
        <v>61</v>
      </c>
      <c r="D795" s="54" t="s">
        <v>858</v>
      </c>
      <c r="E795" s="54" t="s">
        <v>1515</v>
      </c>
      <c r="F795" s="54" t="s">
        <v>873</v>
      </c>
      <c r="G795" s="77" t="s">
        <v>2016</v>
      </c>
      <c r="L795" s="55" t="str">
        <f t="shared" si="35"/>
        <v>{1},{3}</v>
      </c>
      <c r="M795" s="55" t="s">
        <v>847</v>
      </c>
      <c r="O795" s="54">
        <v>201</v>
      </c>
      <c r="P795" s="54" t="s">
        <v>885</v>
      </c>
      <c r="Q795" s="60">
        <v>2</v>
      </c>
      <c r="R795" s="54" t="s">
        <v>872</v>
      </c>
      <c r="T795" s="55" t="str">
        <f t="shared" si="36"/>
        <v>{201,450},{2,15750}</v>
      </c>
      <c r="U795" s="55" t="s">
        <v>902</v>
      </c>
    </row>
    <row r="796" spans="1:21">
      <c r="A796" s="55">
        <v>92</v>
      </c>
      <c r="B796" s="55">
        <f t="shared" si="34"/>
        <v>1008</v>
      </c>
      <c r="C796" s="53" t="s">
        <v>61</v>
      </c>
      <c r="D796" s="54" t="s">
        <v>858</v>
      </c>
      <c r="E796" s="54" t="s">
        <v>1516</v>
      </c>
      <c r="F796" s="54" t="s">
        <v>873</v>
      </c>
      <c r="G796" s="77" t="s">
        <v>2017</v>
      </c>
      <c r="L796" s="55" t="str">
        <f t="shared" si="35"/>
        <v>{1},{3}</v>
      </c>
      <c r="M796" s="55" t="s">
        <v>848</v>
      </c>
      <c r="O796" s="54">
        <v>201</v>
      </c>
      <c r="P796" s="54" t="s">
        <v>885</v>
      </c>
      <c r="Q796" s="60">
        <v>2</v>
      </c>
      <c r="R796" s="54" t="s">
        <v>872</v>
      </c>
      <c r="T796" s="55" t="str">
        <f t="shared" si="36"/>
        <v>{201,450},{2,15750}</v>
      </c>
      <c r="U796" s="55" t="s">
        <v>902</v>
      </c>
    </row>
    <row r="797" spans="1:21">
      <c r="A797" s="55">
        <v>93</v>
      </c>
      <c r="B797" s="55">
        <f t="shared" si="34"/>
        <v>1008</v>
      </c>
      <c r="C797" s="53" t="s">
        <v>61</v>
      </c>
      <c r="D797" s="54" t="s">
        <v>858</v>
      </c>
      <c r="E797" s="54" t="s">
        <v>1517</v>
      </c>
      <c r="F797" s="54" t="s">
        <v>873</v>
      </c>
      <c r="G797" s="77" t="s">
        <v>2018</v>
      </c>
      <c r="L797" s="55" t="str">
        <f t="shared" si="35"/>
        <v>{1},{3}</v>
      </c>
      <c r="M797" s="55" t="s">
        <v>849</v>
      </c>
      <c r="O797" s="54">
        <v>201</v>
      </c>
      <c r="P797" s="54" t="s">
        <v>885</v>
      </c>
      <c r="Q797" s="60">
        <v>2</v>
      </c>
      <c r="R797" s="54" t="s">
        <v>872</v>
      </c>
      <c r="T797" s="55" t="str">
        <f t="shared" si="36"/>
        <v>{201,450},{2,15750}</v>
      </c>
      <c r="U797" s="55" t="s">
        <v>902</v>
      </c>
    </row>
    <row r="798" spans="1:21">
      <c r="A798" s="55">
        <v>94</v>
      </c>
      <c r="B798" s="55">
        <f t="shared" si="34"/>
        <v>1008</v>
      </c>
      <c r="C798" s="53" t="s">
        <v>61</v>
      </c>
      <c r="D798" s="54" t="s">
        <v>858</v>
      </c>
      <c r="E798" s="54" t="s">
        <v>1518</v>
      </c>
      <c r="F798" s="54" t="s">
        <v>873</v>
      </c>
      <c r="G798" s="77" t="s">
        <v>2019</v>
      </c>
      <c r="L798" s="55" t="str">
        <f t="shared" si="35"/>
        <v>{1},{3}</v>
      </c>
      <c r="M798" s="55" t="s">
        <v>850</v>
      </c>
      <c r="O798" s="54">
        <v>201</v>
      </c>
      <c r="P798" s="54" t="s">
        <v>885</v>
      </c>
      <c r="Q798" s="60">
        <v>2</v>
      </c>
      <c r="R798" s="54" t="s">
        <v>872</v>
      </c>
      <c r="T798" s="55" t="str">
        <f t="shared" si="36"/>
        <v>{201,450},{2,15750}</v>
      </c>
      <c r="U798" s="55" t="s">
        <v>902</v>
      </c>
    </row>
    <row r="799" spans="1:21">
      <c r="A799" s="55">
        <v>95</v>
      </c>
      <c r="B799" s="55">
        <f t="shared" si="34"/>
        <v>1008</v>
      </c>
      <c r="C799" s="53" t="s">
        <v>61</v>
      </c>
      <c r="D799" s="54" t="s">
        <v>858</v>
      </c>
      <c r="E799" s="54" t="s">
        <v>1519</v>
      </c>
      <c r="F799" s="54" t="s">
        <v>873</v>
      </c>
      <c r="G799" s="77" t="s">
        <v>2020</v>
      </c>
      <c r="L799" s="55" t="str">
        <f t="shared" si="35"/>
        <v>{1},{3}</v>
      </c>
      <c r="M799" s="55" t="s">
        <v>851</v>
      </c>
      <c r="O799" s="54">
        <v>201</v>
      </c>
      <c r="P799" s="54" t="s">
        <v>885</v>
      </c>
      <c r="Q799" s="60">
        <v>2</v>
      </c>
      <c r="R799" s="54" t="s">
        <v>872</v>
      </c>
      <c r="T799" s="55" t="str">
        <f t="shared" si="36"/>
        <v>{201,450},{2,15750}</v>
      </c>
      <c r="U799" s="55" t="s">
        <v>902</v>
      </c>
    </row>
    <row r="800" spans="1:21">
      <c r="A800" s="55">
        <v>96</v>
      </c>
      <c r="B800" s="55">
        <f t="shared" si="34"/>
        <v>1008</v>
      </c>
      <c r="C800" s="53" t="s">
        <v>61</v>
      </c>
      <c r="D800" s="54" t="s">
        <v>858</v>
      </c>
      <c r="E800" s="54" t="s">
        <v>1520</v>
      </c>
      <c r="F800" s="54" t="s">
        <v>873</v>
      </c>
      <c r="G800" s="77" t="s">
        <v>2021</v>
      </c>
      <c r="L800" s="55" t="str">
        <f t="shared" si="35"/>
        <v>{1},{3}</v>
      </c>
      <c r="M800" s="55" t="s">
        <v>852</v>
      </c>
      <c r="O800" s="54">
        <v>201</v>
      </c>
      <c r="P800" s="54" t="s">
        <v>885</v>
      </c>
      <c r="Q800" s="60">
        <v>2</v>
      </c>
      <c r="R800" s="54" t="s">
        <v>872</v>
      </c>
      <c r="T800" s="55" t="str">
        <f t="shared" si="36"/>
        <v>{201,450},{2,15750}</v>
      </c>
      <c r="U800" s="55" t="s">
        <v>902</v>
      </c>
    </row>
    <row r="801" spans="1:21">
      <c r="A801" s="55">
        <v>97</v>
      </c>
      <c r="B801" s="55">
        <f t="shared" si="34"/>
        <v>1008</v>
      </c>
      <c r="C801" s="53" t="s">
        <v>61</v>
      </c>
      <c r="D801" s="54" t="s">
        <v>858</v>
      </c>
      <c r="E801" s="54" t="s">
        <v>1521</v>
      </c>
      <c r="F801" s="54" t="s">
        <v>873</v>
      </c>
      <c r="G801" s="77" t="s">
        <v>2022</v>
      </c>
      <c r="L801" s="55" t="str">
        <f t="shared" si="35"/>
        <v>{1},{3}</v>
      </c>
      <c r="M801" s="55" t="s">
        <v>853</v>
      </c>
      <c r="O801" s="54">
        <v>201</v>
      </c>
      <c r="P801" s="54" t="s">
        <v>885</v>
      </c>
      <c r="Q801" s="60">
        <v>2</v>
      </c>
      <c r="R801" s="54" t="s">
        <v>872</v>
      </c>
      <c r="T801" s="55" t="str">
        <f t="shared" si="36"/>
        <v>{201,450},{2,15750}</v>
      </c>
      <c r="U801" s="55" t="s">
        <v>902</v>
      </c>
    </row>
    <row r="802" spans="1:21">
      <c r="A802" s="55">
        <v>98</v>
      </c>
      <c r="B802" s="55">
        <f t="shared" si="34"/>
        <v>1008</v>
      </c>
      <c r="C802" s="53" t="s">
        <v>61</v>
      </c>
      <c r="D802" s="54" t="s">
        <v>858</v>
      </c>
      <c r="E802" s="54" t="s">
        <v>1522</v>
      </c>
      <c r="F802" s="54" t="s">
        <v>873</v>
      </c>
      <c r="G802" s="77" t="s">
        <v>2023</v>
      </c>
      <c r="L802" s="55" t="str">
        <f t="shared" si="35"/>
        <v>{1},{3}</v>
      </c>
      <c r="M802" s="55" t="s">
        <v>854</v>
      </c>
      <c r="O802" s="54">
        <v>201</v>
      </c>
      <c r="P802" s="54" t="s">
        <v>885</v>
      </c>
      <c r="Q802" s="60">
        <v>2</v>
      </c>
      <c r="R802" s="54" t="s">
        <v>872</v>
      </c>
      <c r="T802" s="55" t="str">
        <f t="shared" si="36"/>
        <v>{201,450},{2,15750}</v>
      </c>
      <c r="U802" s="55" t="s">
        <v>902</v>
      </c>
    </row>
    <row r="803" spans="1:21">
      <c r="A803" s="55">
        <v>99</v>
      </c>
      <c r="B803" s="55">
        <f t="shared" si="34"/>
        <v>1008</v>
      </c>
      <c r="C803" s="53" t="s">
        <v>61</v>
      </c>
      <c r="D803" s="54" t="s">
        <v>858</v>
      </c>
      <c r="E803" s="54" t="s">
        <v>1523</v>
      </c>
      <c r="F803" s="54" t="s">
        <v>873</v>
      </c>
      <c r="G803" s="77" t="s">
        <v>2024</v>
      </c>
      <c r="L803" s="55" t="str">
        <f t="shared" si="35"/>
        <v>{1},{3}</v>
      </c>
      <c r="M803" s="55" t="s">
        <v>855</v>
      </c>
      <c r="O803" s="54">
        <v>201</v>
      </c>
      <c r="P803" s="54" t="s">
        <v>885</v>
      </c>
      <c r="Q803" s="60">
        <v>2</v>
      </c>
      <c r="R803" s="54" t="s">
        <v>872</v>
      </c>
      <c r="T803" s="55" t="str">
        <f t="shared" si="36"/>
        <v>{201,450},{2,15750}</v>
      </c>
      <c r="U803" s="55" t="s">
        <v>902</v>
      </c>
    </row>
    <row r="804" spans="1:21">
      <c r="A804" s="55">
        <v>100</v>
      </c>
      <c r="B804" s="55">
        <f t="shared" si="34"/>
        <v>1008</v>
      </c>
      <c r="D804" s="54" t="s">
        <v>858</v>
      </c>
      <c r="E804" s="54" t="s">
        <v>1524</v>
      </c>
      <c r="F804" s="54" t="s">
        <v>873</v>
      </c>
      <c r="G804" s="77" t="s">
        <v>2025</v>
      </c>
      <c r="L804" s="55" t="str">
        <f t="shared" si="35"/>
        <v>{1},{3}</v>
      </c>
      <c r="M804" s="55" t="s">
        <v>856</v>
      </c>
      <c r="T804" s="55" t="str">
        <f t="shared" si="36"/>
        <v>{,},{,}</v>
      </c>
      <c r="U804" s="55" t="s">
        <v>903</v>
      </c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E8EF-F517-40E1-BDC5-2836E139E8DA}">
  <dimension ref="A1:BW786"/>
  <sheetViews>
    <sheetView topLeftCell="A94" zoomScaleNormal="100" workbookViewId="0">
      <selection activeCell="S106" sqref="S106"/>
    </sheetView>
  </sheetViews>
  <sheetFormatPr defaultRowHeight="18"/>
  <cols>
    <col min="1" max="1" width="6.75" style="54" bestFit="1" customWidth="1"/>
    <col min="2" max="2" width="9.375" style="82" bestFit="1" customWidth="1"/>
    <col min="3" max="3" width="10.625" style="77" bestFit="1" customWidth="1"/>
    <col min="4" max="4" width="3.25" style="38" customWidth="1"/>
    <col min="5" max="5" width="6.875" style="38" bestFit="1" customWidth="1"/>
    <col min="6" max="6" width="6.25" style="38" bestFit="1" customWidth="1"/>
    <col min="7" max="7" width="9.25" style="38" bestFit="1" customWidth="1"/>
    <col min="8" max="8" width="2.75" style="38" customWidth="1"/>
    <col min="9" max="9" width="6.875" style="38" bestFit="1" customWidth="1"/>
    <col min="10" max="10" width="5.125" style="38" bestFit="1" customWidth="1"/>
    <col min="11" max="11" width="8" style="38" bestFit="1" customWidth="1"/>
    <col min="12" max="12" width="2.875" style="38" customWidth="1"/>
    <col min="13" max="13" width="6.875" style="38" bestFit="1" customWidth="1"/>
    <col min="14" max="14" width="6.25" style="38" bestFit="1" customWidth="1"/>
    <col min="15" max="15" width="8" style="38" bestFit="1" customWidth="1"/>
    <col min="16" max="16" width="3.125" style="38" customWidth="1"/>
    <col min="17" max="17" width="6.875" style="38" bestFit="1" customWidth="1"/>
    <col min="18" max="18" width="6.25" style="38" bestFit="1" customWidth="1"/>
    <col min="19" max="19" width="10.5" style="38" bestFit="1" customWidth="1"/>
    <col min="20" max="20" width="10.5" style="38" customWidth="1"/>
    <col min="21" max="21" width="10.25" style="38" bestFit="1" customWidth="1"/>
    <col min="22" max="22" width="9.75" style="38" bestFit="1" customWidth="1"/>
    <col min="23" max="23" width="5.75" style="38" bestFit="1" customWidth="1"/>
    <col min="24" max="24" width="14.125" style="38" bestFit="1" customWidth="1"/>
    <col min="25" max="25" width="16.375" style="38" bestFit="1" customWidth="1"/>
    <col min="26" max="26" width="14.125" style="38" bestFit="1" customWidth="1"/>
    <col min="27" max="32" width="10.5" style="38" customWidth="1"/>
    <col min="33" max="33" width="6.75" style="54" bestFit="1" customWidth="1"/>
    <col min="34" max="34" width="9.375" style="82" bestFit="1" customWidth="1"/>
    <col min="35" max="35" width="10.625" style="77" bestFit="1" customWidth="1"/>
    <col min="36" max="36" width="9" style="38"/>
    <col min="37" max="37" width="6.75" style="54" bestFit="1" customWidth="1"/>
    <col min="38" max="38" width="9.375" style="82" bestFit="1" customWidth="1"/>
    <col min="39" max="39" width="10.625" style="77" bestFit="1" customWidth="1"/>
    <col min="40" max="40" width="9" style="38"/>
    <col min="41" max="41" width="6.75" style="54" bestFit="1" customWidth="1"/>
    <col min="42" max="42" width="9.375" style="82" bestFit="1" customWidth="1"/>
    <col min="43" max="43" width="10.625" style="77" bestFit="1" customWidth="1"/>
    <col min="44" max="44" width="9" style="38"/>
    <col min="45" max="45" width="6.75" style="54" bestFit="1" customWidth="1"/>
    <col min="46" max="46" width="10.625" style="82" bestFit="1" customWidth="1"/>
    <col min="47" max="47" width="12" style="77" bestFit="1" customWidth="1"/>
    <col min="48" max="48" width="9" style="38"/>
    <col min="49" max="49" width="6.75" style="54" bestFit="1" customWidth="1"/>
    <col min="50" max="50" width="10.625" style="82" bestFit="1" customWidth="1"/>
    <col min="51" max="51" width="12" style="77" bestFit="1" customWidth="1"/>
    <col min="52" max="52" width="9" style="38"/>
    <col min="53" max="53" width="6.75" style="54" bestFit="1" customWidth="1"/>
    <col min="54" max="54" width="10.625" style="82" bestFit="1" customWidth="1"/>
    <col min="55" max="55" width="12" style="77" bestFit="1" customWidth="1"/>
    <col min="56" max="56" width="9" style="38" customWidth="1"/>
    <col min="76" max="16384" width="9" style="38"/>
  </cols>
  <sheetData>
    <row r="1" spans="1:56">
      <c r="A1" s="194" t="s">
        <v>2186</v>
      </c>
      <c r="B1" s="194"/>
      <c r="C1" s="194"/>
      <c r="D1" s="194"/>
      <c r="AF1" s="132"/>
    </row>
    <row r="2" spans="1:56">
      <c r="A2" s="194"/>
      <c r="B2" s="194"/>
      <c r="C2" s="194"/>
      <c r="D2" s="194"/>
      <c r="AF2" s="132"/>
    </row>
    <row r="3" spans="1:56">
      <c r="A3" s="117"/>
      <c r="B3" s="85" t="s">
        <v>2108</v>
      </c>
      <c r="C3" s="126">
        <v>1000</v>
      </c>
      <c r="E3" s="118" t="s">
        <v>2187</v>
      </c>
      <c r="F3" s="85" t="s">
        <v>2182</v>
      </c>
      <c r="G3" s="124">
        <v>1.3</v>
      </c>
      <c r="I3" s="119" t="s">
        <v>2188</v>
      </c>
      <c r="J3" s="85" t="s">
        <v>2109</v>
      </c>
      <c r="K3" s="124">
        <v>1.6</v>
      </c>
      <c r="M3" s="121" t="s">
        <v>2189</v>
      </c>
      <c r="N3" s="85" t="s">
        <v>2181</v>
      </c>
      <c r="O3" s="124">
        <v>2</v>
      </c>
      <c r="Q3" s="123" t="s">
        <v>2190</v>
      </c>
      <c r="R3" s="85" t="s">
        <v>2212</v>
      </c>
      <c r="S3" s="124">
        <v>2.5</v>
      </c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F3" s="132"/>
      <c r="AG3" s="81"/>
      <c r="AH3" s="85" t="s">
        <v>2113</v>
      </c>
      <c r="AI3" s="80"/>
      <c r="AK3" s="117"/>
      <c r="AL3" s="85" t="s">
        <v>2108</v>
      </c>
      <c r="AM3" s="80"/>
      <c r="AO3" s="118"/>
      <c r="AP3" s="85" t="s">
        <v>2182</v>
      </c>
      <c r="AQ3" s="80"/>
      <c r="AS3" s="119"/>
      <c r="AT3" s="85" t="s">
        <v>2183</v>
      </c>
      <c r="AU3" s="80"/>
      <c r="AW3" s="120"/>
      <c r="AX3" s="85" t="s">
        <v>2184</v>
      </c>
      <c r="AY3" s="80"/>
      <c r="BA3" s="121"/>
      <c r="BB3" s="85" t="s">
        <v>2181</v>
      </c>
      <c r="BC3" s="80"/>
      <c r="BD3" s="125"/>
    </row>
    <row r="4" spans="1:56">
      <c r="A4" s="52"/>
      <c r="B4" s="76"/>
      <c r="C4" s="76"/>
      <c r="AF4" s="132"/>
      <c r="AG4" s="52"/>
      <c r="AH4" s="76"/>
      <c r="AI4" s="76"/>
      <c r="AK4" s="52"/>
      <c r="AL4" s="76"/>
      <c r="AM4" s="76"/>
      <c r="AO4" s="52"/>
      <c r="AP4" s="76"/>
      <c r="AQ4" s="76"/>
      <c r="AS4" s="52"/>
      <c r="AT4" s="76"/>
      <c r="AU4" s="76"/>
      <c r="AW4" s="52"/>
      <c r="AX4" s="76"/>
      <c r="AY4" s="76"/>
      <c r="BA4" s="52"/>
      <c r="BB4" s="76" t="s">
        <v>2181</v>
      </c>
      <c r="BC4" s="76"/>
      <c r="BD4" s="125"/>
    </row>
    <row r="5" spans="1:56">
      <c r="A5" s="52"/>
      <c r="B5" s="76"/>
      <c r="C5" s="76"/>
      <c r="AF5" s="132"/>
      <c r="AG5" s="52"/>
      <c r="AH5" s="76"/>
      <c r="AI5" s="76"/>
      <c r="AK5" s="52"/>
      <c r="AL5" s="76"/>
      <c r="AM5" s="76"/>
      <c r="AO5" s="52"/>
      <c r="AP5" s="76"/>
      <c r="AQ5" s="76"/>
      <c r="AS5" s="52"/>
      <c r="AT5" s="76"/>
      <c r="AU5" s="76"/>
      <c r="AW5" s="52"/>
      <c r="AX5" s="76"/>
      <c r="AY5" s="76"/>
      <c r="BA5" s="52"/>
      <c r="BB5" s="76"/>
      <c r="BC5" s="76"/>
      <c r="BD5" s="125"/>
    </row>
    <row r="6" spans="1:56">
      <c r="A6" s="52"/>
      <c r="B6" s="76"/>
      <c r="C6" s="76"/>
      <c r="AF6" s="132"/>
      <c r="AG6" s="52"/>
      <c r="AH6" s="76"/>
      <c r="AI6" s="76"/>
      <c r="AK6" s="52"/>
      <c r="AL6" s="76"/>
      <c r="AM6" s="76"/>
      <c r="AO6" s="52"/>
      <c r="AP6" s="76"/>
      <c r="AQ6" s="76"/>
      <c r="AS6" s="52"/>
      <c r="AT6" s="76"/>
      <c r="AU6" s="76"/>
      <c r="AW6" s="52"/>
      <c r="AX6" s="76"/>
      <c r="AY6" s="76"/>
      <c r="BA6" s="52"/>
      <c r="BB6" s="76"/>
      <c r="BC6" s="76"/>
      <c r="BD6" s="125"/>
    </row>
    <row r="7" spans="1:56">
      <c r="A7" s="54">
        <v>1</v>
      </c>
      <c r="B7" s="82">
        <v>20</v>
      </c>
      <c r="C7" s="134">
        <v>1000</v>
      </c>
      <c r="E7" s="118" t="s">
        <v>2187</v>
      </c>
      <c r="G7" s="130">
        <f>C7*E7</f>
        <v>1400</v>
      </c>
      <c r="I7" s="119" t="s">
        <v>2188</v>
      </c>
      <c r="K7" s="127">
        <f>C7*I7</f>
        <v>1900</v>
      </c>
      <c r="M7" s="121" t="s">
        <v>2189</v>
      </c>
      <c r="O7" s="128">
        <f>C7*M7</f>
        <v>2500</v>
      </c>
      <c r="Q7" s="123" t="s">
        <v>2190</v>
      </c>
      <c r="S7" s="131">
        <f>C7*Q7</f>
        <v>3200</v>
      </c>
      <c r="T7" s="131"/>
      <c r="U7" s="195" t="s">
        <v>2192</v>
      </c>
      <c r="V7" s="195"/>
      <c r="W7" s="195"/>
      <c r="X7" s="195"/>
      <c r="Y7" s="195"/>
      <c r="Z7" s="195"/>
      <c r="AA7" s="131"/>
      <c r="AB7" s="131"/>
      <c r="AC7" s="131"/>
      <c r="AD7" s="131"/>
      <c r="AE7" s="131"/>
      <c r="AF7" s="133"/>
      <c r="AG7" s="54">
        <v>1</v>
      </c>
      <c r="AH7" s="82" t="s">
        <v>2106</v>
      </c>
      <c r="AI7" s="77">
        <v>1200</v>
      </c>
      <c r="AK7" s="54">
        <v>1</v>
      </c>
      <c r="AL7" s="82">
        <v>20</v>
      </c>
      <c r="AM7" s="122">
        <v>1000</v>
      </c>
      <c r="AO7" s="54">
        <v>1</v>
      </c>
      <c r="AP7" s="82">
        <v>30</v>
      </c>
      <c r="AQ7" s="77">
        <v>1600</v>
      </c>
      <c r="AS7" s="54">
        <v>1</v>
      </c>
      <c r="AT7" s="82">
        <v>50</v>
      </c>
      <c r="AU7" s="77">
        <v>1650</v>
      </c>
      <c r="AW7" s="54">
        <v>1</v>
      </c>
      <c r="AX7" s="82">
        <v>60</v>
      </c>
      <c r="AY7" s="77">
        <v>1700</v>
      </c>
      <c r="BA7" s="54">
        <v>1</v>
      </c>
      <c r="BB7" s="82">
        <v>80</v>
      </c>
      <c r="BC7" s="77">
        <v>2200</v>
      </c>
      <c r="BD7" s="125"/>
    </row>
    <row r="8" spans="1:56">
      <c r="A8" s="54">
        <v>2</v>
      </c>
      <c r="B8" s="82">
        <v>20</v>
      </c>
      <c r="C8" s="78">
        <f t="shared" ref="C8:C39" si="0">C7+B8</f>
        <v>1020</v>
      </c>
      <c r="E8" s="129">
        <f>G3</f>
        <v>1.3</v>
      </c>
      <c r="F8" s="38">
        <f>B8*E8</f>
        <v>26</v>
      </c>
      <c r="G8" s="130">
        <f>G7+F8</f>
        <v>1426</v>
      </c>
      <c r="I8" s="129">
        <f>K3</f>
        <v>1.6</v>
      </c>
      <c r="J8" s="38">
        <f>B8*I8</f>
        <v>32</v>
      </c>
      <c r="K8" s="127">
        <f>K7+J8</f>
        <v>1932</v>
      </c>
      <c r="M8" s="129">
        <f>O3</f>
        <v>2</v>
      </c>
      <c r="N8" s="38">
        <f>B8*M8</f>
        <v>40</v>
      </c>
      <c r="O8" s="128">
        <f>O7+N8</f>
        <v>2540</v>
      </c>
      <c r="Q8" s="129">
        <f>S3</f>
        <v>2.5</v>
      </c>
      <c r="R8" s="38">
        <f>B8*Q8</f>
        <v>50</v>
      </c>
      <c r="S8" s="131">
        <f>S7+R8</f>
        <v>3250</v>
      </c>
      <c r="T8" s="131"/>
      <c r="U8" s="195"/>
      <c r="V8" s="195"/>
      <c r="W8" s="195"/>
      <c r="X8" s="195"/>
      <c r="Y8" s="195"/>
      <c r="Z8" s="195"/>
      <c r="AA8" s="131"/>
      <c r="AB8" s="131"/>
      <c r="AC8" s="131"/>
      <c r="AD8" s="131"/>
      <c r="AE8" s="131"/>
      <c r="AF8" s="133"/>
      <c r="AG8" s="54">
        <v>2</v>
      </c>
      <c r="AH8" s="82" t="s">
        <v>2106</v>
      </c>
      <c r="AI8" s="77">
        <f>AI7+AH8</f>
        <v>1208</v>
      </c>
      <c r="AK8" s="54">
        <v>2</v>
      </c>
      <c r="AL8" s="82">
        <v>20</v>
      </c>
      <c r="AM8" s="77">
        <f>AM7+AL8</f>
        <v>1020</v>
      </c>
      <c r="AO8" s="54">
        <v>2</v>
      </c>
      <c r="AP8" s="82">
        <v>30</v>
      </c>
      <c r="AQ8" s="77">
        <f>AQ7+AP8</f>
        <v>1630</v>
      </c>
      <c r="AS8" s="54">
        <v>2</v>
      </c>
      <c r="AT8" s="82">
        <v>50</v>
      </c>
      <c r="AU8" s="77">
        <f>AU7+AT8</f>
        <v>1700</v>
      </c>
      <c r="AW8" s="54">
        <v>2</v>
      </c>
      <c r="AX8" s="82">
        <v>60</v>
      </c>
      <c r="AY8" s="77">
        <f>AY7+AX8</f>
        <v>1760</v>
      </c>
      <c r="BA8" s="54">
        <v>2</v>
      </c>
      <c r="BB8" s="82">
        <v>80</v>
      </c>
      <c r="BC8" s="77">
        <f>BC7+BB8</f>
        <v>2280</v>
      </c>
      <c r="BD8" s="125"/>
    </row>
    <row r="9" spans="1:56">
      <c r="A9" s="54">
        <v>3</v>
      </c>
      <c r="B9" s="82">
        <v>20</v>
      </c>
      <c r="C9" s="78">
        <f t="shared" si="0"/>
        <v>1040</v>
      </c>
      <c r="E9" s="129">
        <f>E8</f>
        <v>1.3</v>
      </c>
      <c r="F9" s="38">
        <f t="shared" ref="F9:F72" si="1">B9*E9</f>
        <v>26</v>
      </c>
      <c r="G9" s="130">
        <f t="shared" ref="G9:G72" si="2">G8+F9</f>
        <v>1452</v>
      </c>
      <c r="I9" s="129">
        <f>I8</f>
        <v>1.6</v>
      </c>
      <c r="J9" s="38">
        <f t="shared" ref="J9:J72" si="3">B9*I9</f>
        <v>32</v>
      </c>
      <c r="K9" s="127">
        <f t="shared" ref="K9:K72" si="4">K8+J9</f>
        <v>1964</v>
      </c>
      <c r="M9" s="129">
        <f>M8</f>
        <v>2</v>
      </c>
      <c r="N9" s="38">
        <f t="shared" ref="N9:N72" si="5">B9*M9</f>
        <v>40</v>
      </c>
      <c r="O9" s="128">
        <f t="shared" ref="O9:O72" si="6">O8+N9</f>
        <v>2580</v>
      </c>
      <c r="Q9" s="129">
        <f>Q8</f>
        <v>2.5</v>
      </c>
      <c r="R9" s="38">
        <f t="shared" ref="R9:R72" si="7">B9*Q9</f>
        <v>50</v>
      </c>
      <c r="S9" s="131">
        <f t="shared" ref="S9:S72" si="8">S8+R9</f>
        <v>3300</v>
      </c>
      <c r="T9" s="131"/>
      <c r="U9" s="41" t="s">
        <v>2191</v>
      </c>
      <c r="V9" s="41" t="s">
        <v>2216</v>
      </c>
      <c r="W9" s="41" t="s">
        <v>2217</v>
      </c>
      <c r="X9" s="135" t="s">
        <v>2193</v>
      </c>
      <c r="Y9" s="146" t="s">
        <v>2194</v>
      </c>
      <c r="Z9" s="41" t="s">
        <v>2195</v>
      </c>
      <c r="AA9" s="131"/>
      <c r="AB9" s="131"/>
      <c r="AC9" s="131"/>
      <c r="AD9" s="131"/>
      <c r="AE9" s="131"/>
      <c r="AF9" s="133"/>
      <c r="AG9" s="54">
        <v>3</v>
      </c>
      <c r="AH9" s="82" t="s">
        <v>2106</v>
      </c>
      <c r="AI9" s="77">
        <f>AI8+AH9</f>
        <v>1216</v>
      </c>
      <c r="AK9" s="54">
        <v>3</v>
      </c>
      <c r="AL9" s="82">
        <v>20</v>
      </c>
      <c r="AM9" s="77">
        <f>AM8+AL9</f>
        <v>1040</v>
      </c>
      <c r="AO9" s="54">
        <v>3</v>
      </c>
      <c r="AP9" s="82">
        <v>30</v>
      </c>
      <c r="AQ9" s="77">
        <f>AQ8+AP9</f>
        <v>1660</v>
      </c>
      <c r="AS9" s="54">
        <v>3</v>
      </c>
      <c r="AT9" s="82">
        <v>50</v>
      </c>
      <c r="AU9" s="77">
        <f>AU8+AT9</f>
        <v>1750</v>
      </c>
      <c r="AW9" s="54">
        <v>3</v>
      </c>
      <c r="AX9" s="82">
        <v>60</v>
      </c>
      <c r="AY9" s="77">
        <f>AY8+AX9</f>
        <v>1820</v>
      </c>
      <c r="BA9" s="54">
        <v>3</v>
      </c>
      <c r="BB9" s="82">
        <v>80</v>
      </c>
      <c r="BC9" s="77">
        <f>BC8+BB9</f>
        <v>2360</v>
      </c>
      <c r="BD9" s="125"/>
    </row>
    <row r="10" spans="1:56">
      <c r="A10" s="54">
        <v>4</v>
      </c>
      <c r="B10" s="82">
        <v>20</v>
      </c>
      <c r="C10" s="78">
        <f t="shared" si="0"/>
        <v>1060</v>
      </c>
      <c r="E10" s="129">
        <f t="shared" ref="E10:E73" si="9">E9</f>
        <v>1.3</v>
      </c>
      <c r="F10" s="38">
        <f t="shared" si="1"/>
        <v>26</v>
      </c>
      <c r="G10" s="130">
        <f t="shared" si="2"/>
        <v>1478</v>
      </c>
      <c r="I10" s="129">
        <f t="shared" ref="I10:I73" si="10">I9</f>
        <v>1.6</v>
      </c>
      <c r="J10" s="38">
        <f t="shared" si="3"/>
        <v>32</v>
      </c>
      <c r="K10" s="127">
        <f t="shared" si="4"/>
        <v>1996</v>
      </c>
      <c r="M10" s="129">
        <f t="shared" ref="M10:M73" si="11">M9</f>
        <v>2</v>
      </c>
      <c r="N10" s="38">
        <f t="shared" si="5"/>
        <v>40</v>
      </c>
      <c r="O10" s="128">
        <f t="shared" si="6"/>
        <v>2620</v>
      </c>
      <c r="Q10" s="129">
        <f t="shared" ref="Q10:Q73" si="12">Q9</f>
        <v>2.5</v>
      </c>
      <c r="R10" s="38">
        <f t="shared" si="7"/>
        <v>50</v>
      </c>
      <c r="S10" s="131">
        <f t="shared" si="8"/>
        <v>3350</v>
      </c>
      <c r="T10" s="131"/>
      <c r="U10" s="138" t="s">
        <v>2205</v>
      </c>
      <c r="V10" s="138" t="s">
        <v>2210</v>
      </c>
      <c r="W10" s="139" t="s">
        <v>2108</v>
      </c>
      <c r="X10" s="139" t="s">
        <v>2201</v>
      </c>
      <c r="Y10" s="139" t="s">
        <v>2201</v>
      </c>
      <c r="Z10" s="139" t="s">
        <v>2200</v>
      </c>
      <c r="AA10" s="131"/>
      <c r="AB10" s="131"/>
      <c r="AC10" s="131"/>
      <c r="AD10" s="131"/>
      <c r="AE10" s="131"/>
      <c r="AF10" s="133"/>
      <c r="AG10" s="54">
        <v>4</v>
      </c>
      <c r="AH10" s="82" t="s">
        <v>2106</v>
      </c>
      <c r="AI10" s="77">
        <f>AI9+AH10</f>
        <v>1224</v>
      </c>
      <c r="AK10" s="54">
        <v>4</v>
      </c>
      <c r="AL10" s="82">
        <v>20</v>
      </c>
      <c r="AM10" s="77">
        <f>AM9+AL10</f>
        <v>1060</v>
      </c>
      <c r="AO10" s="54">
        <v>4</v>
      </c>
      <c r="AP10" s="82">
        <v>30</v>
      </c>
      <c r="AQ10" s="77">
        <f>AQ9+AP10</f>
        <v>1690</v>
      </c>
      <c r="AS10" s="54">
        <v>4</v>
      </c>
      <c r="AT10" s="82">
        <v>50</v>
      </c>
      <c r="AU10" s="77">
        <f>AU9+AT10</f>
        <v>1800</v>
      </c>
      <c r="AW10" s="54">
        <v>4</v>
      </c>
      <c r="AX10" s="82">
        <v>60</v>
      </c>
      <c r="AY10" s="77">
        <f>AY9+AX10</f>
        <v>1880</v>
      </c>
      <c r="BA10" s="54">
        <v>4</v>
      </c>
      <c r="BB10" s="82">
        <v>80</v>
      </c>
      <c r="BC10" s="77">
        <f>BC9+BB10</f>
        <v>2440</v>
      </c>
      <c r="BD10" s="125"/>
    </row>
    <row r="11" spans="1:56">
      <c r="A11" s="54">
        <v>5</v>
      </c>
      <c r="B11" s="82">
        <v>20</v>
      </c>
      <c r="C11" s="78">
        <f t="shared" si="0"/>
        <v>1080</v>
      </c>
      <c r="E11" s="129">
        <f t="shared" si="9"/>
        <v>1.3</v>
      </c>
      <c r="F11" s="38">
        <f t="shared" si="1"/>
        <v>26</v>
      </c>
      <c r="G11" s="130">
        <f t="shared" si="2"/>
        <v>1504</v>
      </c>
      <c r="I11" s="129">
        <f t="shared" si="10"/>
        <v>1.6</v>
      </c>
      <c r="J11" s="38">
        <f t="shared" si="3"/>
        <v>32</v>
      </c>
      <c r="K11" s="127">
        <f t="shared" si="4"/>
        <v>2028</v>
      </c>
      <c r="M11" s="129">
        <f t="shared" si="11"/>
        <v>2</v>
      </c>
      <c r="N11" s="38">
        <f t="shared" si="5"/>
        <v>40</v>
      </c>
      <c r="O11" s="128">
        <f t="shared" si="6"/>
        <v>2660</v>
      </c>
      <c r="Q11" s="129">
        <f t="shared" si="12"/>
        <v>2.5</v>
      </c>
      <c r="R11" s="38">
        <f t="shared" si="7"/>
        <v>50</v>
      </c>
      <c r="S11" s="131">
        <f t="shared" si="8"/>
        <v>3400</v>
      </c>
      <c r="T11" s="131"/>
      <c r="U11" s="140" t="s">
        <v>2206</v>
      </c>
      <c r="V11" s="140" t="s">
        <v>2211</v>
      </c>
      <c r="W11" s="141" t="s">
        <v>2182</v>
      </c>
      <c r="X11" s="141" t="s">
        <v>2218</v>
      </c>
      <c r="Y11" s="141" t="s">
        <v>2224</v>
      </c>
      <c r="Z11" s="141" t="s">
        <v>2196</v>
      </c>
      <c r="AA11" s="131"/>
      <c r="AB11" s="131"/>
      <c r="AC11" s="131"/>
      <c r="AD11" s="131"/>
      <c r="AE11" s="131"/>
      <c r="AF11" s="133"/>
      <c r="AG11" s="54">
        <v>5</v>
      </c>
      <c r="AH11" s="82" t="s">
        <v>2106</v>
      </c>
      <c r="AI11" s="77">
        <f t="shared" ref="AI11:AI24" si="13">AI10+AH11</f>
        <v>1232</v>
      </c>
      <c r="AK11" s="54">
        <v>5</v>
      </c>
      <c r="AL11" s="82">
        <v>20</v>
      </c>
      <c r="AM11" s="77">
        <f t="shared" ref="AM11:AM24" si="14">AM10+AL11</f>
        <v>1080</v>
      </c>
      <c r="AO11" s="54">
        <v>5</v>
      </c>
      <c r="AP11" s="82">
        <v>30</v>
      </c>
      <c r="AQ11" s="77">
        <f t="shared" ref="AQ11:AQ24" si="15">AQ10+AP11</f>
        <v>1720</v>
      </c>
      <c r="AS11" s="54">
        <v>5</v>
      </c>
      <c r="AT11" s="82">
        <v>50</v>
      </c>
      <c r="AU11" s="77">
        <f t="shared" ref="AU11:AU24" si="16">AU10+AT11</f>
        <v>1850</v>
      </c>
      <c r="AW11" s="54">
        <v>5</v>
      </c>
      <c r="AX11" s="82">
        <v>60</v>
      </c>
      <c r="AY11" s="77">
        <f t="shared" ref="AY11:AY24" si="17">AY10+AX11</f>
        <v>1940</v>
      </c>
      <c r="BA11" s="54">
        <v>5</v>
      </c>
      <c r="BB11" s="82">
        <v>80</v>
      </c>
      <c r="BC11" s="77">
        <f t="shared" ref="BC11:BC24" si="18">BC10+BB11</f>
        <v>2520</v>
      </c>
      <c r="BD11" s="125"/>
    </row>
    <row r="12" spans="1:56">
      <c r="A12" s="54">
        <v>6</v>
      </c>
      <c r="B12" s="82">
        <v>20</v>
      </c>
      <c r="C12" s="78">
        <f t="shared" si="0"/>
        <v>1100</v>
      </c>
      <c r="E12" s="129">
        <f t="shared" si="9"/>
        <v>1.3</v>
      </c>
      <c r="F12" s="38">
        <f t="shared" si="1"/>
        <v>26</v>
      </c>
      <c r="G12" s="130">
        <f t="shared" si="2"/>
        <v>1530</v>
      </c>
      <c r="I12" s="129">
        <f t="shared" si="10"/>
        <v>1.6</v>
      </c>
      <c r="J12" s="38">
        <f t="shared" si="3"/>
        <v>32</v>
      </c>
      <c r="K12" s="127">
        <f t="shared" si="4"/>
        <v>2060</v>
      </c>
      <c r="M12" s="129">
        <f t="shared" si="11"/>
        <v>2</v>
      </c>
      <c r="N12" s="38">
        <f t="shared" si="5"/>
        <v>40</v>
      </c>
      <c r="O12" s="128">
        <f t="shared" si="6"/>
        <v>2700</v>
      </c>
      <c r="Q12" s="129">
        <f t="shared" si="12"/>
        <v>2.5</v>
      </c>
      <c r="R12" s="38">
        <f t="shared" si="7"/>
        <v>50</v>
      </c>
      <c r="S12" s="131">
        <f t="shared" si="8"/>
        <v>3450</v>
      </c>
      <c r="T12" s="131"/>
      <c r="U12" s="142" t="s">
        <v>2207</v>
      </c>
      <c r="V12" s="142" t="s">
        <v>2213</v>
      </c>
      <c r="W12" s="143" t="s">
        <v>2202</v>
      </c>
      <c r="X12" s="143" t="s">
        <v>2219</v>
      </c>
      <c r="Y12" s="143" t="s">
        <v>2225</v>
      </c>
      <c r="Z12" s="143" t="s">
        <v>2199</v>
      </c>
      <c r="AA12" s="131"/>
      <c r="AB12" s="131"/>
      <c r="AC12" s="131"/>
      <c r="AD12" s="131"/>
      <c r="AE12" s="131"/>
      <c r="AF12" s="133"/>
      <c r="AG12" s="54">
        <v>6</v>
      </c>
      <c r="AH12" s="82" t="s">
        <v>2106</v>
      </c>
      <c r="AI12" s="77">
        <f t="shared" si="13"/>
        <v>1240</v>
      </c>
      <c r="AK12" s="54">
        <v>6</v>
      </c>
      <c r="AL12" s="82">
        <v>20</v>
      </c>
      <c r="AM12" s="77">
        <f t="shared" si="14"/>
        <v>1100</v>
      </c>
      <c r="AO12" s="54">
        <v>6</v>
      </c>
      <c r="AP12" s="82">
        <v>30</v>
      </c>
      <c r="AQ12" s="77">
        <f t="shared" si="15"/>
        <v>1750</v>
      </c>
      <c r="AS12" s="54">
        <v>6</v>
      </c>
      <c r="AT12" s="82">
        <v>50</v>
      </c>
      <c r="AU12" s="77">
        <f t="shared" si="16"/>
        <v>1900</v>
      </c>
      <c r="AW12" s="54">
        <v>6</v>
      </c>
      <c r="AX12" s="82">
        <v>60</v>
      </c>
      <c r="AY12" s="77">
        <f t="shared" si="17"/>
        <v>2000</v>
      </c>
      <c r="BA12" s="54">
        <v>6</v>
      </c>
      <c r="BB12" s="82">
        <v>80</v>
      </c>
      <c r="BC12" s="77">
        <f t="shared" si="18"/>
        <v>2600</v>
      </c>
      <c r="BD12" s="125"/>
    </row>
    <row r="13" spans="1:56">
      <c r="A13" s="54">
        <v>7</v>
      </c>
      <c r="B13" s="82">
        <v>20</v>
      </c>
      <c r="C13" s="78">
        <f t="shared" si="0"/>
        <v>1120</v>
      </c>
      <c r="E13" s="129">
        <f t="shared" si="9"/>
        <v>1.3</v>
      </c>
      <c r="F13" s="38">
        <f t="shared" si="1"/>
        <v>26</v>
      </c>
      <c r="G13" s="130">
        <f t="shared" si="2"/>
        <v>1556</v>
      </c>
      <c r="I13" s="129">
        <f t="shared" si="10"/>
        <v>1.6</v>
      </c>
      <c r="J13" s="38">
        <f t="shared" si="3"/>
        <v>32</v>
      </c>
      <c r="K13" s="127">
        <f t="shared" si="4"/>
        <v>2092</v>
      </c>
      <c r="M13" s="129">
        <f t="shared" si="11"/>
        <v>2</v>
      </c>
      <c r="N13" s="38">
        <f t="shared" si="5"/>
        <v>40</v>
      </c>
      <c r="O13" s="128">
        <f t="shared" si="6"/>
        <v>2740</v>
      </c>
      <c r="Q13" s="129">
        <f t="shared" si="12"/>
        <v>2.5</v>
      </c>
      <c r="R13" s="38">
        <f t="shared" si="7"/>
        <v>50</v>
      </c>
      <c r="S13" s="131">
        <f t="shared" si="8"/>
        <v>3500</v>
      </c>
      <c r="T13" s="131"/>
      <c r="U13" s="144" t="s">
        <v>2208</v>
      </c>
      <c r="V13" s="144" t="s">
        <v>2214</v>
      </c>
      <c r="W13" s="145" t="s">
        <v>2203</v>
      </c>
      <c r="X13" s="145" t="s">
        <v>2220</v>
      </c>
      <c r="Y13" s="145" t="s">
        <v>2223</v>
      </c>
      <c r="Z13" s="145" t="s">
        <v>2197</v>
      </c>
      <c r="AA13" s="131"/>
      <c r="AB13" s="131"/>
      <c r="AC13" s="131"/>
      <c r="AD13" s="131"/>
      <c r="AE13" s="131"/>
      <c r="AF13" s="133"/>
      <c r="AG13" s="54">
        <v>7</v>
      </c>
      <c r="AH13" s="82" t="s">
        <v>2106</v>
      </c>
      <c r="AI13" s="77">
        <f t="shared" si="13"/>
        <v>1248</v>
      </c>
      <c r="AK13" s="54">
        <v>7</v>
      </c>
      <c r="AL13" s="82">
        <v>20</v>
      </c>
      <c r="AM13" s="77">
        <f t="shared" si="14"/>
        <v>1120</v>
      </c>
      <c r="AO13" s="54">
        <v>7</v>
      </c>
      <c r="AP13" s="82">
        <v>30</v>
      </c>
      <c r="AQ13" s="77">
        <f t="shared" si="15"/>
        <v>1780</v>
      </c>
      <c r="AS13" s="54">
        <v>7</v>
      </c>
      <c r="AT13" s="82">
        <v>50</v>
      </c>
      <c r="AU13" s="77">
        <f t="shared" si="16"/>
        <v>1950</v>
      </c>
      <c r="AW13" s="54">
        <v>7</v>
      </c>
      <c r="AX13" s="82">
        <v>60</v>
      </c>
      <c r="AY13" s="77">
        <f t="shared" si="17"/>
        <v>2060</v>
      </c>
      <c r="BA13" s="54">
        <v>7</v>
      </c>
      <c r="BB13" s="82">
        <v>80</v>
      </c>
      <c r="BC13" s="77">
        <f t="shared" si="18"/>
        <v>2680</v>
      </c>
      <c r="BD13" s="125"/>
    </row>
    <row r="14" spans="1:56">
      <c r="A14" s="54">
        <v>8</v>
      </c>
      <c r="B14" s="82">
        <v>20</v>
      </c>
      <c r="C14" s="78">
        <f t="shared" si="0"/>
        <v>1140</v>
      </c>
      <c r="E14" s="129">
        <f t="shared" si="9"/>
        <v>1.3</v>
      </c>
      <c r="F14" s="38">
        <f t="shared" si="1"/>
        <v>26</v>
      </c>
      <c r="G14" s="130">
        <f t="shared" si="2"/>
        <v>1582</v>
      </c>
      <c r="I14" s="129">
        <f t="shared" si="10"/>
        <v>1.6</v>
      </c>
      <c r="J14" s="38">
        <f t="shared" si="3"/>
        <v>32</v>
      </c>
      <c r="K14" s="127">
        <f t="shared" si="4"/>
        <v>2124</v>
      </c>
      <c r="M14" s="129">
        <f t="shared" si="11"/>
        <v>2</v>
      </c>
      <c r="N14" s="38">
        <f t="shared" si="5"/>
        <v>40</v>
      </c>
      <c r="O14" s="128">
        <f t="shared" si="6"/>
        <v>2780</v>
      </c>
      <c r="Q14" s="129">
        <f t="shared" si="12"/>
        <v>2.5</v>
      </c>
      <c r="R14" s="38">
        <f t="shared" si="7"/>
        <v>50</v>
      </c>
      <c r="S14" s="131">
        <f t="shared" si="8"/>
        <v>3550</v>
      </c>
      <c r="T14" s="131"/>
      <c r="U14" s="137" t="s">
        <v>2209</v>
      </c>
      <c r="V14" s="137" t="s">
        <v>2215</v>
      </c>
      <c r="W14" s="136" t="s">
        <v>2204</v>
      </c>
      <c r="X14" s="136" t="s">
        <v>2221</v>
      </c>
      <c r="Y14" s="136" t="s">
        <v>2222</v>
      </c>
      <c r="Z14" s="136" t="s">
        <v>2198</v>
      </c>
      <c r="AA14" s="131"/>
      <c r="AB14" s="131"/>
      <c r="AC14" s="131"/>
      <c r="AD14" s="131"/>
      <c r="AE14" s="131"/>
      <c r="AF14" s="133"/>
      <c r="AG14" s="54">
        <v>8</v>
      </c>
      <c r="AH14" s="82" t="s">
        <v>2106</v>
      </c>
      <c r="AI14" s="77">
        <f t="shared" si="13"/>
        <v>1256</v>
      </c>
      <c r="AK14" s="54">
        <v>8</v>
      </c>
      <c r="AL14" s="82">
        <v>20</v>
      </c>
      <c r="AM14" s="77">
        <f t="shared" si="14"/>
        <v>1140</v>
      </c>
      <c r="AO14" s="54">
        <v>8</v>
      </c>
      <c r="AP14" s="82">
        <v>30</v>
      </c>
      <c r="AQ14" s="77">
        <f t="shared" si="15"/>
        <v>1810</v>
      </c>
      <c r="AS14" s="54">
        <v>8</v>
      </c>
      <c r="AT14" s="82">
        <v>50</v>
      </c>
      <c r="AU14" s="77">
        <f t="shared" si="16"/>
        <v>2000</v>
      </c>
      <c r="AW14" s="54">
        <v>8</v>
      </c>
      <c r="AX14" s="82">
        <v>60</v>
      </c>
      <c r="AY14" s="77">
        <f t="shared" si="17"/>
        <v>2120</v>
      </c>
      <c r="BA14" s="54">
        <v>8</v>
      </c>
      <c r="BB14" s="82">
        <v>80</v>
      </c>
      <c r="BC14" s="77">
        <f t="shared" si="18"/>
        <v>2760</v>
      </c>
      <c r="BD14" s="125"/>
    </row>
    <row r="15" spans="1:56">
      <c r="A15" s="54">
        <v>9</v>
      </c>
      <c r="B15" s="82">
        <v>20</v>
      </c>
      <c r="C15" s="78">
        <f t="shared" si="0"/>
        <v>1160</v>
      </c>
      <c r="E15" s="129">
        <f t="shared" si="9"/>
        <v>1.3</v>
      </c>
      <c r="F15" s="38">
        <f t="shared" si="1"/>
        <v>26</v>
      </c>
      <c r="G15" s="130">
        <f t="shared" si="2"/>
        <v>1608</v>
      </c>
      <c r="I15" s="129">
        <f t="shared" si="10"/>
        <v>1.6</v>
      </c>
      <c r="J15" s="38">
        <f t="shared" si="3"/>
        <v>32</v>
      </c>
      <c r="K15" s="127">
        <f t="shared" si="4"/>
        <v>2156</v>
      </c>
      <c r="M15" s="129">
        <f t="shared" si="11"/>
        <v>2</v>
      </c>
      <c r="N15" s="38">
        <f t="shared" si="5"/>
        <v>40</v>
      </c>
      <c r="O15" s="128">
        <f t="shared" si="6"/>
        <v>2820</v>
      </c>
      <c r="Q15" s="129">
        <f t="shared" si="12"/>
        <v>2.5</v>
      </c>
      <c r="R15" s="38">
        <f t="shared" si="7"/>
        <v>50</v>
      </c>
      <c r="S15" s="131">
        <f t="shared" si="8"/>
        <v>3600</v>
      </c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3"/>
      <c r="AG15" s="54">
        <v>9</v>
      </c>
      <c r="AH15" s="82" t="s">
        <v>2106</v>
      </c>
      <c r="AI15" s="77">
        <f t="shared" si="13"/>
        <v>1264</v>
      </c>
      <c r="AK15" s="54">
        <v>9</v>
      </c>
      <c r="AL15" s="82">
        <v>20</v>
      </c>
      <c r="AM15" s="77">
        <f t="shared" si="14"/>
        <v>1160</v>
      </c>
      <c r="AO15" s="54">
        <v>9</v>
      </c>
      <c r="AP15" s="82">
        <v>30</v>
      </c>
      <c r="AQ15" s="77">
        <f t="shared" si="15"/>
        <v>1840</v>
      </c>
      <c r="AS15" s="54">
        <v>9</v>
      </c>
      <c r="AT15" s="82">
        <v>50</v>
      </c>
      <c r="AU15" s="77">
        <f t="shared" si="16"/>
        <v>2050</v>
      </c>
      <c r="AW15" s="54">
        <v>9</v>
      </c>
      <c r="AX15" s="82">
        <v>60</v>
      </c>
      <c r="AY15" s="77">
        <f t="shared" si="17"/>
        <v>2180</v>
      </c>
      <c r="BA15" s="54">
        <v>9</v>
      </c>
      <c r="BB15" s="82">
        <v>80</v>
      </c>
      <c r="BC15" s="77">
        <f t="shared" si="18"/>
        <v>2840</v>
      </c>
      <c r="BD15" s="125"/>
    </row>
    <row r="16" spans="1:56">
      <c r="A16" s="54">
        <v>10</v>
      </c>
      <c r="B16" s="82">
        <v>20</v>
      </c>
      <c r="C16" s="78">
        <f t="shared" si="0"/>
        <v>1180</v>
      </c>
      <c r="E16" s="129">
        <f t="shared" si="9"/>
        <v>1.3</v>
      </c>
      <c r="F16" s="38">
        <f t="shared" si="1"/>
        <v>26</v>
      </c>
      <c r="G16" s="130">
        <f t="shared" si="2"/>
        <v>1634</v>
      </c>
      <c r="I16" s="129">
        <f t="shared" si="10"/>
        <v>1.6</v>
      </c>
      <c r="J16" s="38">
        <f t="shared" si="3"/>
        <v>32</v>
      </c>
      <c r="K16" s="127">
        <f t="shared" si="4"/>
        <v>2188</v>
      </c>
      <c r="M16" s="129">
        <f t="shared" si="11"/>
        <v>2</v>
      </c>
      <c r="N16" s="38">
        <f t="shared" si="5"/>
        <v>40</v>
      </c>
      <c r="O16" s="128">
        <f t="shared" si="6"/>
        <v>2860</v>
      </c>
      <c r="Q16" s="129">
        <f t="shared" si="12"/>
        <v>2.5</v>
      </c>
      <c r="R16" s="38">
        <f t="shared" si="7"/>
        <v>50</v>
      </c>
      <c r="S16" s="131">
        <f t="shared" si="8"/>
        <v>3650</v>
      </c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3"/>
      <c r="AG16" s="54">
        <v>10</v>
      </c>
      <c r="AH16" s="82" t="s">
        <v>2106</v>
      </c>
      <c r="AI16" s="77">
        <f t="shared" si="13"/>
        <v>1272</v>
      </c>
      <c r="AK16" s="54">
        <v>10</v>
      </c>
      <c r="AL16" s="82">
        <v>20</v>
      </c>
      <c r="AM16" s="77">
        <f t="shared" si="14"/>
        <v>1180</v>
      </c>
      <c r="AO16" s="54">
        <v>10</v>
      </c>
      <c r="AP16" s="82">
        <v>30</v>
      </c>
      <c r="AQ16" s="77">
        <f t="shared" si="15"/>
        <v>1870</v>
      </c>
      <c r="AS16" s="54">
        <v>10</v>
      </c>
      <c r="AT16" s="82">
        <v>50</v>
      </c>
      <c r="AU16" s="77">
        <f t="shared" si="16"/>
        <v>2100</v>
      </c>
      <c r="AW16" s="54">
        <v>10</v>
      </c>
      <c r="AX16" s="82">
        <v>60</v>
      </c>
      <c r="AY16" s="77">
        <f t="shared" si="17"/>
        <v>2240</v>
      </c>
      <c r="BA16" s="54">
        <v>10</v>
      </c>
      <c r="BB16" s="82">
        <v>80</v>
      </c>
      <c r="BC16" s="77">
        <f t="shared" si="18"/>
        <v>2920</v>
      </c>
      <c r="BD16" s="125"/>
    </row>
    <row r="17" spans="1:56">
      <c r="A17" s="54">
        <v>11</v>
      </c>
      <c r="B17" s="82">
        <v>20</v>
      </c>
      <c r="C17" s="78">
        <f t="shared" si="0"/>
        <v>1200</v>
      </c>
      <c r="E17" s="129">
        <f t="shared" si="9"/>
        <v>1.3</v>
      </c>
      <c r="F17" s="38">
        <f t="shared" si="1"/>
        <v>26</v>
      </c>
      <c r="G17" s="130">
        <f t="shared" si="2"/>
        <v>1660</v>
      </c>
      <c r="I17" s="129">
        <f t="shared" si="10"/>
        <v>1.6</v>
      </c>
      <c r="J17" s="38">
        <f t="shared" si="3"/>
        <v>32</v>
      </c>
      <c r="K17" s="127">
        <f t="shared" si="4"/>
        <v>2220</v>
      </c>
      <c r="M17" s="129">
        <f t="shared" si="11"/>
        <v>2</v>
      </c>
      <c r="N17" s="38">
        <f t="shared" si="5"/>
        <v>40</v>
      </c>
      <c r="O17" s="128">
        <f t="shared" si="6"/>
        <v>2900</v>
      </c>
      <c r="Q17" s="129">
        <f t="shared" si="12"/>
        <v>2.5</v>
      </c>
      <c r="R17" s="38">
        <f t="shared" si="7"/>
        <v>50</v>
      </c>
      <c r="S17" s="131">
        <f t="shared" si="8"/>
        <v>3700</v>
      </c>
      <c r="T17" s="131"/>
      <c r="U17" s="195" t="s">
        <v>2226</v>
      </c>
      <c r="V17" s="195"/>
      <c r="W17" s="195"/>
      <c r="X17" s="195"/>
      <c r="Y17" s="195"/>
      <c r="Z17" s="195"/>
      <c r="AA17" s="131"/>
      <c r="AB17" s="131"/>
      <c r="AC17" s="131"/>
      <c r="AD17" s="131"/>
      <c r="AE17" s="131"/>
      <c r="AF17" s="133"/>
      <c r="AG17" s="54">
        <v>11</v>
      </c>
      <c r="AH17" s="82" t="s">
        <v>2106</v>
      </c>
      <c r="AI17" s="77">
        <f t="shared" si="13"/>
        <v>1280</v>
      </c>
      <c r="AK17" s="54">
        <v>11</v>
      </c>
      <c r="AL17" s="82">
        <v>20</v>
      </c>
      <c r="AM17" s="77">
        <f t="shared" si="14"/>
        <v>1200</v>
      </c>
      <c r="AO17" s="54">
        <v>11</v>
      </c>
      <c r="AP17" s="82">
        <v>30</v>
      </c>
      <c r="AQ17" s="77">
        <f t="shared" si="15"/>
        <v>1900</v>
      </c>
      <c r="AS17" s="54">
        <v>11</v>
      </c>
      <c r="AT17" s="82">
        <v>50</v>
      </c>
      <c r="AU17" s="77">
        <f t="shared" si="16"/>
        <v>2150</v>
      </c>
      <c r="AW17" s="54">
        <v>11</v>
      </c>
      <c r="AX17" s="82">
        <v>60</v>
      </c>
      <c r="AY17" s="77">
        <f t="shared" si="17"/>
        <v>2300</v>
      </c>
      <c r="BA17" s="54">
        <v>11</v>
      </c>
      <c r="BB17" s="82">
        <v>80</v>
      </c>
      <c r="BC17" s="77">
        <f t="shared" si="18"/>
        <v>3000</v>
      </c>
      <c r="BD17" s="125"/>
    </row>
    <row r="18" spans="1:56">
      <c r="A18" s="54">
        <v>12</v>
      </c>
      <c r="B18" s="82">
        <v>20</v>
      </c>
      <c r="C18" s="78">
        <f t="shared" si="0"/>
        <v>1220</v>
      </c>
      <c r="E18" s="129">
        <f t="shared" si="9"/>
        <v>1.3</v>
      </c>
      <c r="F18" s="38">
        <f t="shared" si="1"/>
        <v>26</v>
      </c>
      <c r="G18" s="130">
        <f t="shared" si="2"/>
        <v>1686</v>
      </c>
      <c r="I18" s="129">
        <f t="shared" si="10"/>
        <v>1.6</v>
      </c>
      <c r="J18" s="38">
        <f t="shared" si="3"/>
        <v>32</v>
      </c>
      <c r="K18" s="127">
        <f t="shared" si="4"/>
        <v>2252</v>
      </c>
      <c r="M18" s="129">
        <f t="shared" si="11"/>
        <v>2</v>
      </c>
      <c r="N18" s="38">
        <f t="shared" si="5"/>
        <v>40</v>
      </c>
      <c r="O18" s="128">
        <f t="shared" si="6"/>
        <v>2940</v>
      </c>
      <c r="Q18" s="129">
        <f t="shared" si="12"/>
        <v>2.5</v>
      </c>
      <c r="R18" s="38">
        <f t="shared" si="7"/>
        <v>50</v>
      </c>
      <c r="S18" s="131">
        <f t="shared" si="8"/>
        <v>3750</v>
      </c>
      <c r="T18" s="131"/>
      <c r="U18" s="195"/>
      <c r="V18" s="195"/>
      <c r="W18" s="195"/>
      <c r="X18" s="195"/>
      <c r="Y18" s="195"/>
      <c r="Z18" s="195"/>
      <c r="AA18" s="131"/>
      <c r="AB18" s="131"/>
      <c r="AC18" s="131"/>
      <c r="AD18" s="131"/>
      <c r="AE18" s="131"/>
      <c r="AF18" s="133"/>
      <c r="AG18" s="54">
        <v>12</v>
      </c>
      <c r="AH18" s="82" t="s">
        <v>2106</v>
      </c>
      <c r="AI18" s="77">
        <f t="shared" si="13"/>
        <v>1288</v>
      </c>
      <c r="AK18" s="54">
        <v>12</v>
      </c>
      <c r="AL18" s="82">
        <v>20</v>
      </c>
      <c r="AM18" s="77">
        <f t="shared" si="14"/>
        <v>1220</v>
      </c>
      <c r="AO18" s="54">
        <v>12</v>
      </c>
      <c r="AP18" s="82">
        <v>30</v>
      </c>
      <c r="AQ18" s="77">
        <f t="shared" si="15"/>
        <v>1930</v>
      </c>
      <c r="AS18" s="54">
        <v>12</v>
      </c>
      <c r="AT18" s="82">
        <v>50</v>
      </c>
      <c r="AU18" s="77">
        <f t="shared" si="16"/>
        <v>2200</v>
      </c>
      <c r="AW18" s="54">
        <v>12</v>
      </c>
      <c r="AX18" s="82">
        <v>60</v>
      </c>
      <c r="AY18" s="77">
        <f t="shared" si="17"/>
        <v>2360</v>
      </c>
      <c r="BA18" s="54">
        <v>12</v>
      </c>
      <c r="BB18" s="82">
        <v>80</v>
      </c>
      <c r="BC18" s="77">
        <f t="shared" si="18"/>
        <v>3080</v>
      </c>
      <c r="BD18" s="125"/>
    </row>
    <row r="19" spans="1:56">
      <c r="A19" s="54">
        <v>13</v>
      </c>
      <c r="B19" s="82">
        <v>20</v>
      </c>
      <c r="C19" s="78">
        <f t="shared" si="0"/>
        <v>1240</v>
      </c>
      <c r="E19" s="129">
        <f t="shared" si="9"/>
        <v>1.3</v>
      </c>
      <c r="F19" s="38">
        <f t="shared" si="1"/>
        <v>26</v>
      </c>
      <c r="G19" s="130">
        <f t="shared" si="2"/>
        <v>1712</v>
      </c>
      <c r="I19" s="129">
        <f t="shared" si="10"/>
        <v>1.6</v>
      </c>
      <c r="J19" s="38">
        <f t="shared" si="3"/>
        <v>32</v>
      </c>
      <c r="K19" s="127">
        <f t="shared" si="4"/>
        <v>2284</v>
      </c>
      <c r="M19" s="129">
        <f t="shared" si="11"/>
        <v>2</v>
      </c>
      <c r="N19" s="38">
        <f t="shared" si="5"/>
        <v>40</v>
      </c>
      <c r="O19" s="128">
        <f t="shared" si="6"/>
        <v>2980</v>
      </c>
      <c r="Q19" s="129">
        <f t="shared" si="12"/>
        <v>2.5</v>
      </c>
      <c r="R19" s="38">
        <f t="shared" si="7"/>
        <v>50</v>
      </c>
      <c r="S19" s="131">
        <f t="shared" si="8"/>
        <v>3800</v>
      </c>
      <c r="T19" s="131"/>
      <c r="U19" s="41" t="s">
        <v>2191</v>
      </c>
      <c r="V19" s="41" t="s">
        <v>2216</v>
      </c>
      <c r="W19" s="41" t="s">
        <v>2217</v>
      </c>
      <c r="X19" s="135" t="s">
        <v>2227</v>
      </c>
      <c r="Y19" s="146" t="s">
        <v>2228</v>
      </c>
      <c r="Z19" s="41" t="s">
        <v>2229</v>
      </c>
      <c r="AA19" s="131"/>
      <c r="AB19" s="131"/>
      <c r="AC19" s="131"/>
      <c r="AD19" s="131"/>
      <c r="AE19" s="131"/>
      <c r="AF19" s="133"/>
      <c r="AG19" s="54">
        <v>13</v>
      </c>
      <c r="AH19" s="82" t="s">
        <v>2106</v>
      </c>
      <c r="AI19" s="77">
        <f t="shared" si="13"/>
        <v>1296</v>
      </c>
      <c r="AK19" s="54">
        <v>13</v>
      </c>
      <c r="AL19" s="82">
        <v>20</v>
      </c>
      <c r="AM19" s="77">
        <f t="shared" si="14"/>
        <v>1240</v>
      </c>
      <c r="AO19" s="54">
        <v>13</v>
      </c>
      <c r="AP19" s="82">
        <v>30</v>
      </c>
      <c r="AQ19" s="77">
        <f t="shared" si="15"/>
        <v>1960</v>
      </c>
      <c r="AS19" s="54">
        <v>13</v>
      </c>
      <c r="AT19" s="82">
        <v>50</v>
      </c>
      <c r="AU19" s="77">
        <f t="shared" si="16"/>
        <v>2250</v>
      </c>
      <c r="AW19" s="54">
        <v>13</v>
      </c>
      <c r="AX19" s="82">
        <v>60</v>
      </c>
      <c r="AY19" s="77">
        <f t="shared" si="17"/>
        <v>2420</v>
      </c>
      <c r="BA19" s="54">
        <v>13</v>
      </c>
      <c r="BB19" s="82">
        <v>80</v>
      </c>
      <c r="BC19" s="77">
        <f t="shared" si="18"/>
        <v>3160</v>
      </c>
      <c r="BD19" s="125"/>
    </row>
    <row r="20" spans="1:56">
      <c r="A20" s="54">
        <v>14</v>
      </c>
      <c r="B20" s="82">
        <v>20</v>
      </c>
      <c r="C20" s="78">
        <f t="shared" si="0"/>
        <v>1260</v>
      </c>
      <c r="E20" s="129">
        <f t="shared" si="9"/>
        <v>1.3</v>
      </c>
      <c r="F20" s="38">
        <f t="shared" si="1"/>
        <v>26</v>
      </c>
      <c r="G20" s="130">
        <f t="shared" si="2"/>
        <v>1738</v>
      </c>
      <c r="I20" s="129">
        <f t="shared" si="10"/>
        <v>1.6</v>
      </c>
      <c r="J20" s="38">
        <f t="shared" si="3"/>
        <v>32</v>
      </c>
      <c r="K20" s="127">
        <f t="shared" si="4"/>
        <v>2316</v>
      </c>
      <c r="M20" s="129">
        <f t="shared" si="11"/>
        <v>2</v>
      </c>
      <c r="N20" s="38">
        <f t="shared" si="5"/>
        <v>40</v>
      </c>
      <c r="O20" s="128">
        <f t="shared" si="6"/>
        <v>3020</v>
      </c>
      <c r="Q20" s="129">
        <f t="shared" si="12"/>
        <v>2.5</v>
      </c>
      <c r="R20" s="38">
        <f t="shared" si="7"/>
        <v>50</v>
      </c>
      <c r="S20" s="131">
        <f t="shared" si="8"/>
        <v>3850</v>
      </c>
      <c r="T20" s="131"/>
      <c r="U20" s="138" t="s">
        <v>2205</v>
      </c>
      <c r="V20" s="138" t="s">
        <v>2210</v>
      </c>
      <c r="W20" s="139" t="s">
        <v>2108</v>
      </c>
      <c r="X20" s="139" t="s">
        <v>2201</v>
      </c>
      <c r="Y20" s="139" t="s">
        <v>2201</v>
      </c>
      <c r="Z20" s="139" t="s">
        <v>2201</v>
      </c>
      <c r="AA20" s="131"/>
      <c r="AB20" s="131"/>
      <c r="AC20" s="131"/>
      <c r="AD20" s="131"/>
      <c r="AE20" s="131"/>
      <c r="AF20" s="133"/>
      <c r="AG20" s="54">
        <v>14</v>
      </c>
      <c r="AH20" s="82" t="s">
        <v>2106</v>
      </c>
      <c r="AI20" s="77">
        <f t="shared" si="13"/>
        <v>1304</v>
      </c>
      <c r="AK20" s="54">
        <v>14</v>
      </c>
      <c r="AL20" s="82">
        <v>20</v>
      </c>
      <c r="AM20" s="77">
        <f t="shared" si="14"/>
        <v>1260</v>
      </c>
      <c r="AO20" s="54">
        <v>14</v>
      </c>
      <c r="AP20" s="82">
        <v>30</v>
      </c>
      <c r="AQ20" s="77">
        <f t="shared" si="15"/>
        <v>1990</v>
      </c>
      <c r="AS20" s="54">
        <v>14</v>
      </c>
      <c r="AT20" s="82">
        <v>50</v>
      </c>
      <c r="AU20" s="77">
        <f t="shared" si="16"/>
        <v>2300</v>
      </c>
      <c r="AW20" s="54">
        <v>14</v>
      </c>
      <c r="AX20" s="82">
        <v>60</v>
      </c>
      <c r="AY20" s="77">
        <f t="shared" si="17"/>
        <v>2480</v>
      </c>
      <c r="BA20" s="54">
        <v>14</v>
      </c>
      <c r="BB20" s="82">
        <v>80</v>
      </c>
      <c r="BC20" s="77">
        <f t="shared" si="18"/>
        <v>3240</v>
      </c>
      <c r="BD20" s="125"/>
    </row>
    <row r="21" spans="1:56">
      <c r="A21" s="54">
        <v>15</v>
      </c>
      <c r="B21" s="82">
        <v>20</v>
      </c>
      <c r="C21" s="78">
        <f t="shared" si="0"/>
        <v>1280</v>
      </c>
      <c r="E21" s="129">
        <f t="shared" si="9"/>
        <v>1.3</v>
      </c>
      <c r="F21" s="38">
        <f t="shared" si="1"/>
        <v>26</v>
      </c>
      <c r="G21" s="130">
        <f t="shared" si="2"/>
        <v>1764</v>
      </c>
      <c r="I21" s="129">
        <f t="shared" si="10"/>
        <v>1.6</v>
      </c>
      <c r="J21" s="38">
        <f t="shared" si="3"/>
        <v>32</v>
      </c>
      <c r="K21" s="127">
        <f t="shared" si="4"/>
        <v>2348</v>
      </c>
      <c r="M21" s="129">
        <f t="shared" si="11"/>
        <v>2</v>
      </c>
      <c r="N21" s="38">
        <f t="shared" si="5"/>
        <v>40</v>
      </c>
      <c r="O21" s="128">
        <f t="shared" si="6"/>
        <v>3060</v>
      </c>
      <c r="Q21" s="129">
        <f t="shared" si="12"/>
        <v>2.5</v>
      </c>
      <c r="R21" s="38">
        <f t="shared" si="7"/>
        <v>50</v>
      </c>
      <c r="S21" s="131">
        <f t="shared" si="8"/>
        <v>3900</v>
      </c>
      <c r="T21" s="131"/>
      <c r="U21" s="140" t="s">
        <v>2206</v>
      </c>
      <c r="V21" s="140" t="s">
        <v>2211</v>
      </c>
      <c r="W21" s="141" t="s">
        <v>2182</v>
      </c>
      <c r="X21" s="141" t="s">
        <v>2230</v>
      </c>
      <c r="Y21" s="141" t="s">
        <v>2218</v>
      </c>
      <c r="Z21" s="141" t="s">
        <v>2234</v>
      </c>
      <c r="AA21" s="131"/>
      <c r="AB21" s="131"/>
      <c r="AC21" s="131"/>
      <c r="AD21" s="131"/>
      <c r="AE21" s="131"/>
      <c r="AF21" s="133"/>
      <c r="AG21" s="54">
        <v>15</v>
      </c>
      <c r="AH21" s="82" t="s">
        <v>2106</v>
      </c>
      <c r="AI21" s="77">
        <f t="shared" si="13"/>
        <v>1312</v>
      </c>
      <c r="AK21" s="54">
        <v>15</v>
      </c>
      <c r="AL21" s="82">
        <v>20</v>
      </c>
      <c r="AM21" s="77">
        <f t="shared" si="14"/>
        <v>1280</v>
      </c>
      <c r="AO21" s="54">
        <v>15</v>
      </c>
      <c r="AP21" s="82">
        <v>30</v>
      </c>
      <c r="AQ21" s="77">
        <f t="shared" si="15"/>
        <v>2020</v>
      </c>
      <c r="AS21" s="54">
        <v>15</v>
      </c>
      <c r="AT21" s="82">
        <v>50</v>
      </c>
      <c r="AU21" s="77">
        <f t="shared" si="16"/>
        <v>2350</v>
      </c>
      <c r="AW21" s="54">
        <v>15</v>
      </c>
      <c r="AX21" s="82">
        <v>60</v>
      </c>
      <c r="AY21" s="77">
        <f t="shared" si="17"/>
        <v>2540</v>
      </c>
      <c r="BA21" s="54">
        <v>15</v>
      </c>
      <c r="BB21" s="82">
        <v>80</v>
      </c>
      <c r="BC21" s="77">
        <f t="shared" si="18"/>
        <v>3320</v>
      </c>
      <c r="BD21" s="125"/>
    </row>
    <row r="22" spans="1:56">
      <c r="A22" s="54">
        <v>16</v>
      </c>
      <c r="B22" s="82">
        <v>20</v>
      </c>
      <c r="C22" s="78">
        <f t="shared" si="0"/>
        <v>1300</v>
      </c>
      <c r="E22" s="129">
        <f t="shared" si="9"/>
        <v>1.3</v>
      </c>
      <c r="F22" s="38">
        <f t="shared" si="1"/>
        <v>26</v>
      </c>
      <c r="G22" s="130">
        <f t="shared" si="2"/>
        <v>1790</v>
      </c>
      <c r="I22" s="129">
        <f t="shared" si="10"/>
        <v>1.6</v>
      </c>
      <c r="J22" s="38">
        <f t="shared" si="3"/>
        <v>32</v>
      </c>
      <c r="K22" s="127">
        <f t="shared" si="4"/>
        <v>2380</v>
      </c>
      <c r="M22" s="129">
        <f t="shared" si="11"/>
        <v>2</v>
      </c>
      <c r="N22" s="38">
        <f t="shared" si="5"/>
        <v>40</v>
      </c>
      <c r="O22" s="128">
        <f t="shared" si="6"/>
        <v>3100</v>
      </c>
      <c r="Q22" s="129">
        <f t="shared" si="12"/>
        <v>2.5</v>
      </c>
      <c r="R22" s="38">
        <f t="shared" si="7"/>
        <v>50</v>
      </c>
      <c r="S22" s="131">
        <f t="shared" si="8"/>
        <v>3950</v>
      </c>
      <c r="T22" s="131"/>
      <c r="U22" s="142" t="s">
        <v>2207</v>
      </c>
      <c r="V22" s="142" t="s">
        <v>2213</v>
      </c>
      <c r="W22" s="143" t="s">
        <v>2202</v>
      </c>
      <c r="X22" s="143" t="s">
        <v>2224</v>
      </c>
      <c r="Y22" s="143" t="s">
        <v>2233</v>
      </c>
      <c r="Z22" s="143" t="s">
        <v>2230</v>
      </c>
      <c r="AA22" s="131"/>
      <c r="AB22" s="131"/>
      <c r="AC22" s="131"/>
      <c r="AD22" s="131"/>
      <c r="AE22" s="131"/>
      <c r="AF22" s="133"/>
      <c r="AG22" s="54">
        <v>16</v>
      </c>
      <c r="AH22" s="82" t="s">
        <v>2106</v>
      </c>
      <c r="AI22" s="77">
        <f t="shared" si="13"/>
        <v>1320</v>
      </c>
      <c r="AK22" s="54">
        <v>16</v>
      </c>
      <c r="AL22" s="82">
        <v>20</v>
      </c>
      <c r="AM22" s="77">
        <f t="shared" si="14"/>
        <v>1300</v>
      </c>
      <c r="AO22" s="54">
        <v>16</v>
      </c>
      <c r="AP22" s="82">
        <v>30</v>
      </c>
      <c r="AQ22" s="77">
        <f t="shared" si="15"/>
        <v>2050</v>
      </c>
      <c r="AS22" s="54">
        <v>16</v>
      </c>
      <c r="AT22" s="82">
        <v>50</v>
      </c>
      <c r="AU22" s="77">
        <f t="shared" si="16"/>
        <v>2400</v>
      </c>
      <c r="AW22" s="54">
        <v>16</v>
      </c>
      <c r="AX22" s="82">
        <v>60</v>
      </c>
      <c r="AY22" s="77">
        <f t="shared" si="17"/>
        <v>2600</v>
      </c>
      <c r="BA22" s="54">
        <v>16</v>
      </c>
      <c r="BB22" s="82">
        <v>80</v>
      </c>
      <c r="BC22" s="77">
        <f t="shared" si="18"/>
        <v>3400</v>
      </c>
      <c r="BD22" s="125"/>
    </row>
    <row r="23" spans="1:56">
      <c r="A23" s="54">
        <v>17</v>
      </c>
      <c r="B23" s="82">
        <v>20</v>
      </c>
      <c r="C23" s="78">
        <f t="shared" si="0"/>
        <v>1320</v>
      </c>
      <c r="E23" s="129">
        <f t="shared" si="9"/>
        <v>1.3</v>
      </c>
      <c r="F23" s="38">
        <f t="shared" si="1"/>
        <v>26</v>
      </c>
      <c r="G23" s="130">
        <f t="shared" si="2"/>
        <v>1816</v>
      </c>
      <c r="I23" s="129">
        <f t="shared" si="10"/>
        <v>1.6</v>
      </c>
      <c r="J23" s="38">
        <f t="shared" si="3"/>
        <v>32</v>
      </c>
      <c r="K23" s="127">
        <f t="shared" si="4"/>
        <v>2412</v>
      </c>
      <c r="M23" s="129">
        <f t="shared" si="11"/>
        <v>2</v>
      </c>
      <c r="N23" s="38">
        <f t="shared" si="5"/>
        <v>40</v>
      </c>
      <c r="O23" s="128">
        <f t="shared" si="6"/>
        <v>3140</v>
      </c>
      <c r="Q23" s="129">
        <f t="shared" si="12"/>
        <v>2.5</v>
      </c>
      <c r="R23" s="38">
        <f t="shared" si="7"/>
        <v>50</v>
      </c>
      <c r="S23" s="131">
        <f t="shared" si="8"/>
        <v>4000</v>
      </c>
      <c r="T23" s="131"/>
      <c r="U23" s="144" t="s">
        <v>2208</v>
      </c>
      <c r="V23" s="144" t="s">
        <v>2214</v>
      </c>
      <c r="W23" s="145" t="s">
        <v>2203</v>
      </c>
      <c r="X23" s="145" t="s">
        <v>2219</v>
      </c>
      <c r="Y23" s="145" t="s">
        <v>2232</v>
      </c>
      <c r="Z23" s="145" t="s">
        <v>2218</v>
      </c>
      <c r="AA23" s="131"/>
      <c r="AB23" s="131"/>
      <c r="AC23" s="131"/>
      <c r="AD23" s="131"/>
      <c r="AE23" s="131"/>
      <c r="AF23" s="133"/>
      <c r="AG23" s="54">
        <v>17</v>
      </c>
      <c r="AH23" s="82" t="s">
        <v>2106</v>
      </c>
      <c r="AI23" s="77">
        <f t="shared" si="13"/>
        <v>1328</v>
      </c>
      <c r="AK23" s="54">
        <v>17</v>
      </c>
      <c r="AL23" s="82">
        <v>20</v>
      </c>
      <c r="AM23" s="77">
        <f t="shared" si="14"/>
        <v>1320</v>
      </c>
      <c r="AO23" s="54">
        <v>17</v>
      </c>
      <c r="AP23" s="82">
        <v>30</v>
      </c>
      <c r="AQ23" s="77">
        <f t="shared" si="15"/>
        <v>2080</v>
      </c>
      <c r="AS23" s="54">
        <v>17</v>
      </c>
      <c r="AT23" s="82">
        <v>50</v>
      </c>
      <c r="AU23" s="77">
        <f t="shared" si="16"/>
        <v>2450</v>
      </c>
      <c r="AW23" s="54">
        <v>17</v>
      </c>
      <c r="AX23" s="82">
        <v>60</v>
      </c>
      <c r="AY23" s="77">
        <f t="shared" si="17"/>
        <v>2660</v>
      </c>
      <c r="BA23" s="54">
        <v>17</v>
      </c>
      <c r="BB23" s="82">
        <v>80</v>
      </c>
      <c r="BC23" s="77">
        <f t="shared" si="18"/>
        <v>3480</v>
      </c>
      <c r="BD23" s="125"/>
    </row>
    <row r="24" spans="1:56">
      <c r="A24" s="54">
        <v>18</v>
      </c>
      <c r="B24" s="82">
        <v>20</v>
      </c>
      <c r="C24" s="78">
        <f t="shared" si="0"/>
        <v>1340</v>
      </c>
      <c r="E24" s="129">
        <f t="shared" si="9"/>
        <v>1.3</v>
      </c>
      <c r="F24" s="38">
        <f t="shared" si="1"/>
        <v>26</v>
      </c>
      <c r="G24" s="130">
        <f t="shared" si="2"/>
        <v>1842</v>
      </c>
      <c r="I24" s="129">
        <f t="shared" si="10"/>
        <v>1.6</v>
      </c>
      <c r="J24" s="38">
        <f t="shared" si="3"/>
        <v>32</v>
      </c>
      <c r="K24" s="127">
        <f t="shared" si="4"/>
        <v>2444</v>
      </c>
      <c r="M24" s="129">
        <f t="shared" si="11"/>
        <v>2</v>
      </c>
      <c r="N24" s="38">
        <f t="shared" si="5"/>
        <v>40</v>
      </c>
      <c r="O24" s="128">
        <f t="shared" si="6"/>
        <v>3180</v>
      </c>
      <c r="Q24" s="129">
        <f t="shared" si="12"/>
        <v>2.5</v>
      </c>
      <c r="R24" s="38">
        <f t="shared" si="7"/>
        <v>50</v>
      </c>
      <c r="S24" s="131">
        <f t="shared" si="8"/>
        <v>4050</v>
      </c>
      <c r="T24" s="131"/>
      <c r="U24" s="137" t="s">
        <v>2209</v>
      </c>
      <c r="V24" s="137" t="s">
        <v>2215</v>
      </c>
      <c r="W24" s="136" t="s">
        <v>2204</v>
      </c>
      <c r="X24" s="136" t="s">
        <v>2231</v>
      </c>
      <c r="Y24" s="136" t="s">
        <v>2223</v>
      </c>
      <c r="Z24" s="136" t="s">
        <v>2224</v>
      </c>
      <c r="AA24" s="131"/>
      <c r="AB24" s="131"/>
      <c r="AC24" s="131"/>
      <c r="AD24" s="131"/>
      <c r="AE24" s="131"/>
      <c r="AF24" s="133"/>
      <c r="AG24" s="54">
        <v>18</v>
      </c>
      <c r="AH24" s="82" t="s">
        <v>2106</v>
      </c>
      <c r="AI24" s="77">
        <f t="shared" si="13"/>
        <v>1336</v>
      </c>
      <c r="AK24" s="54">
        <v>18</v>
      </c>
      <c r="AL24" s="82">
        <v>20</v>
      </c>
      <c r="AM24" s="77">
        <f t="shared" si="14"/>
        <v>1340</v>
      </c>
      <c r="AO24" s="54">
        <v>18</v>
      </c>
      <c r="AP24" s="82">
        <v>30</v>
      </c>
      <c r="AQ24" s="77">
        <f t="shared" si="15"/>
        <v>2110</v>
      </c>
      <c r="AS24" s="54">
        <v>18</v>
      </c>
      <c r="AT24" s="82">
        <v>50</v>
      </c>
      <c r="AU24" s="77">
        <f t="shared" si="16"/>
        <v>2500</v>
      </c>
      <c r="AW24" s="54">
        <v>18</v>
      </c>
      <c r="AX24" s="82">
        <v>60</v>
      </c>
      <c r="AY24" s="77">
        <f t="shared" si="17"/>
        <v>2720</v>
      </c>
      <c r="BA24" s="54">
        <v>18</v>
      </c>
      <c r="BB24" s="82">
        <v>80</v>
      </c>
      <c r="BC24" s="77">
        <f t="shared" si="18"/>
        <v>3560</v>
      </c>
      <c r="BD24" s="125"/>
    </row>
    <row r="25" spans="1:56">
      <c r="A25" s="54">
        <v>19</v>
      </c>
      <c r="B25" s="82">
        <v>20</v>
      </c>
      <c r="C25" s="78">
        <f t="shared" si="0"/>
        <v>1360</v>
      </c>
      <c r="E25" s="129">
        <f t="shared" si="9"/>
        <v>1.3</v>
      </c>
      <c r="F25" s="38">
        <f t="shared" si="1"/>
        <v>26</v>
      </c>
      <c r="G25" s="130">
        <f t="shared" si="2"/>
        <v>1868</v>
      </c>
      <c r="I25" s="129">
        <f t="shared" si="10"/>
        <v>1.6</v>
      </c>
      <c r="J25" s="38">
        <f t="shared" si="3"/>
        <v>32</v>
      </c>
      <c r="K25" s="127">
        <f t="shared" si="4"/>
        <v>2476</v>
      </c>
      <c r="M25" s="129">
        <f t="shared" si="11"/>
        <v>2</v>
      </c>
      <c r="N25" s="38">
        <f t="shared" si="5"/>
        <v>40</v>
      </c>
      <c r="O25" s="128">
        <f t="shared" si="6"/>
        <v>3220</v>
      </c>
      <c r="Q25" s="129">
        <f t="shared" si="12"/>
        <v>2.5</v>
      </c>
      <c r="R25" s="38">
        <f t="shared" si="7"/>
        <v>50</v>
      </c>
      <c r="S25" s="131">
        <f t="shared" si="8"/>
        <v>4100</v>
      </c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3"/>
      <c r="AG25" s="54">
        <v>19</v>
      </c>
      <c r="AH25" s="82" t="s">
        <v>2106</v>
      </c>
      <c r="AI25" s="77">
        <f>AI24+AH25</f>
        <v>1344</v>
      </c>
      <c r="AK25" s="54">
        <v>19</v>
      </c>
      <c r="AL25" s="82">
        <v>20</v>
      </c>
      <c r="AM25" s="77">
        <f>AM24+AL25</f>
        <v>1360</v>
      </c>
      <c r="AO25" s="54">
        <v>19</v>
      </c>
      <c r="AP25" s="82">
        <v>30</v>
      </c>
      <c r="AQ25" s="77">
        <f>AQ24+AP25</f>
        <v>2140</v>
      </c>
      <c r="AS25" s="54">
        <v>19</v>
      </c>
      <c r="AT25" s="82">
        <v>50</v>
      </c>
      <c r="AU25" s="77">
        <f>AU24+AT25</f>
        <v>2550</v>
      </c>
      <c r="AW25" s="54">
        <v>19</v>
      </c>
      <c r="AX25" s="82">
        <v>60</v>
      </c>
      <c r="AY25" s="77">
        <f>AY24+AX25</f>
        <v>2780</v>
      </c>
      <c r="BA25" s="54">
        <v>19</v>
      </c>
      <c r="BB25" s="82">
        <v>80</v>
      </c>
      <c r="BC25" s="77">
        <f>BC24+BB25</f>
        <v>3640</v>
      </c>
      <c r="BD25" s="125"/>
    </row>
    <row r="26" spans="1:56">
      <c r="A26" s="54">
        <v>20</v>
      </c>
      <c r="B26" s="83">
        <v>200</v>
      </c>
      <c r="C26" s="78">
        <f t="shared" si="0"/>
        <v>1560</v>
      </c>
      <c r="E26" s="129">
        <f t="shared" si="9"/>
        <v>1.3</v>
      </c>
      <c r="F26" s="38">
        <f t="shared" si="1"/>
        <v>260</v>
      </c>
      <c r="G26" s="130">
        <f t="shared" si="2"/>
        <v>2128</v>
      </c>
      <c r="I26" s="129">
        <f t="shared" si="10"/>
        <v>1.6</v>
      </c>
      <c r="J26" s="38">
        <f t="shared" si="3"/>
        <v>320</v>
      </c>
      <c r="K26" s="127">
        <f t="shared" si="4"/>
        <v>2796</v>
      </c>
      <c r="M26" s="129">
        <f t="shared" si="11"/>
        <v>2</v>
      </c>
      <c r="N26" s="38">
        <f t="shared" si="5"/>
        <v>400</v>
      </c>
      <c r="O26" s="128">
        <f t="shared" si="6"/>
        <v>3620</v>
      </c>
      <c r="Q26" s="129">
        <f t="shared" si="12"/>
        <v>2.5</v>
      </c>
      <c r="R26" s="38">
        <f t="shared" si="7"/>
        <v>500</v>
      </c>
      <c r="S26" s="131">
        <f t="shared" si="8"/>
        <v>4600</v>
      </c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3"/>
      <c r="AG26" s="54">
        <v>20</v>
      </c>
      <c r="AH26" s="83">
        <v>150</v>
      </c>
      <c r="AI26" s="78">
        <f>AI25+AH26</f>
        <v>1494</v>
      </c>
      <c r="AK26" s="54">
        <v>20</v>
      </c>
      <c r="AL26" s="83">
        <v>200</v>
      </c>
      <c r="AM26" s="78">
        <f>AM25+AL26</f>
        <v>1560</v>
      </c>
      <c r="AO26" s="54">
        <v>20</v>
      </c>
      <c r="AP26" s="83">
        <v>300</v>
      </c>
      <c r="AQ26" s="78">
        <f>AQ25+AP26</f>
        <v>2440</v>
      </c>
      <c r="AS26" s="54">
        <v>20</v>
      </c>
      <c r="AT26" s="83">
        <v>500</v>
      </c>
      <c r="AU26" s="78">
        <f>AU25+AT26</f>
        <v>3050</v>
      </c>
      <c r="AW26" s="54">
        <v>20</v>
      </c>
      <c r="AX26" s="83">
        <v>600</v>
      </c>
      <c r="AY26" s="78">
        <f>AY25+AX26</f>
        <v>3380</v>
      </c>
      <c r="BA26" s="54">
        <v>20</v>
      </c>
      <c r="BB26" s="83">
        <v>800</v>
      </c>
      <c r="BC26" s="78">
        <f>BC25+BB26</f>
        <v>4440</v>
      </c>
      <c r="BD26" s="125"/>
    </row>
    <row r="27" spans="1:56">
      <c r="A27" s="54">
        <v>21</v>
      </c>
      <c r="B27" s="82">
        <v>30</v>
      </c>
      <c r="C27" s="78">
        <f t="shared" si="0"/>
        <v>1590</v>
      </c>
      <c r="E27" s="129">
        <f t="shared" si="9"/>
        <v>1.3</v>
      </c>
      <c r="F27" s="38">
        <f t="shared" si="1"/>
        <v>39</v>
      </c>
      <c r="G27" s="130">
        <f t="shared" si="2"/>
        <v>2167</v>
      </c>
      <c r="I27" s="129">
        <f t="shared" si="10"/>
        <v>1.6</v>
      </c>
      <c r="J27" s="38">
        <f t="shared" si="3"/>
        <v>48</v>
      </c>
      <c r="K27" s="127">
        <f t="shared" si="4"/>
        <v>2844</v>
      </c>
      <c r="M27" s="129">
        <f t="shared" si="11"/>
        <v>2</v>
      </c>
      <c r="N27" s="38">
        <f t="shared" si="5"/>
        <v>60</v>
      </c>
      <c r="O27" s="128">
        <f t="shared" si="6"/>
        <v>3680</v>
      </c>
      <c r="Q27" s="129">
        <f t="shared" si="12"/>
        <v>2.5</v>
      </c>
      <c r="R27" s="38">
        <f t="shared" si="7"/>
        <v>75</v>
      </c>
      <c r="S27" s="131">
        <f t="shared" si="8"/>
        <v>4675</v>
      </c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3"/>
      <c r="AG27" s="54">
        <v>21</v>
      </c>
      <c r="AH27" s="82">
        <v>12</v>
      </c>
      <c r="AI27" s="78">
        <f t="shared" ref="AI27:AI90" si="19">AI26+AH27</f>
        <v>1506</v>
      </c>
      <c r="AK27" s="54">
        <v>21</v>
      </c>
      <c r="AL27" s="82">
        <v>25</v>
      </c>
      <c r="AM27" s="78">
        <f t="shared" ref="AM27:AM90" si="20">AM26+AL27</f>
        <v>1585</v>
      </c>
      <c r="AO27" s="54">
        <v>21</v>
      </c>
      <c r="AP27" s="82">
        <v>35</v>
      </c>
      <c r="AQ27" s="78">
        <f t="shared" ref="AQ27:AQ90" si="21">AQ26+AP27</f>
        <v>2475</v>
      </c>
      <c r="AS27" s="54">
        <v>21</v>
      </c>
      <c r="AT27" s="82">
        <v>55</v>
      </c>
      <c r="AU27" s="78">
        <f t="shared" ref="AU27:AU90" si="22">AU26+AT27</f>
        <v>3105</v>
      </c>
      <c r="AW27" s="54">
        <v>21</v>
      </c>
      <c r="AX27" s="82">
        <v>65</v>
      </c>
      <c r="AY27" s="78">
        <f t="shared" ref="AY27:AY90" si="23">AY26+AX27</f>
        <v>3445</v>
      </c>
      <c r="BA27" s="54">
        <v>21</v>
      </c>
      <c r="BB27" s="82">
        <v>85</v>
      </c>
      <c r="BC27" s="78">
        <f t="shared" ref="BC27:BC90" si="24">BC26+BB27</f>
        <v>4525</v>
      </c>
      <c r="BD27" s="125"/>
    </row>
    <row r="28" spans="1:56">
      <c r="A28" s="54">
        <v>22</v>
      </c>
      <c r="B28" s="82">
        <v>30</v>
      </c>
      <c r="C28" s="78">
        <f t="shared" si="0"/>
        <v>1620</v>
      </c>
      <c r="E28" s="129">
        <f t="shared" si="9"/>
        <v>1.3</v>
      </c>
      <c r="F28" s="38">
        <f t="shared" si="1"/>
        <v>39</v>
      </c>
      <c r="G28" s="130">
        <f t="shared" si="2"/>
        <v>2206</v>
      </c>
      <c r="I28" s="129">
        <f t="shared" si="10"/>
        <v>1.6</v>
      </c>
      <c r="J28" s="38">
        <f t="shared" si="3"/>
        <v>48</v>
      </c>
      <c r="K28" s="127">
        <f t="shared" si="4"/>
        <v>2892</v>
      </c>
      <c r="M28" s="129">
        <f t="shared" si="11"/>
        <v>2</v>
      </c>
      <c r="N28" s="38">
        <f t="shared" si="5"/>
        <v>60</v>
      </c>
      <c r="O28" s="128">
        <f t="shared" si="6"/>
        <v>3740</v>
      </c>
      <c r="Q28" s="129">
        <f t="shared" si="12"/>
        <v>2.5</v>
      </c>
      <c r="R28" s="38">
        <f t="shared" si="7"/>
        <v>75</v>
      </c>
      <c r="S28" s="131">
        <f t="shared" si="8"/>
        <v>4750</v>
      </c>
      <c r="T28" s="131"/>
      <c r="U28" s="131" t="s">
        <v>2235</v>
      </c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3"/>
      <c r="AG28" s="54">
        <v>22</v>
      </c>
      <c r="AH28" s="82">
        <v>12</v>
      </c>
      <c r="AI28" s="78">
        <f t="shared" si="19"/>
        <v>1518</v>
      </c>
      <c r="AK28" s="54">
        <v>22</v>
      </c>
      <c r="AL28" s="82">
        <v>25</v>
      </c>
      <c r="AM28" s="78">
        <f t="shared" si="20"/>
        <v>1610</v>
      </c>
      <c r="AO28" s="54">
        <v>22</v>
      </c>
      <c r="AP28" s="82">
        <v>35</v>
      </c>
      <c r="AQ28" s="78">
        <f t="shared" si="21"/>
        <v>2510</v>
      </c>
      <c r="AS28" s="54">
        <v>22</v>
      </c>
      <c r="AT28" s="82">
        <v>55</v>
      </c>
      <c r="AU28" s="78">
        <f t="shared" si="22"/>
        <v>3160</v>
      </c>
      <c r="AW28" s="54">
        <v>22</v>
      </c>
      <c r="AX28" s="82">
        <v>65</v>
      </c>
      <c r="AY28" s="78">
        <f t="shared" si="23"/>
        <v>3510</v>
      </c>
      <c r="BA28" s="54">
        <v>22</v>
      </c>
      <c r="BB28" s="82">
        <v>85</v>
      </c>
      <c r="BC28" s="78">
        <f t="shared" si="24"/>
        <v>4610</v>
      </c>
      <c r="BD28" s="125"/>
    </row>
    <row r="29" spans="1:56">
      <c r="A29" s="54">
        <v>23</v>
      </c>
      <c r="B29" s="82">
        <v>30</v>
      </c>
      <c r="C29" s="78">
        <f t="shared" si="0"/>
        <v>1650</v>
      </c>
      <c r="E29" s="129">
        <f t="shared" si="9"/>
        <v>1.3</v>
      </c>
      <c r="F29" s="38">
        <f t="shared" si="1"/>
        <v>39</v>
      </c>
      <c r="G29" s="130">
        <f t="shared" si="2"/>
        <v>2245</v>
      </c>
      <c r="I29" s="129">
        <f t="shared" si="10"/>
        <v>1.6</v>
      </c>
      <c r="J29" s="38">
        <f t="shared" si="3"/>
        <v>48</v>
      </c>
      <c r="K29" s="127">
        <f t="shared" si="4"/>
        <v>2940</v>
      </c>
      <c r="M29" s="129">
        <f t="shared" si="11"/>
        <v>2</v>
      </c>
      <c r="N29" s="38">
        <f t="shared" si="5"/>
        <v>60</v>
      </c>
      <c r="O29" s="128">
        <f t="shared" si="6"/>
        <v>3800</v>
      </c>
      <c r="Q29" s="129">
        <f t="shared" si="12"/>
        <v>2.5</v>
      </c>
      <c r="R29" s="38">
        <f t="shared" si="7"/>
        <v>75</v>
      </c>
      <c r="S29" s="131">
        <f t="shared" si="8"/>
        <v>4825</v>
      </c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3"/>
      <c r="AG29" s="54">
        <v>23</v>
      </c>
      <c r="AH29" s="82">
        <v>12</v>
      </c>
      <c r="AI29" s="78">
        <f t="shared" si="19"/>
        <v>1530</v>
      </c>
      <c r="AK29" s="54">
        <v>23</v>
      </c>
      <c r="AL29" s="82">
        <v>25</v>
      </c>
      <c r="AM29" s="78">
        <f t="shared" si="20"/>
        <v>1635</v>
      </c>
      <c r="AO29" s="54">
        <v>23</v>
      </c>
      <c r="AP29" s="82">
        <v>35</v>
      </c>
      <c r="AQ29" s="78">
        <f t="shared" si="21"/>
        <v>2545</v>
      </c>
      <c r="AS29" s="54">
        <v>23</v>
      </c>
      <c r="AT29" s="82">
        <v>55</v>
      </c>
      <c r="AU29" s="78">
        <f t="shared" si="22"/>
        <v>3215</v>
      </c>
      <c r="AW29" s="54">
        <v>23</v>
      </c>
      <c r="AX29" s="82">
        <v>65</v>
      </c>
      <c r="AY29" s="78">
        <f t="shared" si="23"/>
        <v>3575</v>
      </c>
      <c r="BA29" s="54">
        <v>23</v>
      </c>
      <c r="BB29" s="82">
        <v>85</v>
      </c>
      <c r="BC29" s="78">
        <f t="shared" si="24"/>
        <v>4695</v>
      </c>
      <c r="BD29" s="125"/>
    </row>
    <row r="30" spans="1:56">
      <c r="A30" s="54">
        <v>24</v>
      </c>
      <c r="B30" s="82">
        <v>30</v>
      </c>
      <c r="C30" s="78">
        <f t="shared" si="0"/>
        <v>1680</v>
      </c>
      <c r="E30" s="129">
        <f t="shared" si="9"/>
        <v>1.3</v>
      </c>
      <c r="F30" s="38">
        <f t="shared" si="1"/>
        <v>39</v>
      </c>
      <c r="G30" s="130">
        <f t="shared" si="2"/>
        <v>2284</v>
      </c>
      <c r="I30" s="129">
        <f t="shared" si="10"/>
        <v>1.6</v>
      </c>
      <c r="J30" s="38">
        <f t="shared" si="3"/>
        <v>48</v>
      </c>
      <c r="K30" s="127">
        <f t="shared" si="4"/>
        <v>2988</v>
      </c>
      <c r="M30" s="129">
        <f t="shared" si="11"/>
        <v>2</v>
      </c>
      <c r="N30" s="38">
        <f t="shared" si="5"/>
        <v>60</v>
      </c>
      <c r="O30" s="128">
        <f t="shared" si="6"/>
        <v>3860</v>
      </c>
      <c r="Q30" s="129">
        <f t="shared" si="12"/>
        <v>2.5</v>
      </c>
      <c r="R30" s="38">
        <f t="shared" si="7"/>
        <v>75</v>
      </c>
      <c r="S30" s="131">
        <f t="shared" si="8"/>
        <v>4900</v>
      </c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3"/>
      <c r="AG30" s="54">
        <v>24</v>
      </c>
      <c r="AH30" s="82">
        <v>12</v>
      </c>
      <c r="AI30" s="78">
        <f t="shared" si="19"/>
        <v>1542</v>
      </c>
      <c r="AK30" s="54">
        <v>24</v>
      </c>
      <c r="AL30" s="82">
        <v>25</v>
      </c>
      <c r="AM30" s="78">
        <f t="shared" si="20"/>
        <v>1660</v>
      </c>
      <c r="AO30" s="54">
        <v>24</v>
      </c>
      <c r="AP30" s="82">
        <v>35</v>
      </c>
      <c r="AQ30" s="78">
        <f t="shared" si="21"/>
        <v>2580</v>
      </c>
      <c r="AS30" s="54">
        <v>24</v>
      </c>
      <c r="AT30" s="82">
        <v>55</v>
      </c>
      <c r="AU30" s="78">
        <f t="shared" si="22"/>
        <v>3270</v>
      </c>
      <c r="AW30" s="54">
        <v>24</v>
      </c>
      <c r="AX30" s="82">
        <v>65</v>
      </c>
      <c r="AY30" s="78">
        <f t="shared" si="23"/>
        <v>3640</v>
      </c>
      <c r="BA30" s="54">
        <v>24</v>
      </c>
      <c r="BB30" s="82">
        <v>85</v>
      </c>
      <c r="BC30" s="78">
        <f t="shared" si="24"/>
        <v>4780</v>
      </c>
      <c r="BD30" s="125"/>
    </row>
    <row r="31" spans="1:56">
      <c r="A31" s="54">
        <v>25</v>
      </c>
      <c r="B31" s="82">
        <v>30</v>
      </c>
      <c r="C31" s="78">
        <f t="shared" si="0"/>
        <v>1710</v>
      </c>
      <c r="E31" s="129">
        <f t="shared" si="9"/>
        <v>1.3</v>
      </c>
      <c r="F31" s="38">
        <f t="shared" si="1"/>
        <v>39</v>
      </c>
      <c r="G31" s="130">
        <f t="shared" si="2"/>
        <v>2323</v>
      </c>
      <c r="I31" s="129">
        <f t="shared" si="10"/>
        <v>1.6</v>
      </c>
      <c r="J31" s="38">
        <f t="shared" si="3"/>
        <v>48</v>
      </c>
      <c r="K31" s="127">
        <f t="shared" si="4"/>
        <v>3036</v>
      </c>
      <c r="M31" s="129">
        <f t="shared" si="11"/>
        <v>2</v>
      </c>
      <c r="N31" s="38">
        <f t="shared" si="5"/>
        <v>60</v>
      </c>
      <c r="O31" s="128">
        <f t="shared" si="6"/>
        <v>3920</v>
      </c>
      <c r="Q31" s="129">
        <f t="shared" si="12"/>
        <v>2.5</v>
      </c>
      <c r="R31" s="38">
        <f t="shared" si="7"/>
        <v>75</v>
      </c>
      <c r="S31" s="131">
        <f t="shared" si="8"/>
        <v>4975</v>
      </c>
      <c r="T31" s="131"/>
      <c r="U31" s="131" t="s">
        <v>2236</v>
      </c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3"/>
      <c r="AG31" s="54">
        <v>25</v>
      </c>
      <c r="AH31" s="82">
        <v>12</v>
      </c>
      <c r="AI31" s="78">
        <f t="shared" si="19"/>
        <v>1554</v>
      </c>
      <c r="AK31" s="54">
        <v>25</v>
      </c>
      <c r="AL31" s="82">
        <v>25</v>
      </c>
      <c r="AM31" s="78">
        <f t="shared" si="20"/>
        <v>1685</v>
      </c>
      <c r="AO31" s="54">
        <v>25</v>
      </c>
      <c r="AP31" s="82">
        <v>35</v>
      </c>
      <c r="AQ31" s="78">
        <f t="shared" si="21"/>
        <v>2615</v>
      </c>
      <c r="AS31" s="54">
        <v>25</v>
      </c>
      <c r="AT31" s="82">
        <v>55</v>
      </c>
      <c r="AU31" s="78">
        <f t="shared" si="22"/>
        <v>3325</v>
      </c>
      <c r="AW31" s="54">
        <v>25</v>
      </c>
      <c r="AX31" s="82">
        <v>65</v>
      </c>
      <c r="AY31" s="78">
        <f t="shared" si="23"/>
        <v>3705</v>
      </c>
      <c r="BA31" s="54">
        <v>25</v>
      </c>
      <c r="BB31" s="82">
        <v>85</v>
      </c>
      <c r="BC31" s="78">
        <f t="shared" si="24"/>
        <v>4865</v>
      </c>
      <c r="BD31" s="125"/>
    </row>
    <row r="32" spans="1:56">
      <c r="A32" s="54">
        <v>26</v>
      </c>
      <c r="B32" s="82">
        <v>30</v>
      </c>
      <c r="C32" s="78">
        <f t="shared" si="0"/>
        <v>1740</v>
      </c>
      <c r="E32" s="129">
        <f t="shared" si="9"/>
        <v>1.3</v>
      </c>
      <c r="F32" s="38">
        <f t="shared" si="1"/>
        <v>39</v>
      </c>
      <c r="G32" s="130">
        <f t="shared" si="2"/>
        <v>2362</v>
      </c>
      <c r="I32" s="129">
        <f t="shared" si="10"/>
        <v>1.6</v>
      </c>
      <c r="J32" s="38">
        <f t="shared" si="3"/>
        <v>48</v>
      </c>
      <c r="K32" s="127">
        <f t="shared" si="4"/>
        <v>3084</v>
      </c>
      <c r="M32" s="129">
        <f t="shared" si="11"/>
        <v>2</v>
      </c>
      <c r="N32" s="38">
        <f t="shared" si="5"/>
        <v>60</v>
      </c>
      <c r="O32" s="128">
        <f t="shared" si="6"/>
        <v>3980</v>
      </c>
      <c r="Q32" s="129">
        <f t="shared" si="12"/>
        <v>2.5</v>
      </c>
      <c r="R32" s="38">
        <f t="shared" si="7"/>
        <v>75</v>
      </c>
      <c r="S32" s="131">
        <f t="shared" si="8"/>
        <v>5050</v>
      </c>
      <c r="T32" s="131"/>
      <c r="U32" s="131" t="s">
        <v>2237</v>
      </c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3"/>
      <c r="AG32" s="54">
        <v>26</v>
      </c>
      <c r="AH32" s="82">
        <v>12</v>
      </c>
      <c r="AI32" s="78">
        <f t="shared" si="19"/>
        <v>1566</v>
      </c>
      <c r="AK32" s="54">
        <v>26</v>
      </c>
      <c r="AL32" s="82">
        <v>25</v>
      </c>
      <c r="AM32" s="78">
        <f t="shared" si="20"/>
        <v>1710</v>
      </c>
      <c r="AO32" s="54">
        <v>26</v>
      </c>
      <c r="AP32" s="82">
        <v>35</v>
      </c>
      <c r="AQ32" s="78">
        <f t="shared" si="21"/>
        <v>2650</v>
      </c>
      <c r="AS32" s="54">
        <v>26</v>
      </c>
      <c r="AT32" s="82">
        <v>55</v>
      </c>
      <c r="AU32" s="78">
        <f t="shared" si="22"/>
        <v>3380</v>
      </c>
      <c r="AW32" s="54">
        <v>26</v>
      </c>
      <c r="AX32" s="82">
        <v>65</v>
      </c>
      <c r="AY32" s="78">
        <f t="shared" si="23"/>
        <v>3770</v>
      </c>
      <c r="BA32" s="54">
        <v>26</v>
      </c>
      <c r="BB32" s="82">
        <v>85</v>
      </c>
      <c r="BC32" s="78">
        <f t="shared" si="24"/>
        <v>4950</v>
      </c>
      <c r="BD32" s="125"/>
    </row>
    <row r="33" spans="1:56">
      <c r="A33" s="54">
        <v>27</v>
      </c>
      <c r="B33" s="82">
        <v>30</v>
      </c>
      <c r="C33" s="78">
        <f t="shared" si="0"/>
        <v>1770</v>
      </c>
      <c r="E33" s="129">
        <f t="shared" si="9"/>
        <v>1.3</v>
      </c>
      <c r="F33" s="38">
        <f t="shared" si="1"/>
        <v>39</v>
      </c>
      <c r="G33" s="130">
        <f t="shared" si="2"/>
        <v>2401</v>
      </c>
      <c r="I33" s="129">
        <f t="shared" si="10"/>
        <v>1.6</v>
      </c>
      <c r="J33" s="38">
        <f t="shared" si="3"/>
        <v>48</v>
      </c>
      <c r="K33" s="127">
        <f t="shared" si="4"/>
        <v>3132</v>
      </c>
      <c r="M33" s="129">
        <f t="shared" si="11"/>
        <v>2</v>
      </c>
      <c r="N33" s="38">
        <f t="shared" si="5"/>
        <v>60</v>
      </c>
      <c r="O33" s="128">
        <f t="shared" si="6"/>
        <v>4040</v>
      </c>
      <c r="Q33" s="129">
        <f t="shared" si="12"/>
        <v>2.5</v>
      </c>
      <c r="R33" s="38">
        <f t="shared" si="7"/>
        <v>75</v>
      </c>
      <c r="S33" s="131">
        <f t="shared" si="8"/>
        <v>5125</v>
      </c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3"/>
      <c r="AG33" s="54">
        <v>27</v>
      </c>
      <c r="AH33" s="82">
        <v>12</v>
      </c>
      <c r="AI33" s="78">
        <f t="shared" si="19"/>
        <v>1578</v>
      </c>
      <c r="AK33" s="54">
        <v>27</v>
      </c>
      <c r="AL33" s="82">
        <v>25</v>
      </c>
      <c r="AM33" s="78">
        <f t="shared" si="20"/>
        <v>1735</v>
      </c>
      <c r="AO33" s="54">
        <v>27</v>
      </c>
      <c r="AP33" s="82">
        <v>35</v>
      </c>
      <c r="AQ33" s="78">
        <f t="shared" si="21"/>
        <v>2685</v>
      </c>
      <c r="AS33" s="54">
        <v>27</v>
      </c>
      <c r="AT33" s="82">
        <v>55</v>
      </c>
      <c r="AU33" s="78">
        <f t="shared" si="22"/>
        <v>3435</v>
      </c>
      <c r="AW33" s="54">
        <v>27</v>
      </c>
      <c r="AX33" s="82">
        <v>65</v>
      </c>
      <c r="AY33" s="78">
        <f t="shared" si="23"/>
        <v>3835</v>
      </c>
      <c r="BA33" s="54">
        <v>27</v>
      </c>
      <c r="BB33" s="82">
        <v>85</v>
      </c>
      <c r="BC33" s="78">
        <f t="shared" si="24"/>
        <v>5035</v>
      </c>
      <c r="BD33" s="125"/>
    </row>
    <row r="34" spans="1:56">
      <c r="A34" s="54">
        <v>28</v>
      </c>
      <c r="B34" s="82">
        <v>30</v>
      </c>
      <c r="C34" s="78">
        <f t="shared" si="0"/>
        <v>1800</v>
      </c>
      <c r="E34" s="129">
        <f t="shared" si="9"/>
        <v>1.3</v>
      </c>
      <c r="F34" s="38">
        <f t="shared" si="1"/>
        <v>39</v>
      </c>
      <c r="G34" s="130">
        <f t="shared" si="2"/>
        <v>2440</v>
      </c>
      <c r="I34" s="129">
        <f t="shared" si="10"/>
        <v>1.6</v>
      </c>
      <c r="J34" s="38">
        <f t="shared" si="3"/>
        <v>48</v>
      </c>
      <c r="K34" s="127">
        <f t="shared" si="4"/>
        <v>3180</v>
      </c>
      <c r="M34" s="129">
        <f t="shared" si="11"/>
        <v>2</v>
      </c>
      <c r="N34" s="38">
        <f t="shared" si="5"/>
        <v>60</v>
      </c>
      <c r="O34" s="128">
        <f t="shared" si="6"/>
        <v>4100</v>
      </c>
      <c r="Q34" s="129">
        <f t="shared" si="12"/>
        <v>2.5</v>
      </c>
      <c r="R34" s="38">
        <f t="shared" si="7"/>
        <v>75</v>
      </c>
      <c r="S34" s="131">
        <f t="shared" si="8"/>
        <v>5200</v>
      </c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3"/>
      <c r="AG34" s="54">
        <v>28</v>
      </c>
      <c r="AH34" s="82">
        <v>12</v>
      </c>
      <c r="AI34" s="78">
        <f t="shared" si="19"/>
        <v>1590</v>
      </c>
      <c r="AK34" s="54">
        <v>28</v>
      </c>
      <c r="AL34" s="82">
        <v>25</v>
      </c>
      <c r="AM34" s="78">
        <f t="shared" si="20"/>
        <v>1760</v>
      </c>
      <c r="AO34" s="54">
        <v>28</v>
      </c>
      <c r="AP34" s="82">
        <v>35</v>
      </c>
      <c r="AQ34" s="78">
        <f t="shared" si="21"/>
        <v>2720</v>
      </c>
      <c r="AS34" s="54">
        <v>28</v>
      </c>
      <c r="AT34" s="82">
        <v>55</v>
      </c>
      <c r="AU34" s="78">
        <f t="shared" si="22"/>
        <v>3490</v>
      </c>
      <c r="AW34" s="54">
        <v>28</v>
      </c>
      <c r="AX34" s="82">
        <v>65</v>
      </c>
      <c r="AY34" s="78">
        <f t="shared" si="23"/>
        <v>3900</v>
      </c>
      <c r="BA34" s="54">
        <v>28</v>
      </c>
      <c r="BB34" s="82">
        <v>85</v>
      </c>
      <c r="BC34" s="78">
        <f t="shared" si="24"/>
        <v>5120</v>
      </c>
      <c r="BD34" s="125"/>
    </row>
    <row r="35" spans="1:56">
      <c r="A35" s="54">
        <v>29</v>
      </c>
      <c r="B35" s="82">
        <v>30</v>
      </c>
      <c r="C35" s="78">
        <f t="shared" si="0"/>
        <v>1830</v>
      </c>
      <c r="E35" s="129">
        <f t="shared" si="9"/>
        <v>1.3</v>
      </c>
      <c r="F35" s="38">
        <f t="shared" si="1"/>
        <v>39</v>
      </c>
      <c r="G35" s="130">
        <f t="shared" si="2"/>
        <v>2479</v>
      </c>
      <c r="I35" s="129">
        <f t="shared" si="10"/>
        <v>1.6</v>
      </c>
      <c r="J35" s="38">
        <f t="shared" si="3"/>
        <v>48</v>
      </c>
      <c r="K35" s="127">
        <f t="shared" si="4"/>
        <v>3228</v>
      </c>
      <c r="M35" s="129">
        <f t="shared" si="11"/>
        <v>2</v>
      </c>
      <c r="N35" s="38">
        <f t="shared" si="5"/>
        <v>60</v>
      </c>
      <c r="O35" s="128">
        <f t="shared" si="6"/>
        <v>4160</v>
      </c>
      <c r="Q35" s="129">
        <f t="shared" si="12"/>
        <v>2.5</v>
      </c>
      <c r="R35" s="38">
        <f t="shared" si="7"/>
        <v>75</v>
      </c>
      <c r="S35" s="131">
        <f t="shared" si="8"/>
        <v>5275</v>
      </c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3"/>
      <c r="AG35" s="54">
        <v>29</v>
      </c>
      <c r="AH35" s="82">
        <v>12</v>
      </c>
      <c r="AI35" s="78">
        <f t="shared" si="19"/>
        <v>1602</v>
      </c>
      <c r="AK35" s="54">
        <v>29</v>
      </c>
      <c r="AL35" s="82">
        <v>25</v>
      </c>
      <c r="AM35" s="78">
        <f t="shared" si="20"/>
        <v>1785</v>
      </c>
      <c r="AO35" s="54">
        <v>29</v>
      </c>
      <c r="AP35" s="82">
        <v>35</v>
      </c>
      <c r="AQ35" s="78">
        <f t="shared" si="21"/>
        <v>2755</v>
      </c>
      <c r="AS35" s="54">
        <v>29</v>
      </c>
      <c r="AT35" s="82">
        <v>55</v>
      </c>
      <c r="AU35" s="78">
        <f t="shared" si="22"/>
        <v>3545</v>
      </c>
      <c r="AW35" s="54">
        <v>29</v>
      </c>
      <c r="AX35" s="82">
        <v>65</v>
      </c>
      <c r="AY35" s="78">
        <f t="shared" si="23"/>
        <v>3965</v>
      </c>
      <c r="BA35" s="54">
        <v>29</v>
      </c>
      <c r="BB35" s="82">
        <v>85</v>
      </c>
      <c r="BC35" s="78">
        <f t="shared" si="24"/>
        <v>5205</v>
      </c>
      <c r="BD35" s="125"/>
    </row>
    <row r="36" spans="1:56">
      <c r="A36" s="54">
        <v>30</v>
      </c>
      <c r="B36" s="82">
        <v>30</v>
      </c>
      <c r="C36" s="78">
        <f t="shared" si="0"/>
        <v>1860</v>
      </c>
      <c r="E36" s="129">
        <f t="shared" si="9"/>
        <v>1.3</v>
      </c>
      <c r="F36" s="38">
        <f t="shared" si="1"/>
        <v>39</v>
      </c>
      <c r="G36" s="130">
        <f t="shared" si="2"/>
        <v>2518</v>
      </c>
      <c r="I36" s="129">
        <f t="shared" si="10"/>
        <v>1.6</v>
      </c>
      <c r="J36" s="38">
        <f t="shared" si="3"/>
        <v>48</v>
      </c>
      <c r="K36" s="127">
        <f t="shared" si="4"/>
        <v>3276</v>
      </c>
      <c r="M36" s="129">
        <f t="shared" si="11"/>
        <v>2</v>
      </c>
      <c r="N36" s="38">
        <f t="shared" si="5"/>
        <v>60</v>
      </c>
      <c r="O36" s="128">
        <f t="shared" si="6"/>
        <v>4220</v>
      </c>
      <c r="Q36" s="129">
        <f t="shared" si="12"/>
        <v>2.5</v>
      </c>
      <c r="R36" s="38">
        <f t="shared" si="7"/>
        <v>75</v>
      </c>
      <c r="S36" s="131">
        <f t="shared" si="8"/>
        <v>5350</v>
      </c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3"/>
      <c r="AG36" s="54">
        <v>30</v>
      </c>
      <c r="AH36" s="82">
        <v>16</v>
      </c>
      <c r="AI36" s="78">
        <f t="shared" si="19"/>
        <v>1618</v>
      </c>
      <c r="AK36" s="54">
        <v>30</v>
      </c>
      <c r="AL36" s="82">
        <v>25</v>
      </c>
      <c r="AM36" s="78">
        <f t="shared" si="20"/>
        <v>1810</v>
      </c>
      <c r="AO36" s="54">
        <v>30</v>
      </c>
      <c r="AP36" s="82">
        <v>35</v>
      </c>
      <c r="AQ36" s="78">
        <f t="shared" si="21"/>
        <v>2790</v>
      </c>
      <c r="AS36" s="54">
        <v>30</v>
      </c>
      <c r="AT36" s="82">
        <v>55</v>
      </c>
      <c r="AU36" s="78">
        <f t="shared" si="22"/>
        <v>3600</v>
      </c>
      <c r="AW36" s="54">
        <v>30</v>
      </c>
      <c r="AX36" s="82">
        <v>65</v>
      </c>
      <c r="AY36" s="78">
        <f t="shared" si="23"/>
        <v>4030</v>
      </c>
      <c r="BA36" s="54">
        <v>30</v>
      </c>
      <c r="BB36" s="82">
        <v>85</v>
      </c>
      <c r="BC36" s="78">
        <f t="shared" si="24"/>
        <v>5290</v>
      </c>
      <c r="BD36" s="125"/>
    </row>
    <row r="37" spans="1:56">
      <c r="A37" s="54">
        <v>31</v>
      </c>
      <c r="B37" s="82">
        <v>30</v>
      </c>
      <c r="C37" s="78">
        <f t="shared" si="0"/>
        <v>1890</v>
      </c>
      <c r="E37" s="129">
        <f t="shared" si="9"/>
        <v>1.3</v>
      </c>
      <c r="F37" s="38">
        <f t="shared" si="1"/>
        <v>39</v>
      </c>
      <c r="G37" s="130">
        <f t="shared" si="2"/>
        <v>2557</v>
      </c>
      <c r="I37" s="129">
        <f t="shared" si="10"/>
        <v>1.6</v>
      </c>
      <c r="J37" s="38">
        <f t="shared" si="3"/>
        <v>48</v>
      </c>
      <c r="K37" s="127">
        <f t="shared" si="4"/>
        <v>3324</v>
      </c>
      <c r="M37" s="129">
        <f t="shared" si="11"/>
        <v>2</v>
      </c>
      <c r="N37" s="38">
        <f t="shared" si="5"/>
        <v>60</v>
      </c>
      <c r="O37" s="128">
        <f t="shared" si="6"/>
        <v>4280</v>
      </c>
      <c r="Q37" s="129">
        <f t="shared" si="12"/>
        <v>2.5</v>
      </c>
      <c r="R37" s="38">
        <f t="shared" si="7"/>
        <v>75</v>
      </c>
      <c r="S37" s="131">
        <f t="shared" si="8"/>
        <v>5425</v>
      </c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3"/>
      <c r="AG37" s="54">
        <v>31</v>
      </c>
      <c r="AH37" s="82">
        <v>16</v>
      </c>
      <c r="AI37" s="78">
        <f t="shared" si="19"/>
        <v>1634</v>
      </c>
      <c r="AK37" s="54">
        <v>31</v>
      </c>
      <c r="AL37" s="82">
        <v>25</v>
      </c>
      <c r="AM37" s="78">
        <f t="shared" si="20"/>
        <v>1835</v>
      </c>
      <c r="AO37" s="54">
        <v>31</v>
      </c>
      <c r="AP37" s="82">
        <v>35</v>
      </c>
      <c r="AQ37" s="78">
        <f t="shared" si="21"/>
        <v>2825</v>
      </c>
      <c r="AS37" s="54">
        <v>31</v>
      </c>
      <c r="AT37" s="82">
        <v>55</v>
      </c>
      <c r="AU37" s="78">
        <f t="shared" si="22"/>
        <v>3655</v>
      </c>
      <c r="AW37" s="54">
        <v>31</v>
      </c>
      <c r="AX37" s="82">
        <v>65</v>
      </c>
      <c r="AY37" s="78">
        <f t="shared" si="23"/>
        <v>4095</v>
      </c>
      <c r="BA37" s="54">
        <v>31</v>
      </c>
      <c r="BB37" s="82">
        <v>85</v>
      </c>
      <c r="BC37" s="78">
        <f t="shared" si="24"/>
        <v>5375</v>
      </c>
      <c r="BD37" s="125"/>
    </row>
    <row r="38" spans="1:56">
      <c r="A38" s="54">
        <v>32</v>
      </c>
      <c r="B38" s="82">
        <v>30</v>
      </c>
      <c r="C38" s="78">
        <f t="shared" si="0"/>
        <v>1920</v>
      </c>
      <c r="E38" s="129">
        <f t="shared" si="9"/>
        <v>1.3</v>
      </c>
      <c r="F38" s="38">
        <f t="shared" si="1"/>
        <v>39</v>
      </c>
      <c r="G38" s="130">
        <f t="shared" si="2"/>
        <v>2596</v>
      </c>
      <c r="I38" s="129">
        <f t="shared" si="10"/>
        <v>1.6</v>
      </c>
      <c r="J38" s="38">
        <f t="shared" si="3"/>
        <v>48</v>
      </c>
      <c r="K38" s="127">
        <f t="shared" si="4"/>
        <v>3372</v>
      </c>
      <c r="M38" s="129">
        <f t="shared" si="11"/>
        <v>2</v>
      </c>
      <c r="N38" s="38">
        <f t="shared" si="5"/>
        <v>60</v>
      </c>
      <c r="O38" s="128">
        <f t="shared" si="6"/>
        <v>4340</v>
      </c>
      <c r="Q38" s="129">
        <f t="shared" si="12"/>
        <v>2.5</v>
      </c>
      <c r="R38" s="38">
        <f t="shared" si="7"/>
        <v>75</v>
      </c>
      <c r="S38" s="131">
        <f t="shared" si="8"/>
        <v>5500</v>
      </c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3"/>
      <c r="AG38" s="54">
        <v>32</v>
      </c>
      <c r="AH38" s="82">
        <v>16</v>
      </c>
      <c r="AI38" s="78">
        <f t="shared" si="19"/>
        <v>1650</v>
      </c>
      <c r="AK38" s="54">
        <v>32</v>
      </c>
      <c r="AL38" s="82">
        <v>25</v>
      </c>
      <c r="AM38" s="78">
        <f t="shared" si="20"/>
        <v>1860</v>
      </c>
      <c r="AO38" s="54">
        <v>32</v>
      </c>
      <c r="AP38" s="82">
        <v>35</v>
      </c>
      <c r="AQ38" s="78">
        <f t="shared" si="21"/>
        <v>2860</v>
      </c>
      <c r="AS38" s="54">
        <v>32</v>
      </c>
      <c r="AT38" s="82">
        <v>55</v>
      </c>
      <c r="AU38" s="78">
        <f t="shared" si="22"/>
        <v>3710</v>
      </c>
      <c r="AW38" s="54">
        <v>32</v>
      </c>
      <c r="AX38" s="82">
        <v>65</v>
      </c>
      <c r="AY38" s="78">
        <f t="shared" si="23"/>
        <v>4160</v>
      </c>
      <c r="BA38" s="54">
        <v>32</v>
      </c>
      <c r="BB38" s="82">
        <v>85</v>
      </c>
      <c r="BC38" s="78">
        <f t="shared" si="24"/>
        <v>5460</v>
      </c>
      <c r="BD38" s="125"/>
    </row>
    <row r="39" spans="1:56">
      <c r="A39" s="54">
        <v>33</v>
      </c>
      <c r="B39" s="82">
        <v>30</v>
      </c>
      <c r="C39" s="78">
        <f t="shared" si="0"/>
        <v>1950</v>
      </c>
      <c r="E39" s="129">
        <f t="shared" si="9"/>
        <v>1.3</v>
      </c>
      <c r="F39" s="38">
        <f t="shared" si="1"/>
        <v>39</v>
      </c>
      <c r="G39" s="130">
        <f t="shared" si="2"/>
        <v>2635</v>
      </c>
      <c r="I39" s="129">
        <f t="shared" si="10"/>
        <v>1.6</v>
      </c>
      <c r="J39" s="38">
        <f t="shared" si="3"/>
        <v>48</v>
      </c>
      <c r="K39" s="127">
        <f t="shared" si="4"/>
        <v>3420</v>
      </c>
      <c r="M39" s="129">
        <f t="shared" si="11"/>
        <v>2</v>
      </c>
      <c r="N39" s="38">
        <f t="shared" si="5"/>
        <v>60</v>
      </c>
      <c r="O39" s="128">
        <f t="shared" si="6"/>
        <v>4400</v>
      </c>
      <c r="Q39" s="129">
        <f t="shared" si="12"/>
        <v>2.5</v>
      </c>
      <c r="R39" s="38">
        <f t="shared" si="7"/>
        <v>75</v>
      </c>
      <c r="S39" s="131">
        <f t="shared" si="8"/>
        <v>5575</v>
      </c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3"/>
      <c r="AG39" s="54">
        <v>33</v>
      </c>
      <c r="AH39" s="82">
        <v>16</v>
      </c>
      <c r="AI39" s="78">
        <f t="shared" si="19"/>
        <v>1666</v>
      </c>
      <c r="AK39" s="54">
        <v>33</v>
      </c>
      <c r="AL39" s="82">
        <v>25</v>
      </c>
      <c r="AM39" s="78">
        <f t="shared" si="20"/>
        <v>1885</v>
      </c>
      <c r="AO39" s="54">
        <v>33</v>
      </c>
      <c r="AP39" s="82">
        <v>35</v>
      </c>
      <c r="AQ39" s="78">
        <f t="shared" si="21"/>
        <v>2895</v>
      </c>
      <c r="AS39" s="54">
        <v>33</v>
      </c>
      <c r="AT39" s="82">
        <v>55</v>
      </c>
      <c r="AU39" s="78">
        <f t="shared" si="22"/>
        <v>3765</v>
      </c>
      <c r="AW39" s="54">
        <v>33</v>
      </c>
      <c r="AX39" s="82">
        <v>65</v>
      </c>
      <c r="AY39" s="78">
        <f t="shared" si="23"/>
        <v>4225</v>
      </c>
      <c r="BA39" s="54">
        <v>33</v>
      </c>
      <c r="BB39" s="82">
        <v>85</v>
      </c>
      <c r="BC39" s="78">
        <f t="shared" si="24"/>
        <v>5545</v>
      </c>
      <c r="BD39" s="125"/>
    </row>
    <row r="40" spans="1:56">
      <c r="A40" s="54">
        <v>34</v>
      </c>
      <c r="B40" s="82">
        <v>30</v>
      </c>
      <c r="C40" s="78">
        <f t="shared" ref="C40:C71" si="25">C39+B40</f>
        <v>1980</v>
      </c>
      <c r="E40" s="129">
        <f t="shared" si="9"/>
        <v>1.3</v>
      </c>
      <c r="F40" s="38">
        <f t="shared" si="1"/>
        <v>39</v>
      </c>
      <c r="G40" s="130">
        <f t="shared" si="2"/>
        <v>2674</v>
      </c>
      <c r="I40" s="129">
        <f t="shared" si="10"/>
        <v>1.6</v>
      </c>
      <c r="J40" s="38">
        <f t="shared" si="3"/>
        <v>48</v>
      </c>
      <c r="K40" s="127">
        <f t="shared" si="4"/>
        <v>3468</v>
      </c>
      <c r="M40" s="129">
        <f t="shared" si="11"/>
        <v>2</v>
      </c>
      <c r="N40" s="38">
        <f t="shared" si="5"/>
        <v>60</v>
      </c>
      <c r="O40" s="128">
        <f t="shared" si="6"/>
        <v>4460</v>
      </c>
      <c r="Q40" s="129">
        <f t="shared" si="12"/>
        <v>2.5</v>
      </c>
      <c r="R40" s="38">
        <f t="shared" si="7"/>
        <v>75</v>
      </c>
      <c r="S40" s="131">
        <f t="shared" si="8"/>
        <v>5650</v>
      </c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3"/>
      <c r="AG40" s="54">
        <v>34</v>
      </c>
      <c r="AH40" s="82">
        <v>16</v>
      </c>
      <c r="AI40" s="78">
        <f t="shared" si="19"/>
        <v>1682</v>
      </c>
      <c r="AK40" s="54">
        <v>34</v>
      </c>
      <c r="AL40" s="82">
        <v>25</v>
      </c>
      <c r="AM40" s="78">
        <f t="shared" si="20"/>
        <v>1910</v>
      </c>
      <c r="AO40" s="54">
        <v>34</v>
      </c>
      <c r="AP40" s="82">
        <v>35</v>
      </c>
      <c r="AQ40" s="78">
        <f t="shared" si="21"/>
        <v>2930</v>
      </c>
      <c r="AS40" s="54">
        <v>34</v>
      </c>
      <c r="AT40" s="82">
        <v>55</v>
      </c>
      <c r="AU40" s="78">
        <f t="shared" si="22"/>
        <v>3820</v>
      </c>
      <c r="AW40" s="54">
        <v>34</v>
      </c>
      <c r="AX40" s="82">
        <v>65</v>
      </c>
      <c r="AY40" s="78">
        <f t="shared" si="23"/>
        <v>4290</v>
      </c>
      <c r="BA40" s="54">
        <v>34</v>
      </c>
      <c r="BB40" s="82">
        <v>85</v>
      </c>
      <c r="BC40" s="78">
        <f t="shared" si="24"/>
        <v>5630</v>
      </c>
      <c r="BD40" s="125"/>
    </row>
    <row r="41" spans="1:56">
      <c r="A41" s="54">
        <v>35</v>
      </c>
      <c r="B41" s="82">
        <v>30</v>
      </c>
      <c r="C41" s="78">
        <f t="shared" si="25"/>
        <v>2010</v>
      </c>
      <c r="E41" s="129">
        <f t="shared" si="9"/>
        <v>1.3</v>
      </c>
      <c r="F41" s="38">
        <f t="shared" si="1"/>
        <v>39</v>
      </c>
      <c r="G41" s="130">
        <f t="shared" si="2"/>
        <v>2713</v>
      </c>
      <c r="I41" s="129">
        <f t="shared" si="10"/>
        <v>1.6</v>
      </c>
      <c r="J41" s="38">
        <f t="shared" si="3"/>
        <v>48</v>
      </c>
      <c r="K41" s="127">
        <f t="shared" si="4"/>
        <v>3516</v>
      </c>
      <c r="M41" s="129">
        <f t="shared" si="11"/>
        <v>2</v>
      </c>
      <c r="N41" s="38">
        <f t="shared" si="5"/>
        <v>60</v>
      </c>
      <c r="O41" s="128">
        <f t="shared" si="6"/>
        <v>4520</v>
      </c>
      <c r="Q41" s="129">
        <f t="shared" si="12"/>
        <v>2.5</v>
      </c>
      <c r="R41" s="38">
        <f t="shared" si="7"/>
        <v>75</v>
      </c>
      <c r="S41" s="131">
        <f t="shared" si="8"/>
        <v>5725</v>
      </c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3"/>
      <c r="AG41" s="54">
        <v>35</v>
      </c>
      <c r="AH41" s="82">
        <v>16</v>
      </c>
      <c r="AI41" s="78">
        <f t="shared" si="19"/>
        <v>1698</v>
      </c>
      <c r="AK41" s="54">
        <v>35</v>
      </c>
      <c r="AL41" s="82">
        <v>25</v>
      </c>
      <c r="AM41" s="78">
        <f t="shared" si="20"/>
        <v>1935</v>
      </c>
      <c r="AO41" s="54">
        <v>35</v>
      </c>
      <c r="AP41" s="82">
        <v>35</v>
      </c>
      <c r="AQ41" s="78">
        <f t="shared" si="21"/>
        <v>2965</v>
      </c>
      <c r="AS41" s="54">
        <v>35</v>
      </c>
      <c r="AT41" s="82">
        <v>55</v>
      </c>
      <c r="AU41" s="78">
        <f t="shared" si="22"/>
        <v>3875</v>
      </c>
      <c r="AW41" s="54">
        <v>35</v>
      </c>
      <c r="AX41" s="82">
        <v>65</v>
      </c>
      <c r="AY41" s="78">
        <f t="shared" si="23"/>
        <v>4355</v>
      </c>
      <c r="BA41" s="54">
        <v>35</v>
      </c>
      <c r="BB41" s="82">
        <v>85</v>
      </c>
      <c r="BC41" s="78">
        <f t="shared" si="24"/>
        <v>5715</v>
      </c>
      <c r="BD41" s="125"/>
    </row>
    <row r="42" spans="1:56">
      <c r="A42" s="54">
        <v>36</v>
      </c>
      <c r="B42" s="82">
        <v>30</v>
      </c>
      <c r="C42" s="78">
        <f t="shared" si="25"/>
        <v>2040</v>
      </c>
      <c r="E42" s="129">
        <f t="shared" si="9"/>
        <v>1.3</v>
      </c>
      <c r="F42" s="38">
        <f t="shared" si="1"/>
        <v>39</v>
      </c>
      <c r="G42" s="130">
        <f t="shared" si="2"/>
        <v>2752</v>
      </c>
      <c r="I42" s="129">
        <f t="shared" si="10"/>
        <v>1.6</v>
      </c>
      <c r="J42" s="38">
        <f t="shared" si="3"/>
        <v>48</v>
      </c>
      <c r="K42" s="127">
        <f t="shared" si="4"/>
        <v>3564</v>
      </c>
      <c r="M42" s="129">
        <f t="shared" si="11"/>
        <v>2</v>
      </c>
      <c r="N42" s="38">
        <f t="shared" si="5"/>
        <v>60</v>
      </c>
      <c r="O42" s="128">
        <f t="shared" si="6"/>
        <v>4580</v>
      </c>
      <c r="Q42" s="129">
        <f t="shared" si="12"/>
        <v>2.5</v>
      </c>
      <c r="R42" s="38">
        <f t="shared" si="7"/>
        <v>75</v>
      </c>
      <c r="S42" s="131">
        <f t="shared" si="8"/>
        <v>5800</v>
      </c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3"/>
      <c r="AG42" s="54">
        <v>36</v>
      </c>
      <c r="AH42" s="82">
        <v>16</v>
      </c>
      <c r="AI42" s="78">
        <f t="shared" si="19"/>
        <v>1714</v>
      </c>
      <c r="AK42" s="54">
        <v>36</v>
      </c>
      <c r="AL42" s="82">
        <v>25</v>
      </c>
      <c r="AM42" s="78">
        <f t="shared" si="20"/>
        <v>1960</v>
      </c>
      <c r="AO42" s="54">
        <v>36</v>
      </c>
      <c r="AP42" s="82">
        <v>35</v>
      </c>
      <c r="AQ42" s="78">
        <f t="shared" si="21"/>
        <v>3000</v>
      </c>
      <c r="AS42" s="54">
        <v>36</v>
      </c>
      <c r="AT42" s="82">
        <v>55</v>
      </c>
      <c r="AU42" s="78">
        <f t="shared" si="22"/>
        <v>3930</v>
      </c>
      <c r="AW42" s="54">
        <v>36</v>
      </c>
      <c r="AX42" s="82">
        <v>65</v>
      </c>
      <c r="AY42" s="78">
        <f t="shared" si="23"/>
        <v>4420</v>
      </c>
      <c r="BA42" s="54">
        <v>36</v>
      </c>
      <c r="BB42" s="82">
        <v>85</v>
      </c>
      <c r="BC42" s="78">
        <f t="shared" si="24"/>
        <v>5800</v>
      </c>
      <c r="BD42" s="125"/>
    </row>
    <row r="43" spans="1:56">
      <c r="A43" s="54">
        <v>37</v>
      </c>
      <c r="B43" s="82">
        <v>30</v>
      </c>
      <c r="C43" s="78">
        <f t="shared" si="25"/>
        <v>2070</v>
      </c>
      <c r="E43" s="129">
        <f t="shared" si="9"/>
        <v>1.3</v>
      </c>
      <c r="F43" s="38">
        <f t="shared" si="1"/>
        <v>39</v>
      </c>
      <c r="G43" s="130">
        <f t="shared" si="2"/>
        <v>2791</v>
      </c>
      <c r="I43" s="129">
        <f t="shared" si="10"/>
        <v>1.6</v>
      </c>
      <c r="J43" s="38">
        <f t="shared" si="3"/>
        <v>48</v>
      </c>
      <c r="K43" s="127">
        <f t="shared" si="4"/>
        <v>3612</v>
      </c>
      <c r="M43" s="129">
        <f t="shared" si="11"/>
        <v>2</v>
      </c>
      <c r="N43" s="38">
        <f t="shared" si="5"/>
        <v>60</v>
      </c>
      <c r="O43" s="128">
        <f t="shared" si="6"/>
        <v>4640</v>
      </c>
      <c r="Q43" s="129">
        <f t="shared" si="12"/>
        <v>2.5</v>
      </c>
      <c r="R43" s="38">
        <f t="shared" si="7"/>
        <v>75</v>
      </c>
      <c r="S43" s="131">
        <f t="shared" si="8"/>
        <v>5875</v>
      </c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3"/>
      <c r="AG43" s="54">
        <v>37</v>
      </c>
      <c r="AH43" s="82">
        <v>16</v>
      </c>
      <c r="AI43" s="78">
        <f t="shared" si="19"/>
        <v>1730</v>
      </c>
      <c r="AK43" s="54">
        <v>37</v>
      </c>
      <c r="AL43" s="82">
        <v>25</v>
      </c>
      <c r="AM43" s="78">
        <f t="shared" si="20"/>
        <v>1985</v>
      </c>
      <c r="AO43" s="54">
        <v>37</v>
      </c>
      <c r="AP43" s="82">
        <v>35</v>
      </c>
      <c r="AQ43" s="78">
        <f t="shared" si="21"/>
        <v>3035</v>
      </c>
      <c r="AS43" s="54">
        <v>37</v>
      </c>
      <c r="AT43" s="82">
        <v>55</v>
      </c>
      <c r="AU43" s="78">
        <f t="shared" si="22"/>
        <v>3985</v>
      </c>
      <c r="AW43" s="54">
        <v>37</v>
      </c>
      <c r="AX43" s="82">
        <v>65</v>
      </c>
      <c r="AY43" s="78">
        <f t="shared" si="23"/>
        <v>4485</v>
      </c>
      <c r="BA43" s="54">
        <v>37</v>
      </c>
      <c r="BB43" s="82">
        <v>85</v>
      </c>
      <c r="BC43" s="78">
        <f t="shared" si="24"/>
        <v>5885</v>
      </c>
      <c r="BD43" s="125"/>
    </row>
    <row r="44" spans="1:56">
      <c r="A44" s="54">
        <v>38</v>
      </c>
      <c r="B44" s="82">
        <v>30</v>
      </c>
      <c r="C44" s="78">
        <f t="shared" si="25"/>
        <v>2100</v>
      </c>
      <c r="E44" s="129">
        <f t="shared" si="9"/>
        <v>1.3</v>
      </c>
      <c r="F44" s="38">
        <f t="shared" si="1"/>
        <v>39</v>
      </c>
      <c r="G44" s="130">
        <f t="shared" si="2"/>
        <v>2830</v>
      </c>
      <c r="I44" s="129">
        <f t="shared" si="10"/>
        <v>1.6</v>
      </c>
      <c r="J44" s="38">
        <f t="shared" si="3"/>
        <v>48</v>
      </c>
      <c r="K44" s="127">
        <f t="shared" si="4"/>
        <v>3660</v>
      </c>
      <c r="M44" s="129">
        <f t="shared" si="11"/>
        <v>2</v>
      </c>
      <c r="N44" s="38">
        <f t="shared" si="5"/>
        <v>60</v>
      </c>
      <c r="O44" s="128">
        <f t="shared" si="6"/>
        <v>4700</v>
      </c>
      <c r="Q44" s="129">
        <f t="shared" si="12"/>
        <v>2.5</v>
      </c>
      <c r="R44" s="38">
        <f t="shared" si="7"/>
        <v>75</v>
      </c>
      <c r="S44" s="131">
        <f t="shared" si="8"/>
        <v>5950</v>
      </c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3"/>
      <c r="AG44" s="54">
        <v>38</v>
      </c>
      <c r="AH44" s="82">
        <v>16</v>
      </c>
      <c r="AI44" s="78">
        <f t="shared" si="19"/>
        <v>1746</v>
      </c>
      <c r="AK44" s="54">
        <v>38</v>
      </c>
      <c r="AL44" s="82">
        <v>25</v>
      </c>
      <c r="AM44" s="78">
        <f t="shared" si="20"/>
        <v>2010</v>
      </c>
      <c r="AO44" s="54">
        <v>38</v>
      </c>
      <c r="AP44" s="82">
        <v>35</v>
      </c>
      <c r="AQ44" s="78">
        <f t="shared" si="21"/>
        <v>3070</v>
      </c>
      <c r="AS44" s="54">
        <v>38</v>
      </c>
      <c r="AT44" s="82">
        <v>55</v>
      </c>
      <c r="AU44" s="78">
        <f t="shared" si="22"/>
        <v>4040</v>
      </c>
      <c r="AW44" s="54">
        <v>38</v>
      </c>
      <c r="AX44" s="82">
        <v>65</v>
      </c>
      <c r="AY44" s="78">
        <f t="shared" si="23"/>
        <v>4550</v>
      </c>
      <c r="BA44" s="54">
        <v>38</v>
      </c>
      <c r="BB44" s="82">
        <v>85</v>
      </c>
      <c r="BC44" s="78">
        <f t="shared" si="24"/>
        <v>5970</v>
      </c>
      <c r="BD44" s="125"/>
    </row>
    <row r="45" spans="1:56">
      <c r="A45" s="54">
        <v>39</v>
      </c>
      <c r="B45" s="82">
        <v>30</v>
      </c>
      <c r="C45" s="78">
        <f t="shared" si="25"/>
        <v>2130</v>
      </c>
      <c r="E45" s="129">
        <f t="shared" si="9"/>
        <v>1.3</v>
      </c>
      <c r="F45" s="38">
        <f t="shared" si="1"/>
        <v>39</v>
      </c>
      <c r="G45" s="130">
        <f t="shared" si="2"/>
        <v>2869</v>
      </c>
      <c r="I45" s="129">
        <f t="shared" si="10"/>
        <v>1.6</v>
      </c>
      <c r="J45" s="38">
        <f t="shared" si="3"/>
        <v>48</v>
      </c>
      <c r="K45" s="127">
        <f t="shared" si="4"/>
        <v>3708</v>
      </c>
      <c r="M45" s="129">
        <f t="shared" si="11"/>
        <v>2</v>
      </c>
      <c r="N45" s="38">
        <f t="shared" si="5"/>
        <v>60</v>
      </c>
      <c r="O45" s="128">
        <f t="shared" si="6"/>
        <v>4760</v>
      </c>
      <c r="Q45" s="129">
        <f t="shared" si="12"/>
        <v>2.5</v>
      </c>
      <c r="R45" s="38">
        <f t="shared" si="7"/>
        <v>75</v>
      </c>
      <c r="S45" s="131">
        <f t="shared" si="8"/>
        <v>6025</v>
      </c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3"/>
      <c r="AG45" s="54">
        <v>39</v>
      </c>
      <c r="AH45" s="82">
        <v>16</v>
      </c>
      <c r="AI45" s="78">
        <f t="shared" si="19"/>
        <v>1762</v>
      </c>
      <c r="AK45" s="54">
        <v>39</v>
      </c>
      <c r="AL45" s="82">
        <v>25</v>
      </c>
      <c r="AM45" s="78">
        <f t="shared" si="20"/>
        <v>2035</v>
      </c>
      <c r="AO45" s="54">
        <v>39</v>
      </c>
      <c r="AP45" s="82">
        <v>35</v>
      </c>
      <c r="AQ45" s="78">
        <f t="shared" si="21"/>
        <v>3105</v>
      </c>
      <c r="AS45" s="54">
        <v>39</v>
      </c>
      <c r="AT45" s="82">
        <v>55</v>
      </c>
      <c r="AU45" s="78">
        <f t="shared" si="22"/>
        <v>4095</v>
      </c>
      <c r="AW45" s="54">
        <v>39</v>
      </c>
      <c r="AX45" s="82">
        <v>65</v>
      </c>
      <c r="AY45" s="78">
        <f t="shared" si="23"/>
        <v>4615</v>
      </c>
      <c r="BA45" s="54">
        <v>39</v>
      </c>
      <c r="BB45" s="82">
        <v>1200</v>
      </c>
      <c r="BC45" s="78">
        <f t="shared" si="24"/>
        <v>7170</v>
      </c>
      <c r="BD45" s="125"/>
    </row>
    <row r="46" spans="1:56">
      <c r="A46" s="54">
        <v>40</v>
      </c>
      <c r="B46" s="83">
        <v>300</v>
      </c>
      <c r="C46" s="78">
        <f t="shared" si="25"/>
        <v>2430</v>
      </c>
      <c r="E46" s="129">
        <f t="shared" si="9"/>
        <v>1.3</v>
      </c>
      <c r="F46" s="38">
        <f t="shared" si="1"/>
        <v>390</v>
      </c>
      <c r="G46" s="130">
        <f t="shared" si="2"/>
        <v>3259</v>
      </c>
      <c r="I46" s="129">
        <f t="shared" si="10"/>
        <v>1.6</v>
      </c>
      <c r="J46" s="38">
        <f t="shared" si="3"/>
        <v>480</v>
      </c>
      <c r="K46" s="127">
        <f t="shared" si="4"/>
        <v>4188</v>
      </c>
      <c r="M46" s="129">
        <f t="shared" si="11"/>
        <v>2</v>
      </c>
      <c r="N46" s="38">
        <f t="shared" si="5"/>
        <v>600</v>
      </c>
      <c r="O46" s="128">
        <f t="shared" si="6"/>
        <v>5360</v>
      </c>
      <c r="Q46" s="129">
        <f t="shared" si="12"/>
        <v>2.5</v>
      </c>
      <c r="R46" s="38">
        <f t="shared" si="7"/>
        <v>750</v>
      </c>
      <c r="S46" s="131">
        <f t="shared" si="8"/>
        <v>6775</v>
      </c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3"/>
      <c r="AG46" s="54">
        <v>40</v>
      </c>
      <c r="AH46" s="83">
        <v>200</v>
      </c>
      <c r="AI46" s="78">
        <f t="shared" si="19"/>
        <v>1962</v>
      </c>
      <c r="AK46" s="54">
        <v>40</v>
      </c>
      <c r="AL46" s="83">
        <v>300</v>
      </c>
      <c r="AM46" s="78">
        <f t="shared" si="20"/>
        <v>2335</v>
      </c>
      <c r="AO46" s="54">
        <v>40</v>
      </c>
      <c r="AP46" s="83">
        <v>450</v>
      </c>
      <c r="AQ46" s="78">
        <f t="shared" si="21"/>
        <v>3555</v>
      </c>
      <c r="AS46" s="54">
        <v>40</v>
      </c>
      <c r="AT46" s="83">
        <f>AP46+250</f>
        <v>700</v>
      </c>
      <c r="AU46" s="78">
        <f t="shared" si="22"/>
        <v>4795</v>
      </c>
      <c r="AW46" s="54">
        <v>40</v>
      </c>
      <c r="AX46" s="83">
        <v>850</v>
      </c>
      <c r="AY46" s="78">
        <f t="shared" si="23"/>
        <v>5465</v>
      </c>
      <c r="BA46" s="54">
        <v>40</v>
      </c>
      <c r="BB46" s="83"/>
      <c r="BC46" s="78">
        <f t="shared" si="24"/>
        <v>7170</v>
      </c>
      <c r="BD46" s="125"/>
    </row>
    <row r="47" spans="1:56">
      <c r="A47" s="54">
        <v>41</v>
      </c>
      <c r="B47" s="82">
        <v>40</v>
      </c>
      <c r="C47" s="78">
        <f t="shared" si="25"/>
        <v>2470</v>
      </c>
      <c r="E47" s="129">
        <f t="shared" si="9"/>
        <v>1.3</v>
      </c>
      <c r="F47" s="38">
        <f t="shared" si="1"/>
        <v>52</v>
      </c>
      <c r="G47" s="130">
        <f t="shared" si="2"/>
        <v>3311</v>
      </c>
      <c r="I47" s="129">
        <f t="shared" si="10"/>
        <v>1.6</v>
      </c>
      <c r="J47" s="38">
        <f t="shared" si="3"/>
        <v>64</v>
      </c>
      <c r="K47" s="127">
        <f t="shared" si="4"/>
        <v>4252</v>
      </c>
      <c r="M47" s="129">
        <f t="shared" si="11"/>
        <v>2</v>
      </c>
      <c r="N47" s="38">
        <f t="shared" si="5"/>
        <v>80</v>
      </c>
      <c r="O47" s="128">
        <f t="shared" si="6"/>
        <v>5440</v>
      </c>
      <c r="Q47" s="129">
        <f t="shared" si="12"/>
        <v>2.5</v>
      </c>
      <c r="R47" s="38">
        <f t="shared" si="7"/>
        <v>100</v>
      </c>
      <c r="S47" s="131">
        <f t="shared" si="8"/>
        <v>6875</v>
      </c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3"/>
      <c r="AG47" s="54">
        <v>41</v>
      </c>
      <c r="AH47" s="82">
        <v>20</v>
      </c>
      <c r="AI47" s="78">
        <f t="shared" si="19"/>
        <v>1982</v>
      </c>
      <c r="AK47" s="54">
        <v>41</v>
      </c>
      <c r="AL47" s="82">
        <v>30</v>
      </c>
      <c r="AM47" s="78">
        <f t="shared" si="20"/>
        <v>2365</v>
      </c>
      <c r="AO47" s="54">
        <v>41</v>
      </c>
      <c r="AP47" s="82">
        <v>40</v>
      </c>
      <c r="AQ47" s="78">
        <f t="shared" si="21"/>
        <v>3595</v>
      </c>
      <c r="AS47" s="54">
        <v>41</v>
      </c>
      <c r="AT47" s="82">
        <v>60</v>
      </c>
      <c r="AU47" s="78">
        <f t="shared" si="22"/>
        <v>4855</v>
      </c>
      <c r="AW47" s="54">
        <v>41</v>
      </c>
      <c r="AX47" s="82">
        <v>70</v>
      </c>
      <c r="AY47" s="78">
        <f t="shared" si="23"/>
        <v>5535</v>
      </c>
      <c r="BA47" s="54">
        <v>41</v>
      </c>
      <c r="BB47" s="82">
        <v>90</v>
      </c>
      <c r="BC47" s="78">
        <f t="shared" si="24"/>
        <v>7260</v>
      </c>
      <c r="BD47" s="125"/>
    </row>
    <row r="48" spans="1:56">
      <c r="A48" s="54">
        <v>42</v>
      </c>
      <c r="B48" s="82">
        <v>40</v>
      </c>
      <c r="C48" s="78">
        <f t="shared" si="25"/>
        <v>2510</v>
      </c>
      <c r="E48" s="129">
        <f t="shared" si="9"/>
        <v>1.3</v>
      </c>
      <c r="F48" s="38">
        <f t="shared" si="1"/>
        <v>52</v>
      </c>
      <c r="G48" s="130">
        <f t="shared" si="2"/>
        <v>3363</v>
      </c>
      <c r="I48" s="129">
        <f t="shared" si="10"/>
        <v>1.6</v>
      </c>
      <c r="J48" s="38">
        <f t="shared" si="3"/>
        <v>64</v>
      </c>
      <c r="K48" s="127">
        <f t="shared" si="4"/>
        <v>4316</v>
      </c>
      <c r="M48" s="129">
        <f t="shared" si="11"/>
        <v>2</v>
      </c>
      <c r="N48" s="38">
        <f t="shared" si="5"/>
        <v>80</v>
      </c>
      <c r="O48" s="128">
        <f t="shared" si="6"/>
        <v>5520</v>
      </c>
      <c r="Q48" s="129">
        <f t="shared" si="12"/>
        <v>2.5</v>
      </c>
      <c r="R48" s="38">
        <f t="shared" si="7"/>
        <v>100</v>
      </c>
      <c r="S48" s="131">
        <f t="shared" si="8"/>
        <v>6975</v>
      </c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3"/>
      <c r="AG48" s="54">
        <v>42</v>
      </c>
      <c r="AH48" s="82">
        <v>20</v>
      </c>
      <c r="AI48" s="78">
        <f t="shared" si="19"/>
        <v>2002</v>
      </c>
      <c r="AK48" s="54">
        <v>42</v>
      </c>
      <c r="AL48" s="82">
        <v>30</v>
      </c>
      <c r="AM48" s="78">
        <f t="shared" si="20"/>
        <v>2395</v>
      </c>
      <c r="AO48" s="54">
        <v>42</v>
      </c>
      <c r="AP48" s="82">
        <v>40</v>
      </c>
      <c r="AQ48" s="78">
        <f t="shared" si="21"/>
        <v>3635</v>
      </c>
      <c r="AS48" s="54">
        <v>42</v>
      </c>
      <c r="AT48" s="82">
        <v>60</v>
      </c>
      <c r="AU48" s="78">
        <f t="shared" si="22"/>
        <v>4915</v>
      </c>
      <c r="AW48" s="54">
        <v>42</v>
      </c>
      <c r="AX48" s="82">
        <v>70</v>
      </c>
      <c r="AY48" s="78">
        <f t="shared" si="23"/>
        <v>5605</v>
      </c>
      <c r="BA48" s="54">
        <v>42</v>
      </c>
      <c r="BB48" s="82">
        <v>90</v>
      </c>
      <c r="BC48" s="78">
        <f t="shared" si="24"/>
        <v>7350</v>
      </c>
      <c r="BD48" s="125"/>
    </row>
    <row r="49" spans="1:56">
      <c r="A49" s="54">
        <v>43</v>
      </c>
      <c r="B49" s="82">
        <v>40</v>
      </c>
      <c r="C49" s="78">
        <f t="shared" si="25"/>
        <v>2550</v>
      </c>
      <c r="E49" s="129">
        <f t="shared" si="9"/>
        <v>1.3</v>
      </c>
      <c r="F49" s="38">
        <f t="shared" si="1"/>
        <v>52</v>
      </c>
      <c r="G49" s="130">
        <f t="shared" si="2"/>
        <v>3415</v>
      </c>
      <c r="I49" s="129">
        <f t="shared" si="10"/>
        <v>1.6</v>
      </c>
      <c r="J49" s="38">
        <f t="shared" si="3"/>
        <v>64</v>
      </c>
      <c r="K49" s="127">
        <f t="shared" si="4"/>
        <v>4380</v>
      </c>
      <c r="M49" s="129">
        <f t="shared" si="11"/>
        <v>2</v>
      </c>
      <c r="N49" s="38">
        <f t="shared" si="5"/>
        <v>80</v>
      </c>
      <c r="O49" s="128">
        <f t="shared" si="6"/>
        <v>5600</v>
      </c>
      <c r="Q49" s="129">
        <f t="shared" si="12"/>
        <v>2.5</v>
      </c>
      <c r="R49" s="38">
        <f t="shared" si="7"/>
        <v>100</v>
      </c>
      <c r="S49" s="131">
        <f t="shared" si="8"/>
        <v>7075</v>
      </c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3"/>
      <c r="AG49" s="54">
        <v>43</v>
      </c>
      <c r="AH49" s="82">
        <v>20</v>
      </c>
      <c r="AI49" s="78">
        <f t="shared" si="19"/>
        <v>2022</v>
      </c>
      <c r="AK49" s="54">
        <v>43</v>
      </c>
      <c r="AL49" s="82">
        <v>30</v>
      </c>
      <c r="AM49" s="78">
        <f t="shared" si="20"/>
        <v>2425</v>
      </c>
      <c r="AO49" s="54">
        <v>43</v>
      </c>
      <c r="AP49" s="82">
        <v>40</v>
      </c>
      <c r="AQ49" s="78">
        <f t="shared" si="21"/>
        <v>3675</v>
      </c>
      <c r="AS49" s="54">
        <v>43</v>
      </c>
      <c r="AT49" s="82">
        <v>60</v>
      </c>
      <c r="AU49" s="78">
        <f t="shared" si="22"/>
        <v>4975</v>
      </c>
      <c r="AW49" s="54">
        <v>43</v>
      </c>
      <c r="AX49" s="82">
        <v>70</v>
      </c>
      <c r="AY49" s="78">
        <f t="shared" si="23"/>
        <v>5675</v>
      </c>
      <c r="BA49" s="54">
        <v>43</v>
      </c>
      <c r="BB49" s="82">
        <v>90</v>
      </c>
      <c r="BC49" s="78">
        <f t="shared" si="24"/>
        <v>7440</v>
      </c>
      <c r="BD49" s="125"/>
    </row>
    <row r="50" spans="1:56">
      <c r="A50" s="54">
        <v>44</v>
      </c>
      <c r="B50" s="82">
        <v>40</v>
      </c>
      <c r="C50" s="78">
        <f t="shared" si="25"/>
        <v>2590</v>
      </c>
      <c r="E50" s="129">
        <f t="shared" si="9"/>
        <v>1.3</v>
      </c>
      <c r="F50" s="38">
        <f t="shared" si="1"/>
        <v>52</v>
      </c>
      <c r="G50" s="130">
        <f t="shared" si="2"/>
        <v>3467</v>
      </c>
      <c r="I50" s="129">
        <f t="shared" si="10"/>
        <v>1.6</v>
      </c>
      <c r="J50" s="38">
        <f t="shared" si="3"/>
        <v>64</v>
      </c>
      <c r="K50" s="127">
        <f t="shared" si="4"/>
        <v>4444</v>
      </c>
      <c r="M50" s="129">
        <f t="shared" si="11"/>
        <v>2</v>
      </c>
      <c r="N50" s="38">
        <f t="shared" si="5"/>
        <v>80</v>
      </c>
      <c r="O50" s="128">
        <f t="shared" si="6"/>
        <v>5680</v>
      </c>
      <c r="Q50" s="129">
        <f t="shared" si="12"/>
        <v>2.5</v>
      </c>
      <c r="R50" s="38">
        <f t="shared" si="7"/>
        <v>100</v>
      </c>
      <c r="S50" s="131">
        <f t="shared" si="8"/>
        <v>7175</v>
      </c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3"/>
      <c r="AG50" s="54">
        <v>44</v>
      </c>
      <c r="AH50" s="82">
        <v>20</v>
      </c>
      <c r="AI50" s="78">
        <f t="shared" si="19"/>
        <v>2042</v>
      </c>
      <c r="AK50" s="54">
        <v>44</v>
      </c>
      <c r="AL50" s="82">
        <v>30</v>
      </c>
      <c r="AM50" s="78">
        <f t="shared" si="20"/>
        <v>2455</v>
      </c>
      <c r="AO50" s="54">
        <v>44</v>
      </c>
      <c r="AP50" s="82">
        <v>40</v>
      </c>
      <c r="AQ50" s="78">
        <f t="shared" si="21"/>
        <v>3715</v>
      </c>
      <c r="AS50" s="54">
        <v>44</v>
      </c>
      <c r="AT50" s="82">
        <v>60</v>
      </c>
      <c r="AU50" s="78">
        <f t="shared" si="22"/>
        <v>5035</v>
      </c>
      <c r="AW50" s="54">
        <v>44</v>
      </c>
      <c r="AX50" s="82">
        <v>70</v>
      </c>
      <c r="AY50" s="78">
        <f t="shared" si="23"/>
        <v>5745</v>
      </c>
      <c r="BA50" s="54">
        <v>44</v>
      </c>
      <c r="BB50" s="82">
        <v>90</v>
      </c>
      <c r="BC50" s="78">
        <f t="shared" si="24"/>
        <v>7530</v>
      </c>
      <c r="BD50" s="125"/>
    </row>
    <row r="51" spans="1:56">
      <c r="A51" s="54">
        <v>45</v>
      </c>
      <c r="B51" s="82">
        <v>40</v>
      </c>
      <c r="C51" s="78">
        <f t="shared" si="25"/>
        <v>2630</v>
      </c>
      <c r="E51" s="129">
        <f t="shared" si="9"/>
        <v>1.3</v>
      </c>
      <c r="F51" s="38">
        <f t="shared" si="1"/>
        <v>52</v>
      </c>
      <c r="G51" s="130">
        <f t="shared" si="2"/>
        <v>3519</v>
      </c>
      <c r="I51" s="129">
        <f t="shared" si="10"/>
        <v>1.6</v>
      </c>
      <c r="J51" s="38">
        <f t="shared" si="3"/>
        <v>64</v>
      </c>
      <c r="K51" s="127">
        <f t="shared" si="4"/>
        <v>4508</v>
      </c>
      <c r="M51" s="129">
        <f t="shared" si="11"/>
        <v>2</v>
      </c>
      <c r="N51" s="38">
        <f t="shared" si="5"/>
        <v>80</v>
      </c>
      <c r="O51" s="128">
        <f t="shared" si="6"/>
        <v>5760</v>
      </c>
      <c r="Q51" s="129">
        <f t="shared" si="12"/>
        <v>2.5</v>
      </c>
      <c r="R51" s="38">
        <f t="shared" si="7"/>
        <v>100</v>
      </c>
      <c r="S51" s="131">
        <f t="shared" si="8"/>
        <v>7275</v>
      </c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3"/>
      <c r="AG51" s="54">
        <v>45</v>
      </c>
      <c r="AH51" s="82">
        <v>20</v>
      </c>
      <c r="AI51" s="78">
        <f t="shared" si="19"/>
        <v>2062</v>
      </c>
      <c r="AK51" s="54">
        <v>45</v>
      </c>
      <c r="AL51" s="82">
        <v>30</v>
      </c>
      <c r="AM51" s="78">
        <f t="shared" si="20"/>
        <v>2485</v>
      </c>
      <c r="AO51" s="54">
        <v>45</v>
      </c>
      <c r="AP51" s="82">
        <v>40</v>
      </c>
      <c r="AQ51" s="78">
        <f t="shared" si="21"/>
        <v>3755</v>
      </c>
      <c r="AS51" s="54">
        <v>45</v>
      </c>
      <c r="AT51" s="82">
        <v>60</v>
      </c>
      <c r="AU51" s="78">
        <f t="shared" si="22"/>
        <v>5095</v>
      </c>
      <c r="AW51" s="54">
        <v>45</v>
      </c>
      <c r="AX51" s="82">
        <v>70</v>
      </c>
      <c r="AY51" s="78">
        <f t="shared" si="23"/>
        <v>5815</v>
      </c>
      <c r="BA51" s="54">
        <v>45</v>
      </c>
      <c r="BB51" s="82">
        <v>90</v>
      </c>
      <c r="BC51" s="78">
        <f t="shared" si="24"/>
        <v>7620</v>
      </c>
      <c r="BD51" s="125"/>
    </row>
    <row r="52" spans="1:56">
      <c r="A52" s="54">
        <v>46</v>
      </c>
      <c r="B52" s="82">
        <v>40</v>
      </c>
      <c r="C52" s="78">
        <f t="shared" si="25"/>
        <v>2670</v>
      </c>
      <c r="E52" s="129">
        <f t="shared" si="9"/>
        <v>1.3</v>
      </c>
      <c r="F52" s="38">
        <f t="shared" si="1"/>
        <v>52</v>
      </c>
      <c r="G52" s="130">
        <f t="shared" si="2"/>
        <v>3571</v>
      </c>
      <c r="I52" s="129">
        <f t="shared" si="10"/>
        <v>1.6</v>
      </c>
      <c r="J52" s="38">
        <f t="shared" si="3"/>
        <v>64</v>
      </c>
      <c r="K52" s="127">
        <f t="shared" si="4"/>
        <v>4572</v>
      </c>
      <c r="M52" s="129">
        <f t="shared" si="11"/>
        <v>2</v>
      </c>
      <c r="N52" s="38">
        <f t="shared" si="5"/>
        <v>80</v>
      </c>
      <c r="O52" s="128">
        <f t="shared" si="6"/>
        <v>5840</v>
      </c>
      <c r="Q52" s="129">
        <f t="shared" si="12"/>
        <v>2.5</v>
      </c>
      <c r="R52" s="38">
        <f t="shared" si="7"/>
        <v>100</v>
      </c>
      <c r="S52" s="131">
        <f t="shared" si="8"/>
        <v>7375</v>
      </c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3"/>
      <c r="AG52" s="54">
        <v>46</v>
      </c>
      <c r="AH52" s="82">
        <v>20</v>
      </c>
      <c r="AI52" s="78">
        <f t="shared" si="19"/>
        <v>2082</v>
      </c>
      <c r="AK52" s="54">
        <v>46</v>
      </c>
      <c r="AL52" s="82">
        <v>30</v>
      </c>
      <c r="AM52" s="78">
        <f t="shared" si="20"/>
        <v>2515</v>
      </c>
      <c r="AO52" s="54">
        <v>46</v>
      </c>
      <c r="AP52" s="82">
        <v>40</v>
      </c>
      <c r="AQ52" s="78">
        <f t="shared" si="21"/>
        <v>3795</v>
      </c>
      <c r="AS52" s="54">
        <v>46</v>
      </c>
      <c r="AT52" s="82">
        <v>60</v>
      </c>
      <c r="AU52" s="78">
        <f t="shared" si="22"/>
        <v>5155</v>
      </c>
      <c r="AW52" s="54">
        <v>46</v>
      </c>
      <c r="AX52" s="82">
        <v>70</v>
      </c>
      <c r="AY52" s="78">
        <f t="shared" si="23"/>
        <v>5885</v>
      </c>
      <c r="BA52" s="54">
        <v>46</v>
      </c>
      <c r="BB52" s="82">
        <v>90</v>
      </c>
      <c r="BC52" s="78">
        <f t="shared" si="24"/>
        <v>7710</v>
      </c>
      <c r="BD52" s="125"/>
    </row>
    <row r="53" spans="1:56">
      <c r="A53" s="54">
        <v>47</v>
      </c>
      <c r="B53" s="82">
        <v>40</v>
      </c>
      <c r="C53" s="78">
        <f t="shared" si="25"/>
        <v>2710</v>
      </c>
      <c r="E53" s="129">
        <f t="shared" si="9"/>
        <v>1.3</v>
      </c>
      <c r="F53" s="38">
        <f t="shared" si="1"/>
        <v>52</v>
      </c>
      <c r="G53" s="130">
        <f t="shared" si="2"/>
        <v>3623</v>
      </c>
      <c r="I53" s="129">
        <f t="shared" si="10"/>
        <v>1.6</v>
      </c>
      <c r="J53" s="38">
        <f t="shared" si="3"/>
        <v>64</v>
      </c>
      <c r="K53" s="127">
        <f t="shared" si="4"/>
        <v>4636</v>
      </c>
      <c r="M53" s="129">
        <f t="shared" si="11"/>
        <v>2</v>
      </c>
      <c r="N53" s="38">
        <f t="shared" si="5"/>
        <v>80</v>
      </c>
      <c r="O53" s="128">
        <f t="shared" si="6"/>
        <v>5920</v>
      </c>
      <c r="Q53" s="129">
        <f t="shared" si="12"/>
        <v>2.5</v>
      </c>
      <c r="R53" s="38">
        <f t="shared" si="7"/>
        <v>100</v>
      </c>
      <c r="S53" s="131">
        <f t="shared" si="8"/>
        <v>7475</v>
      </c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3"/>
      <c r="AG53" s="54">
        <v>47</v>
      </c>
      <c r="AH53" s="82">
        <v>20</v>
      </c>
      <c r="AI53" s="78">
        <f t="shared" si="19"/>
        <v>2102</v>
      </c>
      <c r="AK53" s="54">
        <v>47</v>
      </c>
      <c r="AL53" s="82">
        <v>30</v>
      </c>
      <c r="AM53" s="78">
        <f t="shared" si="20"/>
        <v>2545</v>
      </c>
      <c r="AO53" s="54">
        <v>47</v>
      </c>
      <c r="AP53" s="82">
        <v>40</v>
      </c>
      <c r="AQ53" s="78">
        <f t="shared" si="21"/>
        <v>3835</v>
      </c>
      <c r="AS53" s="54">
        <v>47</v>
      </c>
      <c r="AT53" s="82">
        <v>60</v>
      </c>
      <c r="AU53" s="78">
        <f t="shared" si="22"/>
        <v>5215</v>
      </c>
      <c r="AW53" s="54">
        <v>47</v>
      </c>
      <c r="AX53" s="82">
        <v>70</v>
      </c>
      <c r="AY53" s="78">
        <f t="shared" si="23"/>
        <v>5955</v>
      </c>
      <c r="BA53" s="54">
        <v>47</v>
      </c>
      <c r="BB53" s="82">
        <v>90</v>
      </c>
      <c r="BC53" s="78">
        <f t="shared" si="24"/>
        <v>7800</v>
      </c>
      <c r="BD53" s="125"/>
    </row>
    <row r="54" spans="1:56">
      <c r="A54" s="54">
        <v>48</v>
      </c>
      <c r="B54" s="82">
        <v>40</v>
      </c>
      <c r="C54" s="78">
        <f t="shared" si="25"/>
        <v>2750</v>
      </c>
      <c r="E54" s="129">
        <f t="shared" si="9"/>
        <v>1.3</v>
      </c>
      <c r="F54" s="38">
        <f t="shared" si="1"/>
        <v>52</v>
      </c>
      <c r="G54" s="130">
        <f t="shared" si="2"/>
        <v>3675</v>
      </c>
      <c r="I54" s="129">
        <f t="shared" si="10"/>
        <v>1.6</v>
      </c>
      <c r="J54" s="38">
        <f t="shared" si="3"/>
        <v>64</v>
      </c>
      <c r="K54" s="127">
        <f t="shared" si="4"/>
        <v>4700</v>
      </c>
      <c r="M54" s="129">
        <f t="shared" si="11"/>
        <v>2</v>
      </c>
      <c r="N54" s="38">
        <f t="shared" si="5"/>
        <v>80</v>
      </c>
      <c r="O54" s="128">
        <f t="shared" si="6"/>
        <v>6000</v>
      </c>
      <c r="Q54" s="129">
        <f t="shared" si="12"/>
        <v>2.5</v>
      </c>
      <c r="R54" s="38">
        <f t="shared" si="7"/>
        <v>100</v>
      </c>
      <c r="S54" s="131">
        <f t="shared" si="8"/>
        <v>7575</v>
      </c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3"/>
      <c r="AG54" s="54">
        <v>48</v>
      </c>
      <c r="AH54" s="82">
        <v>20</v>
      </c>
      <c r="AI54" s="78">
        <f t="shared" si="19"/>
        <v>2122</v>
      </c>
      <c r="AK54" s="54">
        <v>48</v>
      </c>
      <c r="AL54" s="82">
        <v>30</v>
      </c>
      <c r="AM54" s="78">
        <f t="shared" si="20"/>
        <v>2575</v>
      </c>
      <c r="AO54" s="54">
        <v>48</v>
      </c>
      <c r="AP54" s="82">
        <v>40</v>
      </c>
      <c r="AQ54" s="78">
        <f t="shared" si="21"/>
        <v>3875</v>
      </c>
      <c r="AS54" s="54">
        <v>48</v>
      </c>
      <c r="AT54" s="82">
        <v>60</v>
      </c>
      <c r="AU54" s="78">
        <f t="shared" si="22"/>
        <v>5275</v>
      </c>
      <c r="AW54" s="54">
        <v>48</v>
      </c>
      <c r="AX54" s="82">
        <v>70</v>
      </c>
      <c r="AY54" s="78">
        <f t="shared" si="23"/>
        <v>6025</v>
      </c>
      <c r="BA54" s="54">
        <v>48</v>
      </c>
      <c r="BB54" s="82">
        <v>90</v>
      </c>
      <c r="BC54" s="78">
        <f t="shared" si="24"/>
        <v>7890</v>
      </c>
      <c r="BD54" s="125"/>
    </row>
    <row r="55" spans="1:56">
      <c r="A55" s="54">
        <v>49</v>
      </c>
      <c r="B55" s="82">
        <v>40</v>
      </c>
      <c r="C55" s="78">
        <f t="shared" si="25"/>
        <v>2790</v>
      </c>
      <c r="E55" s="129">
        <f t="shared" si="9"/>
        <v>1.3</v>
      </c>
      <c r="F55" s="38">
        <f t="shared" si="1"/>
        <v>52</v>
      </c>
      <c r="G55" s="130">
        <f t="shared" si="2"/>
        <v>3727</v>
      </c>
      <c r="I55" s="129">
        <f t="shared" si="10"/>
        <v>1.6</v>
      </c>
      <c r="J55" s="38">
        <f t="shared" si="3"/>
        <v>64</v>
      </c>
      <c r="K55" s="127">
        <f t="shared" si="4"/>
        <v>4764</v>
      </c>
      <c r="M55" s="129">
        <f t="shared" si="11"/>
        <v>2</v>
      </c>
      <c r="N55" s="38">
        <f t="shared" si="5"/>
        <v>80</v>
      </c>
      <c r="O55" s="128">
        <f t="shared" si="6"/>
        <v>6080</v>
      </c>
      <c r="Q55" s="129">
        <f t="shared" si="12"/>
        <v>2.5</v>
      </c>
      <c r="R55" s="38">
        <f t="shared" si="7"/>
        <v>100</v>
      </c>
      <c r="S55" s="131">
        <f t="shared" si="8"/>
        <v>7675</v>
      </c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3"/>
      <c r="AG55" s="54">
        <v>49</v>
      </c>
      <c r="AH55" s="82">
        <v>20</v>
      </c>
      <c r="AI55" s="78">
        <f t="shared" si="19"/>
        <v>2142</v>
      </c>
      <c r="AK55" s="54">
        <v>49</v>
      </c>
      <c r="AL55" s="82">
        <v>30</v>
      </c>
      <c r="AM55" s="78">
        <f t="shared" si="20"/>
        <v>2605</v>
      </c>
      <c r="AO55" s="54">
        <v>49</v>
      </c>
      <c r="AP55" s="82">
        <v>40</v>
      </c>
      <c r="AQ55" s="78">
        <f t="shared" si="21"/>
        <v>3915</v>
      </c>
      <c r="AS55" s="54">
        <v>49</v>
      </c>
      <c r="AT55" s="82">
        <v>60</v>
      </c>
      <c r="AU55" s="78">
        <f t="shared" si="22"/>
        <v>5335</v>
      </c>
      <c r="AW55" s="54">
        <v>49</v>
      </c>
      <c r="AX55" s="82">
        <v>70</v>
      </c>
      <c r="AY55" s="78">
        <f t="shared" si="23"/>
        <v>6095</v>
      </c>
      <c r="BA55" s="54">
        <v>49</v>
      </c>
      <c r="BB55" s="82">
        <v>90</v>
      </c>
      <c r="BC55" s="78">
        <f t="shared" si="24"/>
        <v>7980</v>
      </c>
      <c r="BD55" s="125"/>
    </row>
    <row r="56" spans="1:56">
      <c r="A56" s="54">
        <v>50</v>
      </c>
      <c r="B56" s="82">
        <v>40</v>
      </c>
      <c r="C56" s="78">
        <f t="shared" si="25"/>
        <v>2830</v>
      </c>
      <c r="E56" s="129">
        <f t="shared" si="9"/>
        <v>1.3</v>
      </c>
      <c r="F56" s="38">
        <f t="shared" si="1"/>
        <v>52</v>
      </c>
      <c r="G56" s="130">
        <f t="shared" si="2"/>
        <v>3779</v>
      </c>
      <c r="I56" s="129">
        <f t="shared" si="10"/>
        <v>1.6</v>
      </c>
      <c r="J56" s="38">
        <f t="shared" si="3"/>
        <v>64</v>
      </c>
      <c r="K56" s="127">
        <f t="shared" si="4"/>
        <v>4828</v>
      </c>
      <c r="M56" s="129">
        <f t="shared" si="11"/>
        <v>2</v>
      </c>
      <c r="N56" s="38">
        <f t="shared" si="5"/>
        <v>80</v>
      </c>
      <c r="O56" s="128">
        <f t="shared" si="6"/>
        <v>6160</v>
      </c>
      <c r="Q56" s="129">
        <f t="shared" si="12"/>
        <v>2.5</v>
      </c>
      <c r="R56" s="38">
        <f t="shared" si="7"/>
        <v>100</v>
      </c>
      <c r="S56" s="131">
        <f t="shared" si="8"/>
        <v>7775</v>
      </c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3"/>
      <c r="AG56" s="54">
        <v>50</v>
      </c>
      <c r="AH56" s="82">
        <v>25</v>
      </c>
      <c r="AI56" s="78">
        <f t="shared" si="19"/>
        <v>2167</v>
      </c>
      <c r="AK56" s="54">
        <v>50</v>
      </c>
      <c r="AL56" s="82">
        <v>30</v>
      </c>
      <c r="AM56" s="78">
        <f t="shared" si="20"/>
        <v>2635</v>
      </c>
      <c r="AO56" s="54">
        <v>50</v>
      </c>
      <c r="AP56" s="82">
        <v>40</v>
      </c>
      <c r="AQ56" s="78">
        <f t="shared" si="21"/>
        <v>3955</v>
      </c>
      <c r="AS56" s="54">
        <v>50</v>
      </c>
      <c r="AT56" s="82">
        <v>60</v>
      </c>
      <c r="AU56" s="78">
        <f t="shared" si="22"/>
        <v>5395</v>
      </c>
      <c r="AW56" s="54">
        <v>50</v>
      </c>
      <c r="AX56" s="82">
        <v>70</v>
      </c>
      <c r="AY56" s="78">
        <f t="shared" si="23"/>
        <v>6165</v>
      </c>
      <c r="BA56" s="54">
        <v>50</v>
      </c>
      <c r="BB56" s="82">
        <v>90</v>
      </c>
      <c r="BC56" s="78">
        <f t="shared" si="24"/>
        <v>8070</v>
      </c>
      <c r="BD56" s="125"/>
    </row>
    <row r="57" spans="1:56">
      <c r="A57" s="54">
        <v>51</v>
      </c>
      <c r="B57" s="82">
        <v>40</v>
      </c>
      <c r="C57" s="78">
        <f t="shared" si="25"/>
        <v>2870</v>
      </c>
      <c r="E57" s="129">
        <f t="shared" si="9"/>
        <v>1.3</v>
      </c>
      <c r="F57" s="38">
        <f t="shared" si="1"/>
        <v>52</v>
      </c>
      <c r="G57" s="130">
        <f t="shared" si="2"/>
        <v>3831</v>
      </c>
      <c r="I57" s="129">
        <f t="shared" si="10"/>
        <v>1.6</v>
      </c>
      <c r="J57" s="38">
        <f t="shared" si="3"/>
        <v>64</v>
      </c>
      <c r="K57" s="127">
        <f t="shared" si="4"/>
        <v>4892</v>
      </c>
      <c r="M57" s="129">
        <f t="shared" si="11"/>
        <v>2</v>
      </c>
      <c r="N57" s="38">
        <f t="shared" si="5"/>
        <v>80</v>
      </c>
      <c r="O57" s="128">
        <f t="shared" si="6"/>
        <v>6240</v>
      </c>
      <c r="Q57" s="129">
        <f t="shared" si="12"/>
        <v>2.5</v>
      </c>
      <c r="R57" s="38">
        <f t="shared" si="7"/>
        <v>100</v>
      </c>
      <c r="S57" s="131">
        <f t="shared" si="8"/>
        <v>7875</v>
      </c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3"/>
      <c r="AG57" s="54">
        <v>51</v>
      </c>
      <c r="AH57" s="82">
        <v>25</v>
      </c>
      <c r="AI57" s="78">
        <f t="shared" si="19"/>
        <v>2192</v>
      </c>
      <c r="AK57" s="54">
        <v>51</v>
      </c>
      <c r="AL57" s="82">
        <v>30</v>
      </c>
      <c r="AM57" s="78">
        <f t="shared" si="20"/>
        <v>2665</v>
      </c>
      <c r="AO57" s="54">
        <v>51</v>
      </c>
      <c r="AP57" s="82">
        <v>40</v>
      </c>
      <c r="AQ57" s="78">
        <f t="shared" si="21"/>
        <v>3995</v>
      </c>
      <c r="AS57" s="54">
        <v>51</v>
      </c>
      <c r="AT57" s="82">
        <v>60</v>
      </c>
      <c r="AU57" s="78">
        <f t="shared" si="22"/>
        <v>5455</v>
      </c>
      <c r="AW57" s="54">
        <v>51</v>
      </c>
      <c r="AX57" s="82">
        <v>70</v>
      </c>
      <c r="AY57" s="78">
        <f t="shared" si="23"/>
        <v>6235</v>
      </c>
      <c r="BA57" s="54">
        <v>51</v>
      </c>
      <c r="BB57" s="82">
        <v>90</v>
      </c>
      <c r="BC57" s="78">
        <f t="shared" si="24"/>
        <v>8160</v>
      </c>
      <c r="BD57" s="125"/>
    </row>
    <row r="58" spans="1:56">
      <c r="A58" s="54">
        <v>52</v>
      </c>
      <c r="B58" s="82">
        <v>40</v>
      </c>
      <c r="C58" s="78">
        <f t="shared" si="25"/>
        <v>2910</v>
      </c>
      <c r="E58" s="129">
        <f t="shared" si="9"/>
        <v>1.3</v>
      </c>
      <c r="F58" s="38">
        <f t="shared" si="1"/>
        <v>52</v>
      </c>
      <c r="G58" s="130">
        <f t="shared" si="2"/>
        <v>3883</v>
      </c>
      <c r="I58" s="129">
        <f t="shared" si="10"/>
        <v>1.6</v>
      </c>
      <c r="J58" s="38">
        <f t="shared" si="3"/>
        <v>64</v>
      </c>
      <c r="K58" s="127">
        <f t="shared" si="4"/>
        <v>4956</v>
      </c>
      <c r="M58" s="129">
        <f t="shared" si="11"/>
        <v>2</v>
      </c>
      <c r="N58" s="38">
        <f t="shared" si="5"/>
        <v>80</v>
      </c>
      <c r="O58" s="128">
        <f t="shared" si="6"/>
        <v>6320</v>
      </c>
      <c r="Q58" s="129">
        <f t="shared" si="12"/>
        <v>2.5</v>
      </c>
      <c r="R58" s="38">
        <f t="shared" si="7"/>
        <v>100</v>
      </c>
      <c r="S58" s="131">
        <f t="shared" si="8"/>
        <v>7975</v>
      </c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3"/>
      <c r="AG58" s="54">
        <v>52</v>
      </c>
      <c r="AH58" s="82">
        <v>25</v>
      </c>
      <c r="AI58" s="78">
        <f t="shared" si="19"/>
        <v>2217</v>
      </c>
      <c r="AK58" s="54">
        <v>52</v>
      </c>
      <c r="AL58" s="82">
        <v>30</v>
      </c>
      <c r="AM58" s="78">
        <f t="shared" si="20"/>
        <v>2695</v>
      </c>
      <c r="AO58" s="54">
        <v>52</v>
      </c>
      <c r="AP58" s="82">
        <v>40</v>
      </c>
      <c r="AQ58" s="78">
        <f t="shared" si="21"/>
        <v>4035</v>
      </c>
      <c r="AS58" s="54">
        <v>52</v>
      </c>
      <c r="AT58" s="82">
        <v>60</v>
      </c>
      <c r="AU58" s="78">
        <f t="shared" si="22"/>
        <v>5515</v>
      </c>
      <c r="AW58" s="54">
        <v>52</v>
      </c>
      <c r="AX58" s="82">
        <v>70</v>
      </c>
      <c r="AY58" s="78">
        <f t="shared" si="23"/>
        <v>6305</v>
      </c>
      <c r="BA58" s="54">
        <v>52</v>
      </c>
      <c r="BB58" s="82">
        <v>90</v>
      </c>
      <c r="BC58" s="78">
        <f t="shared" si="24"/>
        <v>8250</v>
      </c>
      <c r="BD58" s="125"/>
    </row>
    <row r="59" spans="1:56">
      <c r="A59" s="54">
        <v>53</v>
      </c>
      <c r="B59" s="82">
        <v>40</v>
      </c>
      <c r="C59" s="78">
        <f t="shared" si="25"/>
        <v>2950</v>
      </c>
      <c r="E59" s="129">
        <f t="shared" si="9"/>
        <v>1.3</v>
      </c>
      <c r="F59" s="38">
        <f t="shared" si="1"/>
        <v>52</v>
      </c>
      <c r="G59" s="130">
        <f t="shared" si="2"/>
        <v>3935</v>
      </c>
      <c r="I59" s="129">
        <f t="shared" si="10"/>
        <v>1.6</v>
      </c>
      <c r="J59" s="38">
        <f t="shared" si="3"/>
        <v>64</v>
      </c>
      <c r="K59" s="127">
        <f t="shared" si="4"/>
        <v>5020</v>
      </c>
      <c r="M59" s="129">
        <f t="shared" si="11"/>
        <v>2</v>
      </c>
      <c r="N59" s="38">
        <f t="shared" si="5"/>
        <v>80</v>
      </c>
      <c r="O59" s="128">
        <f t="shared" si="6"/>
        <v>6400</v>
      </c>
      <c r="Q59" s="129">
        <f t="shared" si="12"/>
        <v>2.5</v>
      </c>
      <c r="R59" s="38">
        <f t="shared" si="7"/>
        <v>100</v>
      </c>
      <c r="S59" s="131">
        <f t="shared" si="8"/>
        <v>8075</v>
      </c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3"/>
      <c r="AG59" s="54">
        <v>53</v>
      </c>
      <c r="AH59" s="82">
        <v>25</v>
      </c>
      <c r="AI59" s="78">
        <f t="shared" si="19"/>
        <v>2242</v>
      </c>
      <c r="AK59" s="54">
        <v>53</v>
      </c>
      <c r="AL59" s="82">
        <v>30</v>
      </c>
      <c r="AM59" s="78">
        <f t="shared" si="20"/>
        <v>2725</v>
      </c>
      <c r="AO59" s="54">
        <v>53</v>
      </c>
      <c r="AP59" s="82">
        <v>40</v>
      </c>
      <c r="AQ59" s="78">
        <f t="shared" si="21"/>
        <v>4075</v>
      </c>
      <c r="AS59" s="54">
        <v>53</v>
      </c>
      <c r="AT59" s="82">
        <v>60</v>
      </c>
      <c r="AU59" s="78">
        <f t="shared" si="22"/>
        <v>5575</v>
      </c>
      <c r="AW59" s="54">
        <v>53</v>
      </c>
      <c r="AX59" s="82">
        <v>70</v>
      </c>
      <c r="AY59" s="78">
        <f t="shared" si="23"/>
        <v>6375</v>
      </c>
      <c r="BA59" s="54">
        <v>53</v>
      </c>
      <c r="BB59" s="82">
        <v>90</v>
      </c>
      <c r="BC59" s="78">
        <f t="shared" si="24"/>
        <v>8340</v>
      </c>
      <c r="BD59" s="125"/>
    </row>
    <row r="60" spans="1:56">
      <c r="A60" s="54">
        <v>54</v>
      </c>
      <c r="B60" s="82">
        <v>40</v>
      </c>
      <c r="C60" s="78">
        <f t="shared" si="25"/>
        <v>2990</v>
      </c>
      <c r="E60" s="129">
        <f t="shared" si="9"/>
        <v>1.3</v>
      </c>
      <c r="F60" s="38">
        <f t="shared" si="1"/>
        <v>52</v>
      </c>
      <c r="G60" s="130">
        <f t="shared" si="2"/>
        <v>3987</v>
      </c>
      <c r="I60" s="129">
        <f t="shared" si="10"/>
        <v>1.6</v>
      </c>
      <c r="J60" s="38">
        <f t="shared" si="3"/>
        <v>64</v>
      </c>
      <c r="K60" s="127">
        <f t="shared" si="4"/>
        <v>5084</v>
      </c>
      <c r="M60" s="129">
        <f t="shared" si="11"/>
        <v>2</v>
      </c>
      <c r="N60" s="38">
        <f t="shared" si="5"/>
        <v>80</v>
      </c>
      <c r="O60" s="128">
        <f t="shared" si="6"/>
        <v>6480</v>
      </c>
      <c r="Q60" s="129">
        <f t="shared" si="12"/>
        <v>2.5</v>
      </c>
      <c r="R60" s="38">
        <f t="shared" si="7"/>
        <v>100</v>
      </c>
      <c r="S60" s="131">
        <f t="shared" si="8"/>
        <v>8175</v>
      </c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3"/>
      <c r="AG60" s="54">
        <v>54</v>
      </c>
      <c r="AH60" s="82">
        <v>25</v>
      </c>
      <c r="AI60" s="78">
        <f t="shared" si="19"/>
        <v>2267</v>
      </c>
      <c r="AK60" s="54">
        <v>54</v>
      </c>
      <c r="AL60" s="82">
        <v>30</v>
      </c>
      <c r="AM60" s="78">
        <f t="shared" si="20"/>
        <v>2755</v>
      </c>
      <c r="AO60" s="54">
        <v>54</v>
      </c>
      <c r="AP60" s="82">
        <v>40</v>
      </c>
      <c r="AQ60" s="78">
        <f t="shared" si="21"/>
        <v>4115</v>
      </c>
      <c r="AS60" s="54">
        <v>54</v>
      </c>
      <c r="AT60" s="82">
        <v>60</v>
      </c>
      <c r="AU60" s="78">
        <f t="shared" si="22"/>
        <v>5635</v>
      </c>
      <c r="AW60" s="54">
        <v>54</v>
      </c>
      <c r="AX60" s="82">
        <v>70</v>
      </c>
      <c r="AY60" s="78">
        <f t="shared" si="23"/>
        <v>6445</v>
      </c>
      <c r="BA60" s="54">
        <v>54</v>
      </c>
      <c r="BB60" s="82">
        <v>90</v>
      </c>
      <c r="BC60" s="78">
        <f t="shared" si="24"/>
        <v>8430</v>
      </c>
      <c r="BD60" s="125"/>
    </row>
    <row r="61" spans="1:56">
      <c r="A61" s="54">
        <v>55</v>
      </c>
      <c r="B61" s="82">
        <v>40</v>
      </c>
      <c r="C61" s="78">
        <f t="shared" si="25"/>
        <v>3030</v>
      </c>
      <c r="E61" s="129">
        <f t="shared" si="9"/>
        <v>1.3</v>
      </c>
      <c r="F61" s="38">
        <f t="shared" si="1"/>
        <v>52</v>
      </c>
      <c r="G61" s="130">
        <f t="shared" si="2"/>
        <v>4039</v>
      </c>
      <c r="I61" s="129">
        <f t="shared" si="10"/>
        <v>1.6</v>
      </c>
      <c r="J61" s="38">
        <f t="shared" si="3"/>
        <v>64</v>
      </c>
      <c r="K61" s="127">
        <f t="shared" si="4"/>
        <v>5148</v>
      </c>
      <c r="M61" s="129">
        <f t="shared" si="11"/>
        <v>2</v>
      </c>
      <c r="N61" s="38">
        <f t="shared" si="5"/>
        <v>80</v>
      </c>
      <c r="O61" s="128">
        <f t="shared" si="6"/>
        <v>6560</v>
      </c>
      <c r="Q61" s="129">
        <f t="shared" si="12"/>
        <v>2.5</v>
      </c>
      <c r="R61" s="38">
        <f t="shared" si="7"/>
        <v>100</v>
      </c>
      <c r="S61" s="131">
        <f t="shared" si="8"/>
        <v>8275</v>
      </c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3"/>
      <c r="AG61" s="54">
        <v>55</v>
      </c>
      <c r="AH61" s="82">
        <v>25</v>
      </c>
      <c r="AI61" s="78">
        <f t="shared" si="19"/>
        <v>2292</v>
      </c>
      <c r="AK61" s="54">
        <v>55</v>
      </c>
      <c r="AL61" s="82">
        <v>30</v>
      </c>
      <c r="AM61" s="78">
        <f t="shared" si="20"/>
        <v>2785</v>
      </c>
      <c r="AO61" s="54">
        <v>55</v>
      </c>
      <c r="AP61" s="82">
        <v>40</v>
      </c>
      <c r="AQ61" s="78">
        <f t="shared" si="21"/>
        <v>4155</v>
      </c>
      <c r="AS61" s="54">
        <v>55</v>
      </c>
      <c r="AT61" s="82">
        <v>60</v>
      </c>
      <c r="AU61" s="78">
        <f t="shared" si="22"/>
        <v>5695</v>
      </c>
      <c r="AW61" s="54">
        <v>55</v>
      </c>
      <c r="AX61" s="82">
        <v>70</v>
      </c>
      <c r="AY61" s="78">
        <f t="shared" si="23"/>
        <v>6515</v>
      </c>
      <c r="BA61" s="54">
        <v>55</v>
      </c>
      <c r="BB61" s="82">
        <v>90</v>
      </c>
      <c r="BC61" s="78">
        <f t="shared" si="24"/>
        <v>8520</v>
      </c>
      <c r="BD61" s="125"/>
    </row>
    <row r="62" spans="1:56">
      <c r="A62" s="54">
        <v>56</v>
      </c>
      <c r="B62" s="82">
        <v>40</v>
      </c>
      <c r="C62" s="78">
        <f t="shared" si="25"/>
        <v>3070</v>
      </c>
      <c r="E62" s="129">
        <f t="shared" si="9"/>
        <v>1.3</v>
      </c>
      <c r="F62" s="38">
        <f t="shared" si="1"/>
        <v>52</v>
      </c>
      <c r="G62" s="130">
        <f t="shared" si="2"/>
        <v>4091</v>
      </c>
      <c r="I62" s="129">
        <f t="shared" si="10"/>
        <v>1.6</v>
      </c>
      <c r="J62" s="38">
        <f t="shared" si="3"/>
        <v>64</v>
      </c>
      <c r="K62" s="127">
        <f t="shared" si="4"/>
        <v>5212</v>
      </c>
      <c r="M62" s="129">
        <f t="shared" si="11"/>
        <v>2</v>
      </c>
      <c r="N62" s="38">
        <f t="shared" si="5"/>
        <v>80</v>
      </c>
      <c r="O62" s="128">
        <f t="shared" si="6"/>
        <v>6640</v>
      </c>
      <c r="Q62" s="129">
        <f t="shared" si="12"/>
        <v>2.5</v>
      </c>
      <c r="R62" s="38">
        <f t="shared" si="7"/>
        <v>100</v>
      </c>
      <c r="S62" s="131">
        <f t="shared" si="8"/>
        <v>8375</v>
      </c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3"/>
      <c r="AG62" s="54">
        <v>56</v>
      </c>
      <c r="AH62" s="82">
        <v>25</v>
      </c>
      <c r="AI62" s="78">
        <f t="shared" si="19"/>
        <v>2317</v>
      </c>
      <c r="AK62" s="54">
        <v>56</v>
      </c>
      <c r="AL62" s="82">
        <v>30</v>
      </c>
      <c r="AM62" s="78">
        <f t="shared" si="20"/>
        <v>2815</v>
      </c>
      <c r="AO62" s="54">
        <v>56</v>
      </c>
      <c r="AP62" s="82">
        <v>40</v>
      </c>
      <c r="AQ62" s="78">
        <f t="shared" si="21"/>
        <v>4195</v>
      </c>
      <c r="AS62" s="54">
        <v>56</v>
      </c>
      <c r="AT62" s="82">
        <v>60</v>
      </c>
      <c r="AU62" s="78">
        <f t="shared" si="22"/>
        <v>5755</v>
      </c>
      <c r="AW62" s="54">
        <v>56</v>
      </c>
      <c r="AX62" s="82">
        <v>70</v>
      </c>
      <c r="AY62" s="78">
        <f t="shared" si="23"/>
        <v>6585</v>
      </c>
      <c r="BA62" s="54">
        <v>56</v>
      </c>
      <c r="BB62" s="82">
        <v>90</v>
      </c>
      <c r="BC62" s="78">
        <f t="shared" si="24"/>
        <v>8610</v>
      </c>
      <c r="BD62" s="125"/>
    </row>
    <row r="63" spans="1:56">
      <c r="A63" s="54">
        <v>57</v>
      </c>
      <c r="B63" s="82">
        <v>40</v>
      </c>
      <c r="C63" s="78">
        <f t="shared" si="25"/>
        <v>3110</v>
      </c>
      <c r="E63" s="129">
        <f t="shared" si="9"/>
        <v>1.3</v>
      </c>
      <c r="F63" s="38">
        <f t="shared" si="1"/>
        <v>52</v>
      </c>
      <c r="G63" s="130">
        <f t="shared" si="2"/>
        <v>4143</v>
      </c>
      <c r="I63" s="129">
        <f t="shared" si="10"/>
        <v>1.6</v>
      </c>
      <c r="J63" s="38">
        <f t="shared" si="3"/>
        <v>64</v>
      </c>
      <c r="K63" s="127">
        <f t="shared" si="4"/>
        <v>5276</v>
      </c>
      <c r="M63" s="129">
        <f t="shared" si="11"/>
        <v>2</v>
      </c>
      <c r="N63" s="38">
        <f t="shared" si="5"/>
        <v>80</v>
      </c>
      <c r="O63" s="128">
        <f t="shared" si="6"/>
        <v>6720</v>
      </c>
      <c r="Q63" s="129">
        <f t="shared" si="12"/>
        <v>2.5</v>
      </c>
      <c r="R63" s="38">
        <f t="shared" si="7"/>
        <v>100</v>
      </c>
      <c r="S63" s="131">
        <f t="shared" si="8"/>
        <v>8475</v>
      </c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3"/>
      <c r="AG63" s="54">
        <v>57</v>
      </c>
      <c r="AH63" s="82">
        <v>25</v>
      </c>
      <c r="AI63" s="78">
        <f t="shared" si="19"/>
        <v>2342</v>
      </c>
      <c r="AK63" s="54">
        <v>57</v>
      </c>
      <c r="AL63" s="82">
        <v>30</v>
      </c>
      <c r="AM63" s="78">
        <f t="shared" si="20"/>
        <v>2845</v>
      </c>
      <c r="AO63" s="54">
        <v>57</v>
      </c>
      <c r="AP63" s="82">
        <v>40</v>
      </c>
      <c r="AQ63" s="78">
        <f t="shared" si="21"/>
        <v>4235</v>
      </c>
      <c r="AS63" s="54">
        <v>57</v>
      </c>
      <c r="AT63" s="82">
        <v>60</v>
      </c>
      <c r="AU63" s="78">
        <f t="shared" si="22"/>
        <v>5815</v>
      </c>
      <c r="AW63" s="54">
        <v>57</v>
      </c>
      <c r="AX63" s="82">
        <v>70</v>
      </c>
      <c r="AY63" s="78">
        <f t="shared" si="23"/>
        <v>6655</v>
      </c>
      <c r="BA63" s="54">
        <v>57</v>
      </c>
      <c r="BB63" s="82">
        <v>90</v>
      </c>
      <c r="BC63" s="78">
        <f t="shared" si="24"/>
        <v>8700</v>
      </c>
      <c r="BD63" s="125"/>
    </row>
    <row r="64" spans="1:56">
      <c r="A64" s="54">
        <v>58</v>
      </c>
      <c r="B64" s="82">
        <v>40</v>
      </c>
      <c r="C64" s="78">
        <f t="shared" si="25"/>
        <v>3150</v>
      </c>
      <c r="E64" s="129">
        <f t="shared" si="9"/>
        <v>1.3</v>
      </c>
      <c r="F64" s="38">
        <f t="shared" si="1"/>
        <v>52</v>
      </c>
      <c r="G64" s="130">
        <f t="shared" si="2"/>
        <v>4195</v>
      </c>
      <c r="I64" s="129">
        <f t="shared" si="10"/>
        <v>1.6</v>
      </c>
      <c r="J64" s="38">
        <f t="shared" si="3"/>
        <v>64</v>
      </c>
      <c r="K64" s="127">
        <f t="shared" si="4"/>
        <v>5340</v>
      </c>
      <c r="M64" s="129">
        <f t="shared" si="11"/>
        <v>2</v>
      </c>
      <c r="N64" s="38">
        <f t="shared" si="5"/>
        <v>80</v>
      </c>
      <c r="O64" s="128">
        <f t="shared" si="6"/>
        <v>6800</v>
      </c>
      <c r="Q64" s="129">
        <f t="shared" si="12"/>
        <v>2.5</v>
      </c>
      <c r="R64" s="38">
        <f t="shared" si="7"/>
        <v>100</v>
      </c>
      <c r="S64" s="131">
        <f t="shared" si="8"/>
        <v>8575</v>
      </c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3"/>
      <c r="AG64" s="54">
        <v>58</v>
      </c>
      <c r="AH64" s="82">
        <v>25</v>
      </c>
      <c r="AI64" s="78">
        <f t="shared" si="19"/>
        <v>2367</v>
      </c>
      <c r="AK64" s="54">
        <v>58</v>
      </c>
      <c r="AL64" s="82">
        <v>30</v>
      </c>
      <c r="AM64" s="78">
        <f t="shared" si="20"/>
        <v>2875</v>
      </c>
      <c r="AO64" s="54">
        <v>58</v>
      </c>
      <c r="AP64" s="82">
        <v>40</v>
      </c>
      <c r="AQ64" s="78">
        <f t="shared" si="21"/>
        <v>4275</v>
      </c>
      <c r="AS64" s="54">
        <v>58</v>
      </c>
      <c r="AT64" s="82">
        <v>60</v>
      </c>
      <c r="AU64" s="78">
        <f t="shared" si="22"/>
        <v>5875</v>
      </c>
      <c r="AW64" s="54">
        <v>58</v>
      </c>
      <c r="AX64" s="82">
        <v>70</v>
      </c>
      <c r="AY64" s="78">
        <f t="shared" si="23"/>
        <v>6725</v>
      </c>
      <c r="BA64" s="54">
        <v>58</v>
      </c>
      <c r="BB64" s="82">
        <v>90</v>
      </c>
      <c r="BC64" s="78">
        <f t="shared" si="24"/>
        <v>8790</v>
      </c>
      <c r="BD64" s="125"/>
    </row>
    <row r="65" spans="1:56">
      <c r="A65" s="54">
        <v>59</v>
      </c>
      <c r="B65" s="82">
        <v>40</v>
      </c>
      <c r="C65" s="78">
        <f t="shared" si="25"/>
        <v>3190</v>
      </c>
      <c r="E65" s="129">
        <f t="shared" si="9"/>
        <v>1.3</v>
      </c>
      <c r="F65" s="38">
        <f t="shared" si="1"/>
        <v>52</v>
      </c>
      <c r="G65" s="130">
        <f t="shared" si="2"/>
        <v>4247</v>
      </c>
      <c r="I65" s="129">
        <f t="shared" si="10"/>
        <v>1.6</v>
      </c>
      <c r="J65" s="38">
        <f t="shared" si="3"/>
        <v>64</v>
      </c>
      <c r="K65" s="127">
        <f t="shared" si="4"/>
        <v>5404</v>
      </c>
      <c r="M65" s="129">
        <f t="shared" si="11"/>
        <v>2</v>
      </c>
      <c r="N65" s="38">
        <f t="shared" si="5"/>
        <v>80</v>
      </c>
      <c r="O65" s="128">
        <f t="shared" si="6"/>
        <v>6880</v>
      </c>
      <c r="Q65" s="129">
        <f t="shared" si="12"/>
        <v>2.5</v>
      </c>
      <c r="R65" s="38">
        <f t="shared" si="7"/>
        <v>100</v>
      </c>
      <c r="S65" s="131">
        <f t="shared" si="8"/>
        <v>8675</v>
      </c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3"/>
      <c r="AG65" s="54">
        <v>59</v>
      </c>
      <c r="AH65" s="82">
        <v>25</v>
      </c>
      <c r="AI65" s="78">
        <f t="shared" si="19"/>
        <v>2392</v>
      </c>
      <c r="AK65" s="54">
        <v>59</v>
      </c>
      <c r="AL65" s="82">
        <v>30</v>
      </c>
      <c r="AM65" s="78">
        <f t="shared" si="20"/>
        <v>2905</v>
      </c>
      <c r="AO65" s="54">
        <v>59</v>
      </c>
      <c r="AP65" s="82">
        <v>40</v>
      </c>
      <c r="AQ65" s="78">
        <f t="shared" si="21"/>
        <v>4315</v>
      </c>
      <c r="AS65" s="54">
        <v>59</v>
      </c>
      <c r="AT65" s="82">
        <v>60</v>
      </c>
      <c r="AU65" s="78">
        <f t="shared" si="22"/>
        <v>5935</v>
      </c>
      <c r="AW65" s="54">
        <v>59</v>
      </c>
      <c r="AX65" s="82">
        <v>70</v>
      </c>
      <c r="AY65" s="78">
        <f t="shared" si="23"/>
        <v>6795</v>
      </c>
      <c r="BA65" s="54">
        <v>59</v>
      </c>
      <c r="BB65" s="82">
        <v>90</v>
      </c>
      <c r="BC65" s="78">
        <f t="shared" si="24"/>
        <v>8880</v>
      </c>
      <c r="BD65" s="125"/>
    </row>
    <row r="66" spans="1:56">
      <c r="A66" s="54">
        <v>60</v>
      </c>
      <c r="B66" s="83">
        <v>400</v>
      </c>
      <c r="C66" s="78">
        <f t="shared" si="25"/>
        <v>3590</v>
      </c>
      <c r="E66" s="129">
        <f t="shared" si="9"/>
        <v>1.3</v>
      </c>
      <c r="F66" s="38">
        <f t="shared" si="1"/>
        <v>520</v>
      </c>
      <c r="G66" s="130">
        <f t="shared" si="2"/>
        <v>4767</v>
      </c>
      <c r="I66" s="129">
        <f t="shared" si="10"/>
        <v>1.6</v>
      </c>
      <c r="J66" s="38">
        <f t="shared" si="3"/>
        <v>640</v>
      </c>
      <c r="K66" s="127">
        <f t="shared" si="4"/>
        <v>6044</v>
      </c>
      <c r="M66" s="129">
        <f t="shared" si="11"/>
        <v>2</v>
      </c>
      <c r="N66" s="38">
        <f t="shared" si="5"/>
        <v>800</v>
      </c>
      <c r="O66" s="128">
        <f t="shared" si="6"/>
        <v>7680</v>
      </c>
      <c r="Q66" s="129">
        <f t="shared" si="12"/>
        <v>2.5</v>
      </c>
      <c r="R66" s="38">
        <f t="shared" si="7"/>
        <v>1000</v>
      </c>
      <c r="S66" s="131">
        <f t="shared" si="8"/>
        <v>9675</v>
      </c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3"/>
      <c r="AG66" s="54">
        <v>60</v>
      </c>
      <c r="AH66" s="83">
        <v>250</v>
      </c>
      <c r="AI66" s="78">
        <f t="shared" si="19"/>
        <v>2642</v>
      </c>
      <c r="AK66" s="54">
        <v>60</v>
      </c>
      <c r="AL66" s="83">
        <v>400</v>
      </c>
      <c r="AM66" s="78">
        <f t="shared" si="20"/>
        <v>3305</v>
      </c>
      <c r="AO66" s="54">
        <v>60</v>
      </c>
      <c r="AP66" s="83">
        <v>600</v>
      </c>
      <c r="AQ66" s="78">
        <f t="shared" si="21"/>
        <v>4915</v>
      </c>
      <c r="AS66" s="54">
        <v>60</v>
      </c>
      <c r="AT66" s="83">
        <v>900</v>
      </c>
      <c r="AU66" s="78">
        <f t="shared" si="22"/>
        <v>6835</v>
      </c>
      <c r="AW66" s="54">
        <v>60</v>
      </c>
      <c r="AX66" s="83">
        <v>1100</v>
      </c>
      <c r="AY66" s="78">
        <f t="shared" si="23"/>
        <v>7895</v>
      </c>
      <c r="BA66" s="54">
        <v>60</v>
      </c>
      <c r="BB66" s="83">
        <v>1600</v>
      </c>
      <c r="BC66" s="78">
        <f t="shared" si="24"/>
        <v>10480</v>
      </c>
      <c r="BD66" s="125"/>
    </row>
    <row r="67" spans="1:56">
      <c r="A67" s="54">
        <v>61</v>
      </c>
      <c r="B67" s="82">
        <v>50</v>
      </c>
      <c r="C67" s="78">
        <f t="shared" si="25"/>
        <v>3640</v>
      </c>
      <c r="E67" s="129">
        <f t="shared" si="9"/>
        <v>1.3</v>
      </c>
      <c r="F67" s="38">
        <f t="shared" si="1"/>
        <v>65</v>
      </c>
      <c r="G67" s="130">
        <f t="shared" si="2"/>
        <v>4832</v>
      </c>
      <c r="I67" s="129">
        <f t="shared" si="10"/>
        <v>1.6</v>
      </c>
      <c r="J67" s="38">
        <f t="shared" si="3"/>
        <v>80</v>
      </c>
      <c r="K67" s="127">
        <f t="shared" si="4"/>
        <v>6124</v>
      </c>
      <c r="M67" s="129">
        <f t="shared" si="11"/>
        <v>2</v>
      </c>
      <c r="N67" s="38">
        <f t="shared" si="5"/>
        <v>100</v>
      </c>
      <c r="O67" s="128">
        <f t="shared" si="6"/>
        <v>7780</v>
      </c>
      <c r="Q67" s="129">
        <f t="shared" si="12"/>
        <v>2.5</v>
      </c>
      <c r="R67" s="38">
        <f t="shared" si="7"/>
        <v>125</v>
      </c>
      <c r="S67" s="131">
        <f t="shared" si="8"/>
        <v>9800</v>
      </c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3"/>
      <c r="AG67" s="54">
        <v>61</v>
      </c>
      <c r="AH67" s="82">
        <v>30</v>
      </c>
      <c r="AI67" s="78">
        <f t="shared" si="19"/>
        <v>2672</v>
      </c>
      <c r="AK67" s="54">
        <v>61</v>
      </c>
      <c r="AL67" s="82">
        <v>35</v>
      </c>
      <c r="AM67" s="78">
        <f t="shared" si="20"/>
        <v>3340</v>
      </c>
      <c r="AO67" s="54">
        <v>61</v>
      </c>
      <c r="AP67" s="82">
        <v>45</v>
      </c>
      <c r="AQ67" s="78">
        <f t="shared" si="21"/>
        <v>4960</v>
      </c>
      <c r="AS67" s="54">
        <v>61</v>
      </c>
      <c r="AT67" s="82">
        <v>65</v>
      </c>
      <c r="AU67" s="78">
        <f t="shared" si="22"/>
        <v>6900</v>
      </c>
      <c r="AW67" s="54">
        <v>61</v>
      </c>
      <c r="AX67" s="82">
        <v>75</v>
      </c>
      <c r="AY67" s="78">
        <f t="shared" si="23"/>
        <v>7970</v>
      </c>
      <c r="BA67" s="54">
        <v>61</v>
      </c>
      <c r="BB67" s="82">
        <v>95</v>
      </c>
      <c r="BC67" s="78">
        <f t="shared" si="24"/>
        <v>10575</v>
      </c>
      <c r="BD67" s="125"/>
    </row>
    <row r="68" spans="1:56">
      <c r="A68" s="54">
        <v>62</v>
      </c>
      <c r="B68" s="82">
        <v>50</v>
      </c>
      <c r="C68" s="78">
        <f t="shared" si="25"/>
        <v>3690</v>
      </c>
      <c r="E68" s="129">
        <f t="shared" si="9"/>
        <v>1.3</v>
      </c>
      <c r="F68" s="38">
        <f t="shared" si="1"/>
        <v>65</v>
      </c>
      <c r="G68" s="130">
        <f t="shared" si="2"/>
        <v>4897</v>
      </c>
      <c r="I68" s="129">
        <f t="shared" si="10"/>
        <v>1.6</v>
      </c>
      <c r="J68" s="38">
        <f t="shared" si="3"/>
        <v>80</v>
      </c>
      <c r="K68" s="127">
        <f t="shared" si="4"/>
        <v>6204</v>
      </c>
      <c r="M68" s="129">
        <f t="shared" si="11"/>
        <v>2</v>
      </c>
      <c r="N68" s="38">
        <f t="shared" si="5"/>
        <v>100</v>
      </c>
      <c r="O68" s="128">
        <f t="shared" si="6"/>
        <v>7880</v>
      </c>
      <c r="Q68" s="129">
        <f t="shared" si="12"/>
        <v>2.5</v>
      </c>
      <c r="R68" s="38">
        <f t="shared" si="7"/>
        <v>125</v>
      </c>
      <c r="S68" s="131">
        <f t="shared" si="8"/>
        <v>9925</v>
      </c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3"/>
      <c r="AG68" s="54">
        <v>62</v>
      </c>
      <c r="AH68" s="82">
        <v>30</v>
      </c>
      <c r="AI68" s="78">
        <f t="shared" si="19"/>
        <v>2702</v>
      </c>
      <c r="AK68" s="54">
        <v>62</v>
      </c>
      <c r="AL68" s="82">
        <v>35</v>
      </c>
      <c r="AM68" s="78">
        <f t="shared" si="20"/>
        <v>3375</v>
      </c>
      <c r="AO68" s="54">
        <v>62</v>
      </c>
      <c r="AP68" s="82">
        <v>45</v>
      </c>
      <c r="AQ68" s="78">
        <f t="shared" si="21"/>
        <v>5005</v>
      </c>
      <c r="AS68" s="54">
        <v>62</v>
      </c>
      <c r="AT68" s="82">
        <v>65</v>
      </c>
      <c r="AU68" s="78">
        <f t="shared" si="22"/>
        <v>6965</v>
      </c>
      <c r="AW68" s="54">
        <v>62</v>
      </c>
      <c r="AX68" s="82">
        <v>75</v>
      </c>
      <c r="AY68" s="78">
        <f t="shared" si="23"/>
        <v>8045</v>
      </c>
      <c r="BA68" s="54">
        <v>62</v>
      </c>
      <c r="BB68" s="82">
        <v>95</v>
      </c>
      <c r="BC68" s="78">
        <f t="shared" si="24"/>
        <v>10670</v>
      </c>
      <c r="BD68" s="125"/>
    </row>
    <row r="69" spans="1:56">
      <c r="A69" s="54">
        <v>63</v>
      </c>
      <c r="B69" s="82">
        <v>50</v>
      </c>
      <c r="C69" s="78">
        <f t="shared" si="25"/>
        <v>3740</v>
      </c>
      <c r="E69" s="129">
        <f t="shared" si="9"/>
        <v>1.3</v>
      </c>
      <c r="F69" s="38">
        <f t="shared" si="1"/>
        <v>65</v>
      </c>
      <c r="G69" s="130">
        <f t="shared" si="2"/>
        <v>4962</v>
      </c>
      <c r="I69" s="129">
        <f t="shared" si="10"/>
        <v>1.6</v>
      </c>
      <c r="J69" s="38">
        <f t="shared" si="3"/>
        <v>80</v>
      </c>
      <c r="K69" s="127">
        <f t="shared" si="4"/>
        <v>6284</v>
      </c>
      <c r="M69" s="129">
        <f t="shared" si="11"/>
        <v>2</v>
      </c>
      <c r="N69" s="38">
        <f t="shared" si="5"/>
        <v>100</v>
      </c>
      <c r="O69" s="128">
        <f t="shared" si="6"/>
        <v>7980</v>
      </c>
      <c r="Q69" s="129">
        <f t="shared" si="12"/>
        <v>2.5</v>
      </c>
      <c r="R69" s="38">
        <f t="shared" si="7"/>
        <v>125</v>
      </c>
      <c r="S69" s="131">
        <f t="shared" si="8"/>
        <v>10050</v>
      </c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3"/>
      <c r="AG69" s="54">
        <v>63</v>
      </c>
      <c r="AH69" s="82">
        <v>30</v>
      </c>
      <c r="AI69" s="78">
        <f t="shared" si="19"/>
        <v>2732</v>
      </c>
      <c r="AK69" s="54">
        <v>63</v>
      </c>
      <c r="AL69" s="82">
        <v>35</v>
      </c>
      <c r="AM69" s="78">
        <f t="shared" si="20"/>
        <v>3410</v>
      </c>
      <c r="AO69" s="54">
        <v>63</v>
      </c>
      <c r="AP69" s="82">
        <v>45</v>
      </c>
      <c r="AQ69" s="78">
        <f t="shared" si="21"/>
        <v>5050</v>
      </c>
      <c r="AS69" s="54">
        <v>63</v>
      </c>
      <c r="AT69" s="82">
        <v>65</v>
      </c>
      <c r="AU69" s="78">
        <f t="shared" si="22"/>
        <v>7030</v>
      </c>
      <c r="AW69" s="54">
        <v>63</v>
      </c>
      <c r="AX69" s="82">
        <v>75</v>
      </c>
      <c r="AY69" s="78">
        <f t="shared" si="23"/>
        <v>8120</v>
      </c>
      <c r="BA69" s="54">
        <v>63</v>
      </c>
      <c r="BB69" s="82">
        <v>95</v>
      </c>
      <c r="BC69" s="78">
        <f t="shared" si="24"/>
        <v>10765</v>
      </c>
      <c r="BD69" s="125"/>
    </row>
    <row r="70" spans="1:56">
      <c r="A70" s="54">
        <v>64</v>
      </c>
      <c r="B70" s="82">
        <v>50</v>
      </c>
      <c r="C70" s="78">
        <f t="shared" si="25"/>
        <v>3790</v>
      </c>
      <c r="E70" s="129">
        <f t="shared" si="9"/>
        <v>1.3</v>
      </c>
      <c r="F70" s="38">
        <f t="shared" si="1"/>
        <v>65</v>
      </c>
      <c r="G70" s="130">
        <f t="shared" si="2"/>
        <v>5027</v>
      </c>
      <c r="I70" s="129">
        <f t="shared" si="10"/>
        <v>1.6</v>
      </c>
      <c r="J70" s="38">
        <f t="shared" si="3"/>
        <v>80</v>
      </c>
      <c r="K70" s="127">
        <f t="shared" si="4"/>
        <v>6364</v>
      </c>
      <c r="M70" s="129">
        <f t="shared" si="11"/>
        <v>2</v>
      </c>
      <c r="N70" s="38">
        <f t="shared" si="5"/>
        <v>100</v>
      </c>
      <c r="O70" s="128">
        <f t="shared" si="6"/>
        <v>8080</v>
      </c>
      <c r="Q70" s="129">
        <f t="shared" si="12"/>
        <v>2.5</v>
      </c>
      <c r="R70" s="38">
        <f t="shared" si="7"/>
        <v>125</v>
      </c>
      <c r="S70" s="131">
        <f t="shared" si="8"/>
        <v>10175</v>
      </c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3"/>
      <c r="AG70" s="54">
        <v>64</v>
      </c>
      <c r="AH70" s="82">
        <v>30</v>
      </c>
      <c r="AI70" s="78">
        <f t="shared" si="19"/>
        <v>2762</v>
      </c>
      <c r="AK70" s="54">
        <v>64</v>
      </c>
      <c r="AL70" s="82">
        <v>35</v>
      </c>
      <c r="AM70" s="78">
        <f t="shared" si="20"/>
        <v>3445</v>
      </c>
      <c r="AO70" s="54">
        <v>64</v>
      </c>
      <c r="AP70" s="82">
        <v>45</v>
      </c>
      <c r="AQ70" s="78">
        <f t="shared" si="21"/>
        <v>5095</v>
      </c>
      <c r="AS70" s="54">
        <v>64</v>
      </c>
      <c r="AT70" s="82">
        <v>65</v>
      </c>
      <c r="AU70" s="78">
        <f t="shared" si="22"/>
        <v>7095</v>
      </c>
      <c r="AW70" s="54">
        <v>64</v>
      </c>
      <c r="AX70" s="82">
        <v>75</v>
      </c>
      <c r="AY70" s="78">
        <f t="shared" si="23"/>
        <v>8195</v>
      </c>
      <c r="BA70" s="54">
        <v>64</v>
      </c>
      <c r="BB70" s="82">
        <v>95</v>
      </c>
      <c r="BC70" s="78">
        <f t="shared" si="24"/>
        <v>10860</v>
      </c>
      <c r="BD70" s="125"/>
    </row>
    <row r="71" spans="1:56">
      <c r="A71" s="54">
        <v>65</v>
      </c>
      <c r="B71" s="82">
        <v>50</v>
      </c>
      <c r="C71" s="78">
        <f t="shared" si="25"/>
        <v>3840</v>
      </c>
      <c r="E71" s="129">
        <f t="shared" si="9"/>
        <v>1.3</v>
      </c>
      <c r="F71" s="38">
        <f t="shared" si="1"/>
        <v>65</v>
      </c>
      <c r="G71" s="130">
        <f t="shared" si="2"/>
        <v>5092</v>
      </c>
      <c r="I71" s="129">
        <f t="shared" si="10"/>
        <v>1.6</v>
      </c>
      <c r="J71" s="38">
        <f t="shared" si="3"/>
        <v>80</v>
      </c>
      <c r="K71" s="127">
        <f t="shared" si="4"/>
        <v>6444</v>
      </c>
      <c r="M71" s="129">
        <f t="shared" si="11"/>
        <v>2</v>
      </c>
      <c r="N71" s="38">
        <f t="shared" si="5"/>
        <v>100</v>
      </c>
      <c r="O71" s="128">
        <f t="shared" si="6"/>
        <v>8180</v>
      </c>
      <c r="Q71" s="129">
        <f t="shared" si="12"/>
        <v>2.5</v>
      </c>
      <c r="R71" s="38">
        <f t="shared" si="7"/>
        <v>125</v>
      </c>
      <c r="S71" s="131">
        <f t="shared" si="8"/>
        <v>10300</v>
      </c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3"/>
      <c r="AG71" s="54">
        <v>65</v>
      </c>
      <c r="AH71" s="82">
        <v>30</v>
      </c>
      <c r="AI71" s="78">
        <f t="shared" si="19"/>
        <v>2792</v>
      </c>
      <c r="AK71" s="54">
        <v>65</v>
      </c>
      <c r="AL71" s="82">
        <v>35</v>
      </c>
      <c r="AM71" s="78">
        <f t="shared" si="20"/>
        <v>3480</v>
      </c>
      <c r="AO71" s="54">
        <v>65</v>
      </c>
      <c r="AP71" s="82">
        <v>45</v>
      </c>
      <c r="AQ71" s="78">
        <f t="shared" si="21"/>
        <v>5140</v>
      </c>
      <c r="AS71" s="54">
        <v>65</v>
      </c>
      <c r="AT71" s="82">
        <v>65</v>
      </c>
      <c r="AU71" s="78">
        <f t="shared" si="22"/>
        <v>7160</v>
      </c>
      <c r="AW71" s="54">
        <v>65</v>
      </c>
      <c r="AX71" s="82">
        <v>75</v>
      </c>
      <c r="AY71" s="78">
        <f t="shared" si="23"/>
        <v>8270</v>
      </c>
      <c r="BA71" s="54">
        <v>65</v>
      </c>
      <c r="BB71" s="82">
        <v>95</v>
      </c>
      <c r="BC71" s="78">
        <f t="shared" si="24"/>
        <v>10955</v>
      </c>
      <c r="BD71" s="125"/>
    </row>
    <row r="72" spans="1:56">
      <c r="A72" s="54">
        <v>66</v>
      </c>
      <c r="B72" s="82">
        <v>50</v>
      </c>
      <c r="C72" s="78">
        <f t="shared" ref="C72:C103" si="26">C71+B72</f>
        <v>3890</v>
      </c>
      <c r="E72" s="129">
        <f t="shared" si="9"/>
        <v>1.3</v>
      </c>
      <c r="F72" s="38">
        <f t="shared" si="1"/>
        <v>65</v>
      </c>
      <c r="G72" s="130">
        <f t="shared" si="2"/>
        <v>5157</v>
      </c>
      <c r="I72" s="129">
        <f t="shared" si="10"/>
        <v>1.6</v>
      </c>
      <c r="J72" s="38">
        <f t="shared" si="3"/>
        <v>80</v>
      </c>
      <c r="K72" s="127">
        <f t="shared" si="4"/>
        <v>6524</v>
      </c>
      <c r="M72" s="129">
        <f t="shared" si="11"/>
        <v>2</v>
      </c>
      <c r="N72" s="38">
        <f t="shared" si="5"/>
        <v>100</v>
      </c>
      <c r="O72" s="128">
        <f t="shared" si="6"/>
        <v>8280</v>
      </c>
      <c r="Q72" s="129">
        <f t="shared" si="12"/>
        <v>2.5</v>
      </c>
      <c r="R72" s="38">
        <f t="shared" si="7"/>
        <v>125</v>
      </c>
      <c r="S72" s="131">
        <f t="shared" si="8"/>
        <v>10425</v>
      </c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3"/>
      <c r="AG72" s="54">
        <v>66</v>
      </c>
      <c r="AH72" s="82">
        <v>30</v>
      </c>
      <c r="AI72" s="78">
        <f t="shared" si="19"/>
        <v>2822</v>
      </c>
      <c r="AK72" s="54">
        <v>66</v>
      </c>
      <c r="AL72" s="82">
        <v>35</v>
      </c>
      <c r="AM72" s="78">
        <f t="shared" si="20"/>
        <v>3515</v>
      </c>
      <c r="AO72" s="54">
        <v>66</v>
      </c>
      <c r="AP72" s="82">
        <v>45</v>
      </c>
      <c r="AQ72" s="78">
        <f t="shared" si="21"/>
        <v>5185</v>
      </c>
      <c r="AS72" s="54">
        <v>66</v>
      </c>
      <c r="AT72" s="82">
        <v>65</v>
      </c>
      <c r="AU72" s="78">
        <f t="shared" si="22"/>
        <v>7225</v>
      </c>
      <c r="AW72" s="54">
        <v>66</v>
      </c>
      <c r="AX72" s="82">
        <v>75</v>
      </c>
      <c r="AY72" s="78">
        <f t="shared" si="23"/>
        <v>8345</v>
      </c>
      <c r="BA72" s="54">
        <v>66</v>
      </c>
      <c r="BB72" s="82">
        <v>95</v>
      </c>
      <c r="BC72" s="78">
        <f t="shared" si="24"/>
        <v>11050</v>
      </c>
      <c r="BD72" s="125"/>
    </row>
    <row r="73" spans="1:56">
      <c r="A73" s="54">
        <v>67</v>
      </c>
      <c r="B73" s="82">
        <v>50</v>
      </c>
      <c r="C73" s="78">
        <f t="shared" si="26"/>
        <v>3940</v>
      </c>
      <c r="E73" s="129">
        <f t="shared" si="9"/>
        <v>1.3</v>
      </c>
      <c r="F73" s="38">
        <f t="shared" ref="F73:F103" si="27">B73*E73</f>
        <v>65</v>
      </c>
      <c r="G73" s="130">
        <f t="shared" ref="G73:G105" si="28">G72+F73</f>
        <v>5222</v>
      </c>
      <c r="I73" s="129">
        <f t="shared" si="10"/>
        <v>1.6</v>
      </c>
      <c r="J73" s="38">
        <f t="shared" ref="J73:J105" si="29">B73*I73</f>
        <v>80</v>
      </c>
      <c r="K73" s="127">
        <f t="shared" ref="K73:K105" si="30">K72+J73</f>
        <v>6604</v>
      </c>
      <c r="M73" s="129">
        <f t="shared" si="11"/>
        <v>2</v>
      </c>
      <c r="N73" s="38">
        <f t="shared" ref="N73:N105" si="31">B73*M73</f>
        <v>100</v>
      </c>
      <c r="O73" s="128">
        <f t="shared" ref="O73:O105" si="32">O72+N73</f>
        <v>8380</v>
      </c>
      <c r="Q73" s="129">
        <f t="shared" si="12"/>
        <v>2.5</v>
      </c>
      <c r="R73" s="38">
        <f t="shared" ref="R73:R105" si="33">B73*Q73</f>
        <v>125</v>
      </c>
      <c r="S73" s="131">
        <f t="shared" ref="S73:S105" si="34">S72+R73</f>
        <v>10550</v>
      </c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3"/>
      <c r="AG73" s="54">
        <v>67</v>
      </c>
      <c r="AH73" s="82">
        <v>30</v>
      </c>
      <c r="AI73" s="78">
        <f t="shared" si="19"/>
        <v>2852</v>
      </c>
      <c r="AK73" s="54">
        <v>67</v>
      </c>
      <c r="AL73" s="82">
        <v>35</v>
      </c>
      <c r="AM73" s="78">
        <f t="shared" si="20"/>
        <v>3550</v>
      </c>
      <c r="AO73" s="54">
        <v>67</v>
      </c>
      <c r="AP73" s="82">
        <v>45</v>
      </c>
      <c r="AQ73" s="78">
        <f t="shared" si="21"/>
        <v>5230</v>
      </c>
      <c r="AS73" s="54">
        <v>67</v>
      </c>
      <c r="AT73" s="82">
        <v>65</v>
      </c>
      <c r="AU73" s="78">
        <f t="shared" si="22"/>
        <v>7290</v>
      </c>
      <c r="AW73" s="54">
        <v>67</v>
      </c>
      <c r="AX73" s="82">
        <v>75</v>
      </c>
      <c r="AY73" s="78">
        <f t="shared" si="23"/>
        <v>8420</v>
      </c>
      <c r="BA73" s="54">
        <v>67</v>
      </c>
      <c r="BB73" s="82">
        <v>95</v>
      </c>
      <c r="BC73" s="78">
        <f t="shared" si="24"/>
        <v>11145</v>
      </c>
      <c r="BD73" s="125"/>
    </row>
    <row r="74" spans="1:56">
      <c r="A74" s="54">
        <v>68</v>
      </c>
      <c r="B74" s="82">
        <v>50</v>
      </c>
      <c r="C74" s="78">
        <f t="shared" si="26"/>
        <v>3990</v>
      </c>
      <c r="E74" s="129">
        <f t="shared" ref="E74:E106" si="35">E73</f>
        <v>1.3</v>
      </c>
      <c r="F74" s="38">
        <f t="shared" si="27"/>
        <v>65</v>
      </c>
      <c r="G74" s="130">
        <f t="shared" si="28"/>
        <v>5287</v>
      </c>
      <c r="I74" s="129">
        <f t="shared" ref="I74:I106" si="36">I73</f>
        <v>1.6</v>
      </c>
      <c r="J74" s="38">
        <f t="shared" si="29"/>
        <v>80</v>
      </c>
      <c r="K74" s="127">
        <f t="shared" si="30"/>
        <v>6684</v>
      </c>
      <c r="M74" s="129">
        <f t="shared" ref="M74:M106" si="37">M73</f>
        <v>2</v>
      </c>
      <c r="N74" s="38">
        <f t="shared" si="31"/>
        <v>100</v>
      </c>
      <c r="O74" s="128">
        <f t="shared" si="32"/>
        <v>8480</v>
      </c>
      <c r="Q74" s="129">
        <f t="shared" ref="Q74:Q106" si="38">Q73</f>
        <v>2.5</v>
      </c>
      <c r="R74" s="38">
        <f t="shared" si="33"/>
        <v>125</v>
      </c>
      <c r="S74" s="131">
        <f t="shared" si="34"/>
        <v>10675</v>
      </c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3"/>
      <c r="AG74" s="54">
        <v>68</v>
      </c>
      <c r="AH74" s="82">
        <v>30</v>
      </c>
      <c r="AI74" s="78">
        <f t="shared" si="19"/>
        <v>2882</v>
      </c>
      <c r="AK74" s="54">
        <v>68</v>
      </c>
      <c r="AL74" s="82">
        <v>35</v>
      </c>
      <c r="AM74" s="78">
        <f t="shared" si="20"/>
        <v>3585</v>
      </c>
      <c r="AO74" s="54">
        <v>68</v>
      </c>
      <c r="AP74" s="82">
        <v>45</v>
      </c>
      <c r="AQ74" s="78">
        <f t="shared" si="21"/>
        <v>5275</v>
      </c>
      <c r="AS74" s="54">
        <v>68</v>
      </c>
      <c r="AT74" s="82">
        <v>65</v>
      </c>
      <c r="AU74" s="78">
        <f t="shared" si="22"/>
        <v>7355</v>
      </c>
      <c r="AW74" s="54">
        <v>68</v>
      </c>
      <c r="AX74" s="82">
        <v>75</v>
      </c>
      <c r="AY74" s="78">
        <f t="shared" si="23"/>
        <v>8495</v>
      </c>
      <c r="BA74" s="54">
        <v>68</v>
      </c>
      <c r="BB74" s="82">
        <v>95</v>
      </c>
      <c r="BC74" s="78">
        <f t="shared" si="24"/>
        <v>11240</v>
      </c>
      <c r="BD74" s="125"/>
    </row>
    <row r="75" spans="1:56">
      <c r="A75" s="54">
        <v>69</v>
      </c>
      <c r="B75" s="82">
        <v>50</v>
      </c>
      <c r="C75" s="78">
        <f t="shared" si="26"/>
        <v>4040</v>
      </c>
      <c r="E75" s="129">
        <f t="shared" si="35"/>
        <v>1.3</v>
      </c>
      <c r="F75" s="38">
        <f t="shared" si="27"/>
        <v>65</v>
      </c>
      <c r="G75" s="130">
        <f t="shared" si="28"/>
        <v>5352</v>
      </c>
      <c r="I75" s="129">
        <f t="shared" si="36"/>
        <v>1.6</v>
      </c>
      <c r="J75" s="38">
        <f t="shared" si="29"/>
        <v>80</v>
      </c>
      <c r="K75" s="127">
        <f t="shared" si="30"/>
        <v>6764</v>
      </c>
      <c r="M75" s="129">
        <f t="shared" si="37"/>
        <v>2</v>
      </c>
      <c r="N75" s="38">
        <f t="shared" si="31"/>
        <v>100</v>
      </c>
      <c r="O75" s="128">
        <f t="shared" si="32"/>
        <v>8580</v>
      </c>
      <c r="Q75" s="129">
        <f t="shared" si="38"/>
        <v>2.5</v>
      </c>
      <c r="R75" s="38">
        <f t="shared" si="33"/>
        <v>125</v>
      </c>
      <c r="S75" s="131">
        <f t="shared" si="34"/>
        <v>10800</v>
      </c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3"/>
      <c r="AG75" s="54">
        <v>69</v>
      </c>
      <c r="AH75" s="82">
        <v>30</v>
      </c>
      <c r="AI75" s="78">
        <f t="shared" si="19"/>
        <v>2912</v>
      </c>
      <c r="AK75" s="54">
        <v>69</v>
      </c>
      <c r="AL75" s="82">
        <v>35</v>
      </c>
      <c r="AM75" s="78">
        <f t="shared" si="20"/>
        <v>3620</v>
      </c>
      <c r="AO75" s="54">
        <v>69</v>
      </c>
      <c r="AP75" s="82">
        <v>45</v>
      </c>
      <c r="AQ75" s="78">
        <f t="shared" si="21"/>
        <v>5320</v>
      </c>
      <c r="AS75" s="54">
        <v>69</v>
      </c>
      <c r="AT75" s="82">
        <v>65</v>
      </c>
      <c r="AU75" s="78">
        <f t="shared" si="22"/>
        <v>7420</v>
      </c>
      <c r="AW75" s="54">
        <v>69</v>
      </c>
      <c r="AX75" s="82">
        <v>75</v>
      </c>
      <c r="AY75" s="78">
        <f t="shared" si="23"/>
        <v>8570</v>
      </c>
      <c r="BA75" s="54">
        <v>69</v>
      </c>
      <c r="BB75" s="82">
        <v>95</v>
      </c>
      <c r="BC75" s="78">
        <f t="shared" si="24"/>
        <v>11335</v>
      </c>
      <c r="BD75" s="125"/>
    </row>
    <row r="76" spans="1:56">
      <c r="A76" s="54">
        <v>70</v>
      </c>
      <c r="B76" s="82">
        <v>50</v>
      </c>
      <c r="C76" s="78">
        <f t="shared" si="26"/>
        <v>4090</v>
      </c>
      <c r="E76" s="129">
        <f t="shared" si="35"/>
        <v>1.3</v>
      </c>
      <c r="F76" s="38">
        <f t="shared" si="27"/>
        <v>65</v>
      </c>
      <c r="G76" s="130">
        <f t="shared" si="28"/>
        <v>5417</v>
      </c>
      <c r="I76" s="129">
        <f t="shared" si="36"/>
        <v>1.6</v>
      </c>
      <c r="J76" s="38">
        <f t="shared" si="29"/>
        <v>80</v>
      </c>
      <c r="K76" s="127">
        <f t="shared" si="30"/>
        <v>6844</v>
      </c>
      <c r="M76" s="129">
        <f t="shared" si="37"/>
        <v>2</v>
      </c>
      <c r="N76" s="38">
        <f t="shared" si="31"/>
        <v>100</v>
      </c>
      <c r="O76" s="128">
        <f t="shared" si="32"/>
        <v>8680</v>
      </c>
      <c r="Q76" s="129">
        <f t="shared" si="38"/>
        <v>2.5</v>
      </c>
      <c r="R76" s="38">
        <f t="shared" si="33"/>
        <v>125</v>
      </c>
      <c r="S76" s="131">
        <f t="shared" si="34"/>
        <v>10925</v>
      </c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3"/>
      <c r="AG76" s="54">
        <v>70</v>
      </c>
      <c r="AH76" s="82">
        <v>35</v>
      </c>
      <c r="AI76" s="78">
        <f t="shared" si="19"/>
        <v>2947</v>
      </c>
      <c r="AK76" s="54">
        <v>70</v>
      </c>
      <c r="AL76" s="82">
        <v>35</v>
      </c>
      <c r="AM76" s="78">
        <f t="shared" si="20"/>
        <v>3655</v>
      </c>
      <c r="AO76" s="54">
        <v>70</v>
      </c>
      <c r="AP76" s="82">
        <v>45</v>
      </c>
      <c r="AQ76" s="78">
        <f t="shared" si="21"/>
        <v>5365</v>
      </c>
      <c r="AS76" s="54">
        <v>70</v>
      </c>
      <c r="AT76" s="82">
        <v>65</v>
      </c>
      <c r="AU76" s="78">
        <f t="shared" si="22"/>
        <v>7485</v>
      </c>
      <c r="AW76" s="54">
        <v>70</v>
      </c>
      <c r="AX76" s="82">
        <v>75</v>
      </c>
      <c r="AY76" s="78">
        <f t="shared" si="23"/>
        <v>8645</v>
      </c>
      <c r="BA76" s="54">
        <v>70</v>
      </c>
      <c r="BB76" s="82">
        <v>95</v>
      </c>
      <c r="BC76" s="78">
        <f t="shared" si="24"/>
        <v>11430</v>
      </c>
      <c r="BD76" s="125"/>
    </row>
    <row r="77" spans="1:56">
      <c r="A77" s="54">
        <v>71</v>
      </c>
      <c r="B77" s="82">
        <v>50</v>
      </c>
      <c r="C77" s="78">
        <f t="shared" si="26"/>
        <v>4140</v>
      </c>
      <c r="E77" s="129">
        <f t="shared" si="35"/>
        <v>1.3</v>
      </c>
      <c r="F77" s="38">
        <f t="shared" si="27"/>
        <v>65</v>
      </c>
      <c r="G77" s="130">
        <f t="shared" si="28"/>
        <v>5482</v>
      </c>
      <c r="I77" s="129">
        <f t="shared" si="36"/>
        <v>1.6</v>
      </c>
      <c r="J77" s="38">
        <f t="shared" si="29"/>
        <v>80</v>
      </c>
      <c r="K77" s="127">
        <f t="shared" si="30"/>
        <v>6924</v>
      </c>
      <c r="M77" s="129">
        <f t="shared" si="37"/>
        <v>2</v>
      </c>
      <c r="N77" s="38">
        <f t="shared" si="31"/>
        <v>100</v>
      </c>
      <c r="O77" s="128">
        <f t="shared" si="32"/>
        <v>8780</v>
      </c>
      <c r="Q77" s="129">
        <f t="shared" si="38"/>
        <v>2.5</v>
      </c>
      <c r="R77" s="38">
        <f t="shared" si="33"/>
        <v>125</v>
      </c>
      <c r="S77" s="131">
        <f t="shared" si="34"/>
        <v>11050</v>
      </c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3"/>
      <c r="AG77" s="54">
        <v>71</v>
      </c>
      <c r="AH77" s="82">
        <v>35</v>
      </c>
      <c r="AI77" s="78">
        <f t="shared" si="19"/>
        <v>2982</v>
      </c>
      <c r="AK77" s="54">
        <v>71</v>
      </c>
      <c r="AL77" s="82">
        <v>35</v>
      </c>
      <c r="AM77" s="78">
        <f t="shared" si="20"/>
        <v>3690</v>
      </c>
      <c r="AO77" s="54">
        <v>71</v>
      </c>
      <c r="AP77" s="82">
        <v>45</v>
      </c>
      <c r="AQ77" s="78">
        <f t="shared" si="21"/>
        <v>5410</v>
      </c>
      <c r="AS77" s="54">
        <v>71</v>
      </c>
      <c r="AT77" s="82">
        <v>65</v>
      </c>
      <c r="AU77" s="78">
        <f t="shared" si="22"/>
        <v>7550</v>
      </c>
      <c r="AW77" s="54">
        <v>71</v>
      </c>
      <c r="AX77" s="82">
        <v>75</v>
      </c>
      <c r="AY77" s="78">
        <f t="shared" si="23"/>
        <v>8720</v>
      </c>
      <c r="BA77" s="54">
        <v>71</v>
      </c>
      <c r="BB77" s="82">
        <v>95</v>
      </c>
      <c r="BC77" s="78">
        <f t="shared" si="24"/>
        <v>11525</v>
      </c>
      <c r="BD77" s="125"/>
    </row>
    <row r="78" spans="1:56">
      <c r="A78" s="54">
        <v>72</v>
      </c>
      <c r="B78" s="82">
        <v>50</v>
      </c>
      <c r="C78" s="78">
        <f t="shared" si="26"/>
        <v>4190</v>
      </c>
      <c r="E78" s="129">
        <f t="shared" si="35"/>
        <v>1.3</v>
      </c>
      <c r="F78" s="38">
        <f t="shared" si="27"/>
        <v>65</v>
      </c>
      <c r="G78" s="130">
        <f t="shared" si="28"/>
        <v>5547</v>
      </c>
      <c r="I78" s="129">
        <f t="shared" si="36"/>
        <v>1.6</v>
      </c>
      <c r="J78" s="38">
        <f t="shared" si="29"/>
        <v>80</v>
      </c>
      <c r="K78" s="127">
        <f t="shared" si="30"/>
        <v>7004</v>
      </c>
      <c r="M78" s="129">
        <f t="shared" si="37"/>
        <v>2</v>
      </c>
      <c r="N78" s="38">
        <f t="shared" si="31"/>
        <v>100</v>
      </c>
      <c r="O78" s="128">
        <f t="shared" si="32"/>
        <v>8880</v>
      </c>
      <c r="Q78" s="129">
        <f t="shared" si="38"/>
        <v>2.5</v>
      </c>
      <c r="R78" s="38">
        <f t="shared" si="33"/>
        <v>125</v>
      </c>
      <c r="S78" s="131">
        <f t="shared" si="34"/>
        <v>11175</v>
      </c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3"/>
      <c r="AG78" s="54">
        <v>72</v>
      </c>
      <c r="AH78" s="82">
        <v>35</v>
      </c>
      <c r="AI78" s="78">
        <f t="shared" si="19"/>
        <v>3017</v>
      </c>
      <c r="AK78" s="54">
        <v>72</v>
      </c>
      <c r="AL78" s="82">
        <v>35</v>
      </c>
      <c r="AM78" s="78">
        <f t="shared" si="20"/>
        <v>3725</v>
      </c>
      <c r="AO78" s="54">
        <v>72</v>
      </c>
      <c r="AP78" s="82">
        <v>45</v>
      </c>
      <c r="AQ78" s="78">
        <f t="shared" si="21"/>
        <v>5455</v>
      </c>
      <c r="AS78" s="54">
        <v>72</v>
      </c>
      <c r="AT78" s="82">
        <v>65</v>
      </c>
      <c r="AU78" s="78">
        <f t="shared" si="22"/>
        <v>7615</v>
      </c>
      <c r="AW78" s="54">
        <v>72</v>
      </c>
      <c r="AX78" s="82">
        <v>75</v>
      </c>
      <c r="AY78" s="78">
        <f t="shared" si="23"/>
        <v>8795</v>
      </c>
      <c r="BA78" s="54">
        <v>72</v>
      </c>
      <c r="BB78" s="82">
        <v>95</v>
      </c>
      <c r="BC78" s="78">
        <f t="shared" si="24"/>
        <v>11620</v>
      </c>
      <c r="BD78" s="125"/>
    </row>
    <row r="79" spans="1:56">
      <c r="A79" s="54">
        <v>73</v>
      </c>
      <c r="B79" s="82">
        <v>50</v>
      </c>
      <c r="C79" s="78">
        <f t="shared" si="26"/>
        <v>4240</v>
      </c>
      <c r="E79" s="129">
        <f t="shared" si="35"/>
        <v>1.3</v>
      </c>
      <c r="F79" s="38">
        <f t="shared" si="27"/>
        <v>65</v>
      </c>
      <c r="G79" s="130">
        <f t="shared" si="28"/>
        <v>5612</v>
      </c>
      <c r="I79" s="129">
        <f t="shared" si="36"/>
        <v>1.6</v>
      </c>
      <c r="J79" s="38">
        <f t="shared" si="29"/>
        <v>80</v>
      </c>
      <c r="K79" s="127">
        <f t="shared" si="30"/>
        <v>7084</v>
      </c>
      <c r="M79" s="129">
        <f t="shared" si="37"/>
        <v>2</v>
      </c>
      <c r="N79" s="38">
        <f t="shared" si="31"/>
        <v>100</v>
      </c>
      <c r="O79" s="128">
        <f t="shared" si="32"/>
        <v>8980</v>
      </c>
      <c r="Q79" s="129">
        <f t="shared" si="38"/>
        <v>2.5</v>
      </c>
      <c r="R79" s="38">
        <f t="shared" si="33"/>
        <v>125</v>
      </c>
      <c r="S79" s="131">
        <f t="shared" si="34"/>
        <v>11300</v>
      </c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3"/>
      <c r="AG79" s="54">
        <v>73</v>
      </c>
      <c r="AH79" s="82">
        <v>35</v>
      </c>
      <c r="AI79" s="78">
        <f t="shared" si="19"/>
        <v>3052</v>
      </c>
      <c r="AK79" s="54">
        <v>73</v>
      </c>
      <c r="AL79" s="82">
        <v>35</v>
      </c>
      <c r="AM79" s="78">
        <f t="shared" si="20"/>
        <v>3760</v>
      </c>
      <c r="AO79" s="54">
        <v>73</v>
      </c>
      <c r="AP79" s="82">
        <v>45</v>
      </c>
      <c r="AQ79" s="78">
        <f t="shared" si="21"/>
        <v>5500</v>
      </c>
      <c r="AS79" s="54">
        <v>73</v>
      </c>
      <c r="AT79" s="82">
        <v>65</v>
      </c>
      <c r="AU79" s="78">
        <f t="shared" si="22"/>
        <v>7680</v>
      </c>
      <c r="AW79" s="54">
        <v>73</v>
      </c>
      <c r="AX79" s="82">
        <v>75</v>
      </c>
      <c r="AY79" s="78">
        <f t="shared" si="23"/>
        <v>8870</v>
      </c>
      <c r="BA79" s="54">
        <v>73</v>
      </c>
      <c r="BB79" s="82">
        <v>95</v>
      </c>
      <c r="BC79" s="78">
        <f t="shared" si="24"/>
        <v>11715</v>
      </c>
      <c r="BD79" s="125"/>
    </row>
    <row r="80" spans="1:56">
      <c r="A80" s="54">
        <v>74</v>
      </c>
      <c r="B80" s="82">
        <v>50</v>
      </c>
      <c r="C80" s="78">
        <f t="shared" si="26"/>
        <v>4290</v>
      </c>
      <c r="E80" s="129">
        <f t="shared" si="35"/>
        <v>1.3</v>
      </c>
      <c r="F80" s="38">
        <f t="shared" si="27"/>
        <v>65</v>
      </c>
      <c r="G80" s="130">
        <f t="shared" si="28"/>
        <v>5677</v>
      </c>
      <c r="I80" s="129">
        <f t="shared" si="36"/>
        <v>1.6</v>
      </c>
      <c r="J80" s="38">
        <f t="shared" si="29"/>
        <v>80</v>
      </c>
      <c r="K80" s="127">
        <f t="shared" si="30"/>
        <v>7164</v>
      </c>
      <c r="M80" s="129">
        <f t="shared" si="37"/>
        <v>2</v>
      </c>
      <c r="N80" s="38">
        <f t="shared" si="31"/>
        <v>100</v>
      </c>
      <c r="O80" s="128">
        <f t="shared" si="32"/>
        <v>9080</v>
      </c>
      <c r="Q80" s="129">
        <f t="shared" si="38"/>
        <v>2.5</v>
      </c>
      <c r="R80" s="38">
        <f t="shared" si="33"/>
        <v>125</v>
      </c>
      <c r="S80" s="131">
        <f t="shared" si="34"/>
        <v>11425</v>
      </c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3"/>
      <c r="AG80" s="54">
        <v>74</v>
      </c>
      <c r="AH80" s="82">
        <v>35</v>
      </c>
      <c r="AI80" s="78">
        <f t="shared" si="19"/>
        <v>3087</v>
      </c>
      <c r="AK80" s="54">
        <v>74</v>
      </c>
      <c r="AL80" s="82">
        <v>35</v>
      </c>
      <c r="AM80" s="78">
        <f t="shared" si="20"/>
        <v>3795</v>
      </c>
      <c r="AO80" s="54">
        <v>74</v>
      </c>
      <c r="AP80" s="82">
        <v>45</v>
      </c>
      <c r="AQ80" s="78">
        <f t="shared" si="21"/>
        <v>5545</v>
      </c>
      <c r="AS80" s="54">
        <v>74</v>
      </c>
      <c r="AT80" s="82">
        <v>65</v>
      </c>
      <c r="AU80" s="78">
        <f t="shared" si="22"/>
        <v>7745</v>
      </c>
      <c r="AW80" s="54">
        <v>74</v>
      </c>
      <c r="AX80" s="82">
        <v>75</v>
      </c>
      <c r="AY80" s="78">
        <f t="shared" si="23"/>
        <v>8945</v>
      </c>
      <c r="BA80" s="54">
        <v>74</v>
      </c>
      <c r="BB80" s="82">
        <v>95</v>
      </c>
      <c r="BC80" s="78">
        <f t="shared" si="24"/>
        <v>11810</v>
      </c>
      <c r="BD80" s="125"/>
    </row>
    <row r="81" spans="1:56">
      <c r="A81" s="54">
        <v>75</v>
      </c>
      <c r="B81" s="82">
        <v>50</v>
      </c>
      <c r="C81" s="78">
        <f t="shared" si="26"/>
        <v>4340</v>
      </c>
      <c r="E81" s="129">
        <f t="shared" si="35"/>
        <v>1.3</v>
      </c>
      <c r="F81" s="38">
        <f t="shared" si="27"/>
        <v>65</v>
      </c>
      <c r="G81" s="130">
        <f t="shared" si="28"/>
        <v>5742</v>
      </c>
      <c r="I81" s="129">
        <f t="shared" si="36"/>
        <v>1.6</v>
      </c>
      <c r="J81" s="38">
        <f t="shared" si="29"/>
        <v>80</v>
      </c>
      <c r="K81" s="127">
        <f t="shared" si="30"/>
        <v>7244</v>
      </c>
      <c r="M81" s="129">
        <f t="shared" si="37"/>
        <v>2</v>
      </c>
      <c r="N81" s="38">
        <f t="shared" si="31"/>
        <v>100</v>
      </c>
      <c r="O81" s="128">
        <f t="shared" si="32"/>
        <v>9180</v>
      </c>
      <c r="Q81" s="129">
        <f t="shared" si="38"/>
        <v>2.5</v>
      </c>
      <c r="R81" s="38">
        <f t="shared" si="33"/>
        <v>125</v>
      </c>
      <c r="S81" s="131">
        <f t="shared" si="34"/>
        <v>11550</v>
      </c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3"/>
      <c r="AG81" s="54">
        <v>75</v>
      </c>
      <c r="AH81" s="82">
        <v>35</v>
      </c>
      <c r="AI81" s="78">
        <f t="shared" si="19"/>
        <v>3122</v>
      </c>
      <c r="AK81" s="54">
        <v>75</v>
      </c>
      <c r="AL81" s="82">
        <v>35</v>
      </c>
      <c r="AM81" s="78">
        <f t="shared" si="20"/>
        <v>3830</v>
      </c>
      <c r="AO81" s="54">
        <v>75</v>
      </c>
      <c r="AP81" s="82">
        <v>45</v>
      </c>
      <c r="AQ81" s="78">
        <f t="shared" si="21"/>
        <v>5590</v>
      </c>
      <c r="AS81" s="54">
        <v>75</v>
      </c>
      <c r="AT81" s="82">
        <v>65</v>
      </c>
      <c r="AU81" s="78">
        <f t="shared" si="22"/>
        <v>7810</v>
      </c>
      <c r="AW81" s="54">
        <v>75</v>
      </c>
      <c r="AX81" s="82">
        <v>75</v>
      </c>
      <c r="AY81" s="78">
        <f t="shared" si="23"/>
        <v>9020</v>
      </c>
      <c r="BA81" s="54">
        <v>75</v>
      </c>
      <c r="BB81" s="82">
        <v>95</v>
      </c>
      <c r="BC81" s="78">
        <f t="shared" si="24"/>
        <v>11905</v>
      </c>
      <c r="BD81" s="125"/>
    </row>
    <row r="82" spans="1:56">
      <c r="A82" s="54">
        <v>76</v>
      </c>
      <c r="B82" s="82">
        <v>50</v>
      </c>
      <c r="C82" s="78">
        <f t="shared" si="26"/>
        <v>4390</v>
      </c>
      <c r="E82" s="129">
        <f t="shared" si="35"/>
        <v>1.3</v>
      </c>
      <c r="F82" s="38">
        <f t="shared" si="27"/>
        <v>65</v>
      </c>
      <c r="G82" s="130">
        <f t="shared" si="28"/>
        <v>5807</v>
      </c>
      <c r="I82" s="129">
        <f t="shared" si="36"/>
        <v>1.6</v>
      </c>
      <c r="J82" s="38">
        <f t="shared" si="29"/>
        <v>80</v>
      </c>
      <c r="K82" s="127">
        <f t="shared" si="30"/>
        <v>7324</v>
      </c>
      <c r="M82" s="129">
        <f t="shared" si="37"/>
        <v>2</v>
      </c>
      <c r="N82" s="38">
        <f t="shared" si="31"/>
        <v>100</v>
      </c>
      <c r="O82" s="128">
        <f t="shared" si="32"/>
        <v>9280</v>
      </c>
      <c r="Q82" s="129">
        <f t="shared" si="38"/>
        <v>2.5</v>
      </c>
      <c r="R82" s="38">
        <f t="shared" si="33"/>
        <v>125</v>
      </c>
      <c r="S82" s="131">
        <f t="shared" si="34"/>
        <v>11675</v>
      </c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3"/>
      <c r="AG82" s="54">
        <v>76</v>
      </c>
      <c r="AH82" s="82">
        <v>35</v>
      </c>
      <c r="AI82" s="78">
        <f t="shared" si="19"/>
        <v>3157</v>
      </c>
      <c r="AK82" s="54">
        <v>76</v>
      </c>
      <c r="AL82" s="82">
        <v>35</v>
      </c>
      <c r="AM82" s="78">
        <f t="shared" si="20"/>
        <v>3865</v>
      </c>
      <c r="AO82" s="54">
        <v>76</v>
      </c>
      <c r="AP82" s="82">
        <v>45</v>
      </c>
      <c r="AQ82" s="78">
        <f t="shared" si="21"/>
        <v>5635</v>
      </c>
      <c r="AS82" s="54">
        <v>76</v>
      </c>
      <c r="AT82" s="82">
        <v>65</v>
      </c>
      <c r="AU82" s="78">
        <f t="shared" si="22"/>
        <v>7875</v>
      </c>
      <c r="AW82" s="54">
        <v>76</v>
      </c>
      <c r="AX82" s="82">
        <v>75</v>
      </c>
      <c r="AY82" s="78">
        <f t="shared" si="23"/>
        <v>9095</v>
      </c>
      <c r="BA82" s="54">
        <v>76</v>
      </c>
      <c r="BB82" s="82">
        <v>95</v>
      </c>
      <c r="BC82" s="78">
        <f t="shared" si="24"/>
        <v>12000</v>
      </c>
      <c r="BD82" s="125"/>
    </row>
    <row r="83" spans="1:56">
      <c r="A83" s="54">
        <v>77</v>
      </c>
      <c r="B83" s="82">
        <v>50</v>
      </c>
      <c r="C83" s="78">
        <f t="shared" si="26"/>
        <v>4440</v>
      </c>
      <c r="E83" s="129">
        <f t="shared" si="35"/>
        <v>1.3</v>
      </c>
      <c r="F83" s="38">
        <f t="shared" si="27"/>
        <v>65</v>
      </c>
      <c r="G83" s="130">
        <f t="shared" si="28"/>
        <v>5872</v>
      </c>
      <c r="I83" s="129">
        <f t="shared" si="36"/>
        <v>1.6</v>
      </c>
      <c r="J83" s="38">
        <f t="shared" si="29"/>
        <v>80</v>
      </c>
      <c r="K83" s="127">
        <f t="shared" si="30"/>
        <v>7404</v>
      </c>
      <c r="M83" s="129">
        <f t="shared" si="37"/>
        <v>2</v>
      </c>
      <c r="N83" s="38">
        <f t="shared" si="31"/>
        <v>100</v>
      </c>
      <c r="O83" s="128">
        <f t="shared" si="32"/>
        <v>9380</v>
      </c>
      <c r="Q83" s="129">
        <f t="shared" si="38"/>
        <v>2.5</v>
      </c>
      <c r="R83" s="38">
        <f t="shared" si="33"/>
        <v>125</v>
      </c>
      <c r="S83" s="131">
        <f t="shared" si="34"/>
        <v>11800</v>
      </c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3"/>
      <c r="AG83" s="54">
        <v>77</v>
      </c>
      <c r="AH83" s="82">
        <v>35</v>
      </c>
      <c r="AI83" s="78">
        <f t="shared" si="19"/>
        <v>3192</v>
      </c>
      <c r="AK83" s="54">
        <v>77</v>
      </c>
      <c r="AL83" s="82">
        <v>35</v>
      </c>
      <c r="AM83" s="78">
        <f t="shared" si="20"/>
        <v>3900</v>
      </c>
      <c r="AO83" s="54">
        <v>77</v>
      </c>
      <c r="AP83" s="82">
        <v>45</v>
      </c>
      <c r="AQ83" s="78">
        <f t="shared" si="21"/>
        <v>5680</v>
      </c>
      <c r="AS83" s="54">
        <v>77</v>
      </c>
      <c r="AT83" s="82">
        <v>65</v>
      </c>
      <c r="AU83" s="78">
        <f t="shared" si="22"/>
        <v>7940</v>
      </c>
      <c r="AW83" s="54">
        <v>77</v>
      </c>
      <c r="AX83" s="82">
        <v>75</v>
      </c>
      <c r="AY83" s="78">
        <f t="shared" si="23"/>
        <v>9170</v>
      </c>
      <c r="BA83" s="54">
        <v>77</v>
      </c>
      <c r="BB83" s="82">
        <v>95</v>
      </c>
      <c r="BC83" s="78">
        <f t="shared" si="24"/>
        <v>12095</v>
      </c>
      <c r="BD83" s="125"/>
    </row>
    <row r="84" spans="1:56">
      <c r="A84" s="54">
        <v>78</v>
      </c>
      <c r="B84" s="82">
        <v>50</v>
      </c>
      <c r="C84" s="78">
        <f t="shared" si="26"/>
        <v>4490</v>
      </c>
      <c r="E84" s="129">
        <f t="shared" si="35"/>
        <v>1.3</v>
      </c>
      <c r="F84" s="38">
        <f t="shared" si="27"/>
        <v>65</v>
      </c>
      <c r="G84" s="130">
        <f t="shared" si="28"/>
        <v>5937</v>
      </c>
      <c r="I84" s="129">
        <f t="shared" si="36"/>
        <v>1.6</v>
      </c>
      <c r="J84" s="38">
        <f t="shared" si="29"/>
        <v>80</v>
      </c>
      <c r="K84" s="127">
        <f t="shared" si="30"/>
        <v>7484</v>
      </c>
      <c r="M84" s="129">
        <f t="shared" si="37"/>
        <v>2</v>
      </c>
      <c r="N84" s="38">
        <f t="shared" si="31"/>
        <v>100</v>
      </c>
      <c r="O84" s="128">
        <f t="shared" si="32"/>
        <v>9480</v>
      </c>
      <c r="Q84" s="129">
        <f t="shared" si="38"/>
        <v>2.5</v>
      </c>
      <c r="R84" s="38">
        <f t="shared" si="33"/>
        <v>125</v>
      </c>
      <c r="S84" s="131">
        <f t="shared" si="34"/>
        <v>11925</v>
      </c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3"/>
      <c r="AG84" s="54">
        <v>78</v>
      </c>
      <c r="AH84" s="82">
        <v>35</v>
      </c>
      <c r="AI84" s="78">
        <f t="shared" si="19"/>
        <v>3227</v>
      </c>
      <c r="AK84" s="54">
        <v>78</v>
      </c>
      <c r="AL84" s="82">
        <v>35</v>
      </c>
      <c r="AM84" s="78">
        <f t="shared" si="20"/>
        <v>3935</v>
      </c>
      <c r="AO84" s="54">
        <v>78</v>
      </c>
      <c r="AP84" s="82">
        <v>45</v>
      </c>
      <c r="AQ84" s="78">
        <f t="shared" si="21"/>
        <v>5725</v>
      </c>
      <c r="AS84" s="54">
        <v>78</v>
      </c>
      <c r="AT84" s="82">
        <v>65</v>
      </c>
      <c r="AU84" s="78">
        <f t="shared" si="22"/>
        <v>8005</v>
      </c>
      <c r="AW84" s="54">
        <v>78</v>
      </c>
      <c r="AX84" s="82">
        <v>75</v>
      </c>
      <c r="AY84" s="78">
        <f t="shared" si="23"/>
        <v>9245</v>
      </c>
      <c r="BA84" s="54">
        <v>78</v>
      </c>
      <c r="BB84" s="82">
        <v>95</v>
      </c>
      <c r="BC84" s="78">
        <f t="shared" si="24"/>
        <v>12190</v>
      </c>
      <c r="BD84" s="125"/>
    </row>
    <row r="85" spans="1:56">
      <c r="A85" s="54">
        <v>79</v>
      </c>
      <c r="B85" s="82">
        <v>50</v>
      </c>
      <c r="C85" s="78">
        <f t="shared" si="26"/>
        <v>4540</v>
      </c>
      <c r="E85" s="129">
        <f t="shared" si="35"/>
        <v>1.3</v>
      </c>
      <c r="F85" s="38">
        <f t="shared" si="27"/>
        <v>65</v>
      </c>
      <c r="G85" s="130">
        <f t="shared" si="28"/>
        <v>6002</v>
      </c>
      <c r="I85" s="129">
        <f t="shared" si="36"/>
        <v>1.6</v>
      </c>
      <c r="J85" s="38">
        <f t="shared" si="29"/>
        <v>80</v>
      </c>
      <c r="K85" s="127">
        <f t="shared" si="30"/>
        <v>7564</v>
      </c>
      <c r="M85" s="129">
        <f t="shared" si="37"/>
        <v>2</v>
      </c>
      <c r="N85" s="38">
        <f t="shared" si="31"/>
        <v>100</v>
      </c>
      <c r="O85" s="128">
        <f t="shared" si="32"/>
        <v>9580</v>
      </c>
      <c r="Q85" s="129">
        <f t="shared" si="38"/>
        <v>2.5</v>
      </c>
      <c r="R85" s="38">
        <f t="shared" si="33"/>
        <v>125</v>
      </c>
      <c r="S85" s="131">
        <f t="shared" si="34"/>
        <v>12050</v>
      </c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3"/>
      <c r="AG85" s="54">
        <v>79</v>
      </c>
      <c r="AH85" s="82">
        <v>35</v>
      </c>
      <c r="AI85" s="78">
        <f t="shared" si="19"/>
        <v>3262</v>
      </c>
      <c r="AK85" s="54">
        <v>79</v>
      </c>
      <c r="AL85" s="82">
        <v>35</v>
      </c>
      <c r="AM85" s="78">
        <f t="shared" si="20"/>
        <v>3970</v>
      </c>
      <c r="AO85" s="54">
        <v>79</v>
      </c>
      <c r="AP85" s="82">
        <v>185</v>
      </c>
      <c r="AQ85" s="78">
        <f t="shared" si="21"/>
        <v>5910</v>
      </c>
      <c r="AS85" s="54">
        <v>79</v>
      </c>
      <c r="AT85" s="82">
        <v>65</v>
      </c>
      <c r="AU85" s="78">
        <f t="shared" si="22"/>
        <v>8070</v>
      </c>
      <c r="AW85" s="54">
        <v>79</v>
      </c>
      <c r="AX85" s="82">
        <v>75</v>
      </c>
      <c r="AY85" s="78">
        <f t="shared" si="23"/>
        <v>9320</v>
      </c>
      <c r="BA85" s="54">
        <v>79</v>
      </c>
      <c r="BB85" s="82">
        <v>95</v>
      </c>
      <c r="BC85" s="78">
        <f t="shared" si="24"/>
        <v>12285</v>
      </c>
      <c r="BD85" s="125"/>
    </row>
    <row r="86" spans="1:56">
      <c r="A86" s="54">
        <v>80</v>
      </c>
      <c r="B86" s="83">
        <v>500</v>
      </c>
      <c r="C86" s="78">
        <f t="shared" si="26"/>
        <v>5040</v>
      </c>
      <c r="E86" s="129">
        <f t="shared" si="35"/>
        <v>1.3</v>
      </c>
      <c r="F86" s="38">
        <f t="shared" si="27"/>
        <v>650</v>
      </c>
      <c r="G86" s="130">
        <f t="shared" si="28"/>
        <v>6652</v>
      </c>
      <c r="I86" s="129">
        <f t="shared" si="36"/>
        <v>1.6</v>
      </c>
      <c r="J86" s="38">
        <f t="shared" si="29"/>
        <v>800</v>
      </c>
      <c r="K86" s="127">
        <f t="shared" si="30"/>
        <v>8364</v>
      </c>
      <c r="M86" s="129">
        <f t="shared" si="37"/>
        <v>2</v>
      </c>
      <c r="N86" s="38">
        <f t="shared" si="31"/>
        <v>1000</v>
      </c>
      <c r="O86" s="128">
        <f t="shared" si="32"/>
        <v>10580</v>
      </c>
      <c r="Q86" s="129">
        <f t="shared" si="38"/>
        <v>2.5</v>
      </c>
      <c r="R86" s="38">
        <f t="shared" si="33"/>
        <v>1250</v>
      </c>
      <c r="S86" s="131">
        <f t="shared" si="34"/>
        <v>13300</v>
      </c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3"/>
      <c r="AG86" s="54">
        <v>80</v>
      </c>
      <c r="AH86" s="83">
        <v>300</v>
      </c>
      <c r="AI86" s="78">
        <f t="shared" si="19"/>
        <v>3562</v>
      </c>
      <c r="AK86" s="54">
        <v>80</v>
      </c>
      <c r="AL86" s="83">
        <v>500</v>
      </c>
      <c r="AM86" s="78">
        <f t="shared" si="20"/>
        <v>4470</v>
      </c>
      <c r="AO86" s="54">
        <v>80</v>
      </c>
      <c r="AP86" s="83">
        <v>750</v>
      </c>
      <c r="AQ86" s="78">
        <f t="shared" si="21"/>
        <v>6660</v>
      </c>
      <c r="AS86" s="54">
        <v>80</v>
      </c>
      <c r="AT86" s="83">
        <v>1100</v>
      </c>
      <c r="AU86" s="78">
        <f t="shared" si="22"/>
        <v>9170</v>
      </c>
      <c r="AW86" s="54">
        <v>80</v>
      </c>
      <c r="AX86" s="83">
        <v>1350</v>
      </c>
      <c r="AY86" s="78">
        <f t="shared" si="23"/>
        <v>10670</v>
      </c>
      <c r="BA86" s="54">
        <v>80</v>
      </c>
      <c r="BB86" s="83">
        <v>2000</v>
      </c>
      <c r="BC86" s="78">
        <f t="shared" si="24"/>
        <v>14285</v>
      </c>
      <c r="BD86" s="125"/>
    </row>
    <row r="87" spans="1:56">
      <c r="A87" s="54">
        <v>81</v>
      </c>
      <c r="B87" s="82">
        <v>60</v>
      </c>
      <c r="C87" s="78">
        <f t="shared" si="26"/>
        <v>5100</v>
      </c>
      <c r="E87" s="129">
        <f t="shared" si="35"/>
        <v>1.3</v>
      </c>
      <c r="F87" s="38">
        <f t="shared" si="27"/>
        <v>78</v>
      </c>
      <c r="G87" s="130">
        <f t="shared" si="28"/>
        <v>6730</v>
      </c>
      <c r="I87" s="129">
        <f t="shared" si="36"/>
        <v>1.6</v>
      </c>
      <c r="J87" s="38">
        <f t="shared" si="29"/>
        <v>96</v>
      </c>
      <c r="K87" s="127">
        <f t="shared" si="30"/>
        <v>8460</v>
      </c>
      <c r="M87" s="129">
        <f t="shared" si="37"/>
        <v>2</v>
      </c>
      <c r="N87" s="38">
        <f t="shared" si="31"/>
        <v>120</v>
      </c>
      <c r="O87" s="128">
        <f t="shared" si="32"/>
        <v>10700</v>
      </c>
      <c r="Q87" s="129">
        <f t="shared" si="38"/>
        <v>2.5</v>
      </c>
      <c r="R87" s="38">
        <f t="shared" si="33"/>
        <v>150</v>
      </c>
      <c r="S87" s="131">
        <f t="shared" si="34"/>
        <v>13450</v>
      </c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3"/>
      <c r="AG87" s="54">
        <v>81</v>
      </c>
      <c r="AH87" s="82">
        <v>40</v>
      </c>
      <c r="AI87" s="78">
        <f t="shared" si="19"/>
        <v>3602</v>
      </c>
      <c r="AK87" s="54">
        <v>81</v>
      </c>
      <c r="AL87" s="82">
        <v>40</v>
      </c>
      <c r="AM87" s="78">
        <f t="shared" si="20"/>
        <v>4510</v>
      </c>
      <c r="AO87" s="54">
        <v>81</v>
      </c>
      <c r="AP87" s="82">
        <v>50</v>
      </c>
      <c r="AQ87" s="78">
        <f t="shared" si="21"/>
        <v>6710</v>
      </c>
      <c r="AS87" s="54">
        <v>81</v>
      </c>
      <c r="AT87" s="82">
        <v>70</v>
      </c>
      <c r="AU87" s="78">
        <f t="shared" si="22"/>
        <v>9240</v>
      </c>
      <c r="AW87" s="54">
        <v>81</v>
      </c>
      <c r="AX87" s="82">
        <v>80</v>
      </c>
      <c r="AY87" s="78">
        <f t="shared" si="23"/>
        <v>10750</v>
      </c>
      <c r="BA87" s="54">
        <v>81</v>
      </c>
      <c r="BB87" s="82">
        <v>100</v>
      </c>
      <c r="BC87" s="78">
        <f t="shared" si="24"/>
        <v>14385</v>
      </c>
      <c r="BD87" s="125"/>
    </row>
    <row r="88" spans="1:56">
      <c r="A88" s="54">
        <v>82</v>
      </c>
      <c r="B88" s="82">
        <v>60</v>
      </c>
      <c r="C88" s="78">
        <f t="shared" si="26"/>
        <v>5160</v>
      </c>
      <c r="E88" s="129">
        <f t="shared" si="35"/>
        <v>1.3</v>
      </c>
      <c r="F88" s="38">
        <f t="shared" si="27"/>
        <v>78</v>
      </c>
      <c r="G88" s="130">
        <f t="shared" si="28"/>
        <v>6808</v>
      </c>
      <c r="I88" s="129">
        <f t="shared" si="36"/>
        <v>1.6</v>
      </c>
      <c r="J88" s="38">
        <f t="shared" si="29"/>
        <v>96</v>
      </c>
      <c r="K88" s="127">
        <f t="shared" si="30"/>
        <v>8556</v>
      </c>
      <c r="M88" s="129">
        <f t="shared" si="37"/>
        <v>2</v>
      </c>
      <c r="N88" s="38">
        <f t="shared" si="31"/>
        <v>120</v>
      </c>
      <c r="O88" s="128">
        <f t="shared" si="32"/>
        <v>10820</v>
      </c>
      <c r="Q88" s="129">
        <f t="shared" si="38"/>
        <v>2.5</v>
      </c>
      <c r="R88" s="38">
        <f t="shared" si="33"/>
        <v>150</v>
      </c>
      <c r="S88" s="131">
        <f t="shared" si="34"/>
        <v>13600</v>
      </c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3"/>
      <c r="AG88" s="54">
        <v>82</v>
      </c>
      <c r="AH88" s="82">
        <v>40</v>
      </c>
      <c r="AI88" s="78">
        <f t="shared" si="19"/>
        <v>3642</v>
      </c>
      <c r="AK88" s="54">
        <v>82</v>
      </c>
      <c r="AL88" s="82">
        <v>40</v>
      </c>
      <c r="AM88" s="78">
        <f t="shared" si="20"/>
        <v>4550</v>
      </c>
      <c r="AO88" s="54">
        <v>82</v>
      </c>
      <c r="AP88" s="82">
        <v>50</v>
      </c>
      <c r="AQ88" s="78">
        <f t="shared" si="21"/>
        <v>6760</v>
      </c>
      <c r="AS88" s="54">
        <v>82</v>
      </c>
      <c r="AT88" s="82">
        <v>70</v>
      </c>
      <c r="AU88" s="78">
        <f t="shared" si="22"/>
        <v>9310</v>
      </c>
      <c r="AW88" s="54">
        <v>82</v>
      </c>
      <c r="AX88" s="82">
        <v>80</v>
      </c>
      <c r="AY88" s="78">
        <f t="shared" si="23"/>
        <v>10830</v>
      </c>
      <c r="BA88" s="54">
        <v>82</v>
      </c>
      <c r="BB88" s="82">
        <v>100</v>
      </c>
      <c r="BC88" s="78">
        <f t="shared" si="24"/>
        <v>14485</v>
      </c>
      <c r="BD88" s="125"/>
    </row>
    <row r="89" spans="1:56">
      <c r="A89" s="54">
        <v>83</v>
      </c>
      <c r="B89" s="82">
        <v>60</v>
      </c>
      <c r="C89" s="78">
        <f t="shared" si="26"/>
        <v>5220</v>
      </c>
      <c r="E89" s="129">
        <f t="shared" si="35"/>
        <v>1.3</v>
      </c>
      <c r="F89" s="38">
        <f t="shared" si="27"/>
        <v>78</v>
      </c>
      <c r="G89" s="130">
        <f t="shared" si="28"/>
        <v>6886</v>
      </c>
      <c r="I89" s="129">
        <f t="shared" si="36"/>
        <v>1.6</v>
      </c>
      <c r="J89" s="38">
        <f t="shared" si="29"/>
        <v>96</v>
      </c>
      <c r="K89" s="127">
        <f t="shared" si="30"/>
        <v>8652</v>
      </c>
      <c r="M89" s="129">
        <f t="shared" si="37"/>
        <v>2</v>
      </c>
      <c r="N89" s="38">
        <f t="shared" si="31"/>
        <v>120</v>
      </c>
      <c r="O89" s="128">
        <f t="shared" si="32"/>
        <v>10940</v>
      </c>
      <c r="Q89" s="129">
        <f t="shared" si="38"/>
        <v>2.5</v>
      </c>
      <c r="R89" s="38">
        <f t="shared" si="33"/>
        <v>150</v>
      </c>
      <c r="S89" s="131">
        <f t="shared" si="34"/>
        <v>13750</v>
      </c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3"/>
      <c r="AG89" s="54">
        <v>83</v>
      </c>
      <c r="AH89" s="82">
        <v>40</v>
      </c>
      <c r="AI89" s="78">
        <f t="shared" si="19"/>
        <v>3682</v>
      </c>
      <c r="AK89" s="54">
        <v>83</v>
      </c>
      <c r="AL89" s="82">
        <v>40</v>
      </c>
      <c r="AM89" s="78">
        <f t="shared" si="20"/>
        <v>4590</v>
      </c>
      <c r="AO89" s="54">
        <v>83</v>
      </c>
      <c r="AP89" s="82">
        <v>50</v>
      </c>
      <c r="AQ89" s="78">
        <f t="shared" si="21"/>
        <v>6810</v>
      </c>
      <c r="AS89" s="54">
        <v>83</v>
      </c>
      <c r="AT89" s="82">
        <v>70</v>
      </c>
      <c r="AU89" s="78">
        <f t="shared" si="22"/>
        <v>9380</v>
      </c>
      <c r="AW89" s="54">
        <v>83</v>
      </c>
      <c r="AX89" s="82">
        <v>80</v>
      </c>
      <c r="AY89" s="78">
        <f t="shared" si="23"/>
        <v>10910</v>
      </c>
      <c r="BA89" s="54">
        <v>83</v>
      </c>
      <c r="BB89" s="82">
        <v>100</v>
      </c>
      <c r="BC89" s="78">
        <f t="shared" si="24"/>
        <v>14585</v>
      </c>
      <c r="BD89" s="125"/>
    </row>
    <row r="90" spans="1:56">
      <c r="A90" s="54">
        <v>84</v>
      </c>
      <c r="B90" s="82">
        <v>60</v>
      </c>
      <c r="C90" s="78">
        <f t="shared" si="26"/>
        <v>5280</v>
      </c>
      <c r="E90" s="129">
        <f t="shared" si="35"/>
        <v>1.3</v>
      </c>
      <c r="F90" s="38">
        <f t="shared" si="27"/>
        <v>78</v>
      </c>
      <c r="G90" s="130">
        <f t="shared" si="28"/>
        <v>6964</v>
      </c>
      <c r="I90" s="129">
        <f t="shared" si="36"/>
        <v>1.6</v>
      </c>
      <c r="J90" s="38">
        <f t="shared" si="29"/>
        <v>96</v>
      </c>
      <c r="K90" s="127">
        <f t="shared" si="30"/>
        <v>8748</v>
      </c>
      <c r="M90" s="129">
        <f t="shared" si="37"/>
        <v>2</v>
      </c>
      <c r="N90" s="38">
        <f t="shared" si="31"/>
        <v>120</v>
      </c>
      <c r="O90" s="128">
        <f t="shared" si="32"/>
        <v>11060</v>
      </c>
      <c r="Q90" s="129">
        <f t="shared" si="38"/>
        <v>2.5</v>
      </c>
      <c r="R90" s="38">
        <f t="shared" si="33"/>
        <v>150</v>
      </c>
      <c r="S90" s="131">
        <f t="shared" si="34"/>
        <v>13900</v>
      </c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3"/>
      <c r="AG90" s="54">
        <v>84</v>
      </c>
      <c r="AH90" s="82">
        <v>40</v>
      </c>
      <c r="AI90" s="78">
        <f t="shared" si="19"/>
        <v>3722</v>
      </c>
      <c r="AK90" s="54">
        <v>84</v>
      </c>
      <c r="AL90" s="82">
        <v>40</v>
      </c>
      <c r="AM90" s="78">
        <f t="shared" si="20"/>
        <v>4630</v>
      </c>
      <c r="AO90" s="54">
        <v>84</v>
      </c>
      <c r="AP90" s="82">
        <v>50</v>
      </c>
      <c r="AQ90" s="78">
        <f t="shared" si="21"/>
        <v>6860</v>
      </c>
      <c r="AS90" s="54">
        <v>84</v>
      </c>
      <c r="AT90" s="82">
        <v>70</v>
      </c>
      <c r="AU90" s="78">
        <f t="shared" si="22"/>
        <v>9450</v>
      </c>
      <c r="AW90" s="54">
        <v>84</v>
      </c>
      <c r="AX90" s="82">
        <v>80</v>
      </c>
      <c r="AY90" s="78">
        <f t="shared" si="23"/>
        <v>10990</v>
      </c>
      <c r="BA90" s="54">
        <v>84</v>
      </c>
      <c r="BB90" s="82">
        <v>100</v>
      </c>
      <c r="BC90" s="78">
        <f t="shared" si="24"/>
        <v>14685</v>
      </c>
      <c r="BD90" s="125"/>
    </row>
    <row r="91" spans="1:56">
      <c r="A91" s="54">
        <v>85</v>
      </c>
      <c r="B91" s="82">
        <v>60</v>
      </c>
      <c r="C91" s="78">
        <f t="shared" si="26"/>
        <v>5340</v>
      </c>
      <c r="E91" s="129">
        <f t="shared" si="35"/>
        <v>1.3</v>
      </c>
      <c r="F91" s="38">
        <f t="shared" si="27"/>
        <v>78</v>
      </c>
      <c r="G91" s="130">
        <f t="shared" si="28"/>
        <v>7042</v>
      </c>
      <c r="I91" s="129">
        <f t="shared" si="36"/>
        <v>1.6</v>
      </c>
      <c r="J91" s="38">
        <f t="shared" si="29"/>
        <v>96</v>
      </c>
      <c r="K91" s="127">
        <f t="shared" si="30"/>
        <v>8844</v>
      </c>
      <c r="M91" s="129">
        <f t="shared" si="37"/>
        <v>2</v>
      </c>
      <c r="N91" s="38">
        <f t="shared" si="31"/>
        <v>120</v>
      </c>
      <c r="O91" s="128">
        <f t="shared" si="32"/>
        <v>11180</v>
      </c>
      <c r="Q91" s="129">
        <f t="shared" si="38"/>
        <v>2.5</v>
      </c>
      <c r="R91" s="38">
        <f t="shared" si="33"/>
        <v>150</v>
      </c>
      <c r="S91" s="131">
        <f t="shared" si="34"/>
        <v>14050</v>
      </c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3"/>
      <c r="AG91" s="54">
        <v>85</v>
      </c>
      <c r="AH91" s="82">
        <v>40</v>
      </c>
      <c r="AI91" s="78">
        <f t="shared" ref="AI91:AI105" si="39">AI90+AH91</f>
        <v>3762</v>
      </c>
      <c r="AK91" s="54">
        <v>85</v>
      </c>
      <c r="AL91" s="82">
        <v>40</v>
      </c>
      <c r="AM91" s="78">
        <f t="shared" ref="AM91:AM105" si="40">AM90+AL91</f>
        <v>4670</v>
      </c>
      <c r="AO91" s="54">
        <v>85</v>
      </c>
      <c r="AP91" s="82">
        <v>50</v>
      </c>
      <c r="AQ91" s="78">
        <f t="shared" ref="AQ91:AQ105" si="41">AQ90+AP91</f>
        <v>6910</v>
      </c>
      <c r="AS91" s="54">
        <v>85</v>
      </c>
      <c r="AT91" s="82">
        <v>70</v>
      </c>
      <c r="AU91" s="78">
        <f t="shared" ref="AU91:AU105" si="42">AU90+AT91</f>
        <v>9520</v>
      </c>
      <c r="AW91" s="54">
        <v>85</v>
      </c>
      <c r="AX91" s="82">
        <v>80</v>
      </c>
      <c r="AY91" s="78">
        <f t="shared" ref="AY91:AY105" si="43">AY90+AX91</f>
        <v>11070</v>
      </c>
      <c r="BA91" s="54">
        <v>85</v>
      </c>
      <c r="BB91" s="82">
        <v>100</v>
      </c>
      <c r="BC91" s="78">
        <f t="shared" ref="BC91:BC105" si="44">BC90+BB91</f>
        <v>14785</v>
      </c>
      <c r="BD91" s="125"/>
    </row>
    <row r="92" spans="1:56">
      <c r="A92" s="54">
        <v>86</v>
      </c>
      <c r="B92" s="82">
        <v>60</v>
      </c>
      <c r="C92" s="78">
        <f t="shared" si="26"/>
        <v>5400</v>
      </c>
      <c r="E92" s="129">
        <f t="shared" si="35"/>
        <v>1.3</v>
      </c>
      <c r="F92" s="38">
        <f t="shared" si="27"/>
        <v>78</v>
      </c>
      <c r="G92" s="130">
        <f t="shared" si="28"/>
        <v>7120</v>
      </c>
      <c r="I92" s="129">
        <f t="shared" si="36"/>
        <v>1.6</v>
      </c>
      <c r="J92" s="38">
        <f t="shared" si="29"/>
        <v>96</v>
      </c>
      <c r="K92" s="127">
        <f t="shared" si="30"/>
        <v>8940</v>
      </c>
      <c r="M92" s="129">
        <f t="shared" si="37"/>
        <v>2</v>
      </c>
      <c r="N92" s="38">
        <f t="shared" si="31"/>
        <v>120</v>
      </c>
      <c r="O92" s="128">
        <f t="shared" si="32"/>
        <v>11300</v>
      </c>
      <c r="Q92" s="129">
        <f t="shared" si="38"/>
        <v>2.5</v>
      </c>
      <c r="R92" s="38">
        <f t="shared" si="33"/>
        <v>150</v>
      </c>
      <c r="S92" s="131">
        <f t="shared" si="34"/>
        <v>14200</v>
      </c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3"/>
      <c r="AG92" s="54">
        <v>86</v>
      </c>
      <c r="AH92" s="82">
        <v>40</v>
      </c>
      <c r="AI92" s="78">
        <f t="shared" si="39"/>
        <v>3802</v>
      </c>
      <c r="AK92" s="54">
        <v>86</v>
      </c>
      <c r="AL92" s="82">
        <v>40</v>
      </c>
      <c r="AM92" s="78">
        <f t="shared" si="40"/>
        <v>4710</v>
      </c>
      <c r="AO92" s="54">
        <v>86</v>
      </c>
      <c r="AP92" s="82">
        <v>50</v>
      </c>
      <c r="AQ92" s="78">
        <f t="shared" si="41"/>
        <v>6960</v>
      </c>
      <c r="AS92" s="54">
        <v>86</v>
      </c>
      <c r="AT92" s="82">
        <v>70</v>
      </c>
      <c r="AU92" s="78">
        <f t="shared" si="42"/>
        <v>9590</v>
      </c>
      <c r="AW92" s="54">
        <v>86</v>
      </c>
      <c r="AX92" s="82">
        <v>80</v>
      </c>
      <c r="AY92" s="78">
        <f t="shared" si="43"/>
        <v>11150</v>
      </c>
      <c r="BA92" s="54">
        <v>86</v>
      </c>
      <c r="BB92" s="82">
        <v>100</v>
      </c>
      <c r="BC92" s="78">
        <f t="shared" si="44"/>
        <v>14885</v>
      </c>
      <c r="BD92" s="125"/>
    </row>
    <row r="93" spans="1:56">
      <c r="A93" s="54">
        <v>87</v>
      </c>
      <c r="B93" s="82">
        <v>60</v>
      </c>
      <c r="C93" s="78">
        <f t="shared" si="26"/>
        <v>5460</v>
      </c>
      <c r="E93" s="129">
        <f t="shared" si="35"/>
        <v>1.3</v>
      </c>
      <c r="F93" s="38">
        <f t="shared" si="27"/>
        <v>78</v>
      </c>
      <c r="G93" s="130">
        <f t="shared" si="28"/>
        <v>7198</v>
      </c>
      <c r="I93" s="129">
        <f t="shared" si="36"/>
        <v>1.6</v>
      </c>
      <c r="J93" s="38">
        <f t="shared" si="29"/>
        <v>96</v>
      </c>
      <c r="K93" s="127">
        <f t="shared" si="30"/>
        <v>9036</v>
      </c>
      <c r="M93" s="129">
        <f t="shared" si="37"/>
        <v>2</v>
      </c>
      <c r="N93" s="38">
        <f t="shared" si="31"/>
        <v>120</v>
      </c>
      <c r="O93" s="128">
        <f t="shared" si="32"/>
        <v>11420</v>
      </c>
      <c r="Q93" s="129">
        <f t="shared" si="38"/>
        <v>2.5</v>
      </c>
      <c r="R93" s="38">
        <f t="shared" si="33"/>
        <v>150</v>
      </c>
      <c r="S93" s="131">
        <f t="shared" si="34"/>
        <v>14350</v>
      </c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3"/>
      <c r="AG93" s="54">
        <v>87</v>
      </c>
      <c r="AH93" s="82">
        <v>40</v>
      </c>
      <c r="AI93" s="78">
        <f t="shared" si="39"/>
        <v>3842</v>
      </c>
      <c r="AK93" s="54">
        <v>87</v>
      </c>
      <c r="AL93" s="82">
        <v>40</v>
      </c>
      <c r="AM93" s="78">
        <f t="shared" si="40"/>
        <v>4750</v>
      </c>
      <c r="AO93" s="54">
        <v>87</v>
      </c>
      <c r="AP93" s="82">
        <v>50</v>
      </c>
      <c r="AQ93" s="78">
        <f t="shared" si="41"/>
        <v>7010</v>
      </c>
      <c r="AS93" s="54">
        <v>87</v>
      </c>
      <c r="AT93" s="82">
        <v>70</v>
      </c>
      <c r="AU93" s="78">
        <f t="shared" si="42"/>
        <v>9660</v>
      </c>
      <c r="AW93" s="54">
        <v>87</v>
      </c>
      <c r="AX93" s="82">
        <v>80</v>
      </c>
      <c r="AY93" s="78">
        <f t="shared" si="43"/>
        <v>11230</v>
      </c>
      <c r="BA93" s="54">
        <v>87</v>
      </c>
      <c r="BB93" s="82">
        <v>100</v>
      </c>
      <c r="BC93" s="78">
        <f t="shared" si="44"/>
        <v>14985</v>
      </c>
      <c r="BD93" s="125"/>
    </row>
    <row r="94" spans="1:56">
      <c r="A94" s="54">
        <v>88</v>
      </c>
      <c r="B94" s="82">
        <v>60</v>
      </c>
      <c r="C94" s="78">
        <f t="shared" si="26"/>
        <v>5520</v>
      </c>
      <c r="E94" s="129">
        <f t="shared" si="35"/>
        <v>1.3</v>
      </c>
      <c r="F94" s="38">
        <f t="shared" si="27"/>
        <v>78</v>
      </c>
      <c r="G94" s="130">
        <f t="shared" si="28"/>
        <v>7276</v>
      </c>
      <c r="I94" s="129">
        <f t="shared" si="36"/>
        <v>1.6</v>
      </c>
      <c r="J94" s="38">
        <f t="shared" si="29"/>
        <v>96</v>
      </c>
      <c r="K94" s="127">
        <f t="shared" si="30"/>
        <v>9132</v>
      </c>
      <c r="M94" s="129">
        <f t="shared" si="37"/>
        <v>2</v>
      </c>
      <c r="N94" s="38">
        <f t="shared" si="31"/>
        <v>120</v>
      </c>
      <c r="O94" s="128">
        <f t="shared" si="32"/>
        <v>11540</v>
      </c>
      <c r="Q94" s="129">
        <f t="shared" si="38"/>
        <v>2.5</v>
      </c>
      <c r="R94" s="38">
        <f t="shared" si="33"/>
        <v>150</v>
      </c>
      <c r="S94" s="131">
        <f t="shared" si="34"/>
        <v>14500</v>
      </c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3"/>
      <c r="AG94" s="54">
        <v>88</v>
      </c>
      <c r="AH94" s="82">
        <v>40</v>
      </c>
      <c r="AI94" s="78">
        <f t="shared" si="39"/>
        <v>3882</v>
      </c>
      <c r="AK94" s="54">
        <v>88</v>
      </c>
      <c r="AL94" s="82">
        <v>40</v>
      </c>
      <c r="AM94" s="78">
        <f t="shared" si="40"/>
        <v>4790</v>
      </c>
      <c r="AO94" s="54">
        <v>88</v>
      </c>
      <c r="AP94" s="82">
        <v>50</v>
      </c>
      <c r="AQ94" s="78">
        <f t="shared" si="41"/>
        <v>7060</v>
      </c>
      <c r="AS94" s="54">
        <v>88</v>
      </c>
      <c r="AT94" s="82">
        <v>70</v>
      </c>
      <c r="AU94" s="78">
        <f t="shared" si="42"/>
        <v>9730</v>
      </c>
      <c r="AW94" s="54">
        <v>88</v>
      </c>
      <c r="AX94" s="82">
        <v>80</v>
      </c>
      <c r="AY94" s="78">
        <f t="shared" si="43"/>
        <v>11310</v>
      </c>
      <c r="BA94" s="54">
        <v>88</v>
      </c>
      <c r="BB94" s="82">
        <v>100</v>
      </c>
      <c r="BC94" s="78">
        <f t="shared" si="44"/>
        <v>15085</v>
      </c>
      <c r="BD94" s="125"/>
    </row>
    <row r="95" spans="1:56">
      <c r="A95" s="54">
        <v>89</v>
      </c>
      <c r="B95" s="82">
        <v>60</v>
      </c>
      <c r="C95" s="78">
        <f t="shared" si="26"/>
        <v>5580</v>
      </c>
      <c r="E95" s="129">
        <f t="shared" si="35"/>
        <v>1.3</v>
      </c>
      <c r="F95" s="38">
        <f t="shared" si="27"/>
        <v>78</v>
      </c>
      <c r="G95" s="130">
        <f t="shared" si="28"/>
        <v>7354</v>
      </c>
      <c r="I95" s="129">
        <f t="shared" si="36"/>
        <v>1.6</v>
      </c>
      <c r="J95" s="38">
        <f t="shared" si="29"/>
        <v>96</v>
      </c>
      <c r="K95" s="127">
        <f t="shared" si="30"/>
        <v>9228</v>
      </c>
      <c r="M95" s="129">
        <f t="shared" si="37"/>
        <v>2</v>
      </c>
      <c r="N95" s="38">
        <f t="shared" si="31"/>
        <v>120</v>
      </c>
      <c r="O95" s="128">
        <f t="shared" si="32"/>
        <v>11660</v>
      </c>
      <c r="Q95" s="129">
        <f t="shared" si="38"/>
        <v>2.5</v>
      </c>
      <c r="R95" s="38">
        <f t="shared" si="33"/>
        <v>150</v>
      </c>
      <c r="S95" s="131">
        <f t="shared" si="34"/>
        <v>14650</v>
      </c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3"/>
      <c r="AG95" s="54">
        <v>89</v>
      </c>
      <c r="AH95" s="82">
        <v>40</v>
      </c>
      <c r="AI95" s="78">
        <f t="shared" si="39"/>
        <v>3922</v>
      </c>
      <c r="AK95" s="54">
        <v>89</v>
      </c>
      <c r="AL95" s="82">
        <v>40</v>
      </c>
      <c r="AM95" s="78">
        <f t="shared" si="40"/>
        <v>4830</v>
      </c>
      <c r="AO95" s="54">
        <v>89</v>
      </c>
      <c r="AP95" s="82">
        <v>50</v>
      </c>
      <c r="AQ95" s="78">
        <f t="shared" si="41"/>
        <v>7110</v>
      </c>
      <c r="AS95" s="54">
        <v>89</v>
      </c>
      <c r="AT95" s="82">
        <v>70</v>
      </c>
      <c r="AU95" s="78">
        <f t="shared" si="42"/>
        <v>9800</v>
      </c>
      <c r="AW95" s="54">
        <v>89</v>
      </c>
      <c r="AX95" s="82">
        <v>80</v>
      </c>
      <c r="AY95" s="78">
        <f t="shared" si="43"/>
        <v>11390</v>
      </c>
      <c r="BA95" s="54">
        <v>89</v>
      </c>
      <c r="BB95" s="82">
        <v>100</v>
      </c>
      <c r="BC95" s="78">
        <f t="shared" si="44"/>
        <v>15185</v>
      </c>
      <c r="BD95" s="125"/>
    </row>
    <row r="96" spans="1:56">
      <c r="A96" s="54">
        <v>90</v>
      </c>
      <c r="B96" s="82">
        <v>60</v>
      </c>
      <c r="C96" s="78">
        <f t="shared" si="26"/>
        <v>5640</v>
      </c>
      <c r="E96" s="129">
        <f t="shared" si="35"/>
        <v>1.3</v>
      </c>
      <c r="F96" s="38">
        <f t="shared" si="27"/>
        <v>78</v>
      </c>
      <c r="G96" s="130">
        <f t="shared" si="28"/>
        <v>7432</v>
      </c>
      <c r="I96" s="129">
        <f t="shared" si="36"/>
        <v>1.6</v>
      </c>
      <c r="J96" s="38">
        <f t="shared" si="29"/>
        <v>96</v>
      </c>
      <c r="K96" s="127">
        <f t="shared" si="30"/>
        <v>9324</v>
      </c>
      <c r="M96" s="129">
        <f t="shared" si="37"/>
        <v>2</v>
      </c>
      <c r="N96" s="38">
        <f t="shared" si="31"/>
        <v>120</v>
      </c>
      <c r="O96" s="128">
        <f t="shared" si="32"/>
        <v>11780</v>
      </c>
      <c r="Q96" s="129">
        <f t="shared" si="38"/>
        <v>2.5</v>
      </c>
      <c r="R96" s="38">
        <f t="shared" si="33"/>
        <v>150</v>
      </c>
      <c r="S96" s="131">
        <f t="shared" si="34"/>
        <v>14800</v>
      </c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3"/>
      <c r="AG96" s="54">
        <v>90</v>
      </c>
      <c r="AH96" s="82">
        <v>40</v>
      </c>
      <c r="AI96" s="78">
        <f t="shared" si="39"/>
        <v>3962</v>
      </c>
      <c r="AK96" s="54">
        <v>90</v>
      </c>
      <c r="AL96" s="82">
        <v>40</v>
      </c>
      <c r="AM96" s="78">
        <f t="shared" si="40"/>
        <v>4870</v>
      </c>
      <c r="AO96" s="54">
        <v>90</v>
      </c>
      <c r="AP96" s="82">
        <v>50</v>
      </c>
      <c r="AQ96" s="78">
        <f t="shared" si="41"/>
        <v>7160</v>
      </c>
      <c r="AS96" s="54">
        <v>90</v>
      </c>
      <c r="AT96" s="82">
        <v>70</v>
      </c>
      <c r="AU96" s="78">
        <f t="shared" si="42"/>
        <v>9870</v>
      </c>
      <c r="AW96" s="54">
        <v>90</v>
      </c>
      <c r="AX96" s="82">
        <v>80</v>
      </c>
      <c r="AY96" s="78">
        <f t="shared" si="43"/>
        <v>11470</v>
      </c>
      <c r="BA96" s="54">
        <v>90</v>
      </c>
      <c r="BB96" s="82">
        <v>100</v>
      </c>
      <c r="BC96" s="78">
        <f t="shared" si="44"/>
        <v>15285</v>
      </c>
      <c r="BD96" s="125"/>
    </row>
    <row r="97" spans="1:56">
      <c r="A97" s="54">
        <v>91</v>
      </c>
      <c r="B97" s="82">
        <v>60</v>
      </c>
      <c r="C97" s="78">
        <f t="shared" si="26"/>
        <v>5700</v>
      </c>
      <c r="E97" s="129">
        <f t="shared" si="35"/>
        <v>1.3</v>
      </c>
      <c r="F97" s="38">
        <f t="shared" si="27"/>
        <v>78</v>
      </c>
      <c r="G97" s="130">
        <f t="shared" si="28"/>
        <v>7510</v>
      </c>
      <c r="I97" s="129">
        <f t="shared" si="36"/>
        <v>1.6</v>
      </c>
      <c r="J97" s="38">
        <f t="shared" si="29"/>
        <v>96</v>
      </c>
      <c r="K97" s="127">
        <f t="shared" si="30"/>
        <v>9420</v>
      </c>
      <c r="M97" s="129">
        <f t="shared" si="37"/>
        <v>2</v>
      </c>
      <c r="N97" s="38">
        <f t="shared" si="31"/>
        <v>120</v>
      </c>
      <c r="O97" s="128">
        <f t="shared" si="32"/>
        <v>11900</v>
      </c>
      <c r="Q97" s="129">
        <f t="shared" si="38"/>
        <v>2.5</v>
      </c>
      <c r="R97" s="38">
        <f t="shared" si="33"/>
        <v>150</v>
      </c>
      <c r="S97" s="131">
        <f t="shared" si="34"/>
        <v>14950</v>
      </c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3"/>
      <c r="AG97" s="54">
        <v>91</v>
      </c>
      <c r="AH97" s="82">
        <v>40</v>
      </c>
      <c r="AI97" s="78">
        <f t="shared" si="39"/>
        <v>4002</v>
      </c>
      <c r="AK97" s="54">
        <v>91</v>
      </c>
      <c r="AL97" s="82">
        <v>40</v>
      </c>
      <c r="AM97" s="78">
        <f t="shared" si="40"/>
        <v>4910</v>
      </c>
      <c r="AO97" s="54">
        <v>91</v>
      </c>
      <c r="AP97" s="82">
        <v>50</v>
      </c>
      <c r="AQ97" s="78">
        <f t="shared" si="41"/>
        <v>7210</v>
      </c>
      <c r="AS97" s="54">
        <v>91</v>
      </c>
      <c r="AT97" s="82">
        <v>70</v>
      </c>
      <c r="AU97" s="78">
        <f t="shared" si="42"/>
        <v>9940</v>
      </c>
      <c r="AW97" s="54">
        <v>91</v>
      </c>
      <c r="AX97" s="82">
        <v>80</v>
      </c>
      <c r="AY97" s="78">
        <f t="shared" si="43"/>
        <v>11550</v>
      </c>
      <c r="BA97" s="54">
        <v>91</v>
      </c>
      <c r="BB97" s="82">
        <v>100</v>
      </c>
      <c r="BC97" s="78">
        <f t="shared" si="44"/>
        <v>15385</v>
      </c>
      <c r="BD97" s="125"/>
    </row>
    <row r="98" spans="1:56">
      <c r="A98" s="54">
        <v>92</v>
      </c>
      <c r="B98" s="82">
        <v>60</v>
      </c>
      <c r="C98" s="78">
        <f t="shared" si="26"/>
        <v>5760</v>
      </c>
      <c r="E98" s="129">
        <f t="shared" si="35"/>
        <v>1.3</v>
      </c>
      <c r="F98" s="38">
        <f t="shared" si="27"/>
        <v>78</v>
      </c>
      <c r="G98" s="130">
        <f t="shared" si="28"/>
        <v>7588</v>
      </c>
      <c r="I98" s="129">
        <f t="shared" si="36"/>
        <v>1.6</v>
      </c>
      <c r="J98" s="38">
        <f t="shared" si="29"/>
        <v>96</v>
      </c>
      <c r="K98" s="127">
        <f t="shared" si="30"/>
        <v>9516</v>
      </c>
      <c r="M98" s="129">
        <f t="shared" si="37"/>
        <v>2</v>
      </c>
      <c r="N98" s="38">
        <f t="shared" si="31"/>
        <v>120</v>
      </c>
      <c r="O98" s="128">
        <f t="shared" si="32"/>
        <v>12020</v>
      </c>
      <c r="Q98" s="129">
        <f t="shared" si="38"/>
        <v>2.5</v>
      </c>
      <c r="R98" s="38">
        <f t="shared" si="33"/>
        <v>150</v>
      </c>
      <c r="S98" s="131">
        <f t="shared" si="34"/>
        <v>15100</v>
      </c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3"/>
      <c r="AG98" s="54">
        <v>92</v>
      </c>
      <c r="AH98" s="82">
        <v>40</v>
      </c>
      <c r="AI98" s="78">
        <f t="shared" si="39"/>
        <v>4042</v>
      </c>
      <c r="AK98" s="54">
        <v>92</v>
      </c>
      <c r="AL98" s="82">
        <v>40</v>
      </c>
      <c r="AM98" s="78">
        <f t="shared" si="40"/>
        <v>4950</v>
      </c>
      <c r="AO98" s="54">
        <v>92</v>
      </c>
      <c r="AP98" s="82">
        <v>50</v>
      </c>
      <c r="AQ98" s="78">
        <f t="shared" si="41"/>
        <v>7260</v>
      </c>
      <c r="AS98" s="54">
        <v>92</v>
      </c>
      <c r="AT98" s="82">
        <v>70</v>
      </c>
      <c r="AU98" s="78">
        <f t="shared" si="42"/>
        <v>10010</v>
      </c>
      <c r="AW98" s="54">
        <v>92</v>
      </c>
      <c r="AX98" s="82">
        <v>80</v>
      </c>
      <c r="AY98" s="78">
        <f t="shared" si="43"/>
        <v>11630</v>
      </c>
      <c r="BA98" s="54">
        <v>92</v>
      </c>
      <c r="BB98" s="82">
        <v>100</v>
      </c>
      <c r="BC98" s="78">
        <f t="shared" si="44"/>
        <v>15485</v>
      </c>
      <c r="BD98" s="125"/>
    </row>
    <row r="99" spans="1:56">
      <c r="A99" s="54">
        <v>93</v>
      </c>
      <c r="B99" s="82">
        <v>60</v>
      </c>
      <c r="C99" s="78">
        <f t="shared" si="26"/>
        <v>5820</v>
      </c>
      <c r="E99" s="129">
        <f t="shared" si="35"/>
        <v>1.3</v>
      </c>
      <c r="F99" s="38">
        <f t="shared" si="27"/>
        <v>78</v>
      </c>
      <c r="G99" s="130">
        <f t="shared" si="28"/>
        <v>7666</v>
      </c>
      <c r="I99" s="129">
        <f t="shared" si="36"/>
        <v>1.6</v>
      </c>
      <c r="J99" s="38">
        <f t="shared" si="29"/>
        <v>96</v>
      </c>
      <c r="K99" s="127">
        <f t="shared" si="30"/>
        <v>9612</v>
      </c>
      <c r="M99" s="129">
        <f t="shared" si="37"/>
        <v>2</v>
      </c>
      <c r="N99" s="38">
        <f t="shared" si="31"/>
        <v>120</v>
      </c>
      <c r="O99" s="128">
        <f t="shared" si="32"/>
        <v>12140</v>
      </c>
      <c r="Q99" s="129">
        <f t="shared" si="38"/>
        <v>2.5</v>
      </c>
      <c r="R99" s="38">
        <f t="shared" si="33"/>
        <v>150</v>
      </c>
      <c r="S99" s="131">
        <f t="shared" si="34"/>
        <v>15250</v>
      </c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3"/>
      <c r="AG99" s="54">
        <v>93</v>
      </c>
      <c r="AH99" s="82">
        <v>40</v>
      </c>
      <c r="AI99" s="78">
        <f t="shared" si="39"/>
        <v>4082</v>
      </c>
      <c r="AK99" s="54">
        <v>93</v>
      </c>
      <c r="AL99" s="82">
        <v>40</v>
      </c>
      <c r="AM99" s="78">
        <f t="shared" si="40"/>
        <v>4990</v>
      </c>
      <c r="AO99" s="54">
        <v>93</v>
      </c>
      <c r="AP99" s="82">
        <v>50</v>
      </c>
      <c r="AQ99" s="78">
        <f t="shared" si="41"/>
        <v>7310</v>
      </c>
      <c r="AS99" s="54">
        <v>93</v>
      </c>
      <c r="AT99" s="82">
        <v>70</v>
      </c>
      <c r="AU99" s="78">
        <f t="shared" si="42"/>
        <v>10080</v>
      </c>
      <c r="AW99" s="54">
        <v>93</v>
      </c>
      <c r="AX99" s="82">
        <v>80</v>
      </c>
      <c r="AY99" s="78">
        <f t="shared" si="43"/>
        <v>11710</v>
      </c>
      <c r="BA99" s="54">
        <v>93</v>
      </c>
      <c r="BB99" s="82">
        <v>100</v>
      </c>
      <c r="BC99" s="78">
        <f t="shared" si="44"/>
        <v>15585</v>
      </c>
      <c r="BD99" s="125"/>
    </row>
    <row r="100" spans="1:56">
      <c r="A100" s="54">
        <v>94</v>
      </c>
      <c r="B100" s="82">
        <v>60</v>
      </c>
      <c r="C100" s="78">
        <f t="shared" si="26"/>
        <v>5880</v>
      </c>
      <c r="E100" s="129">
        <f t="shared" si="35"/>
        <v>1.3</v>
      </c>
      <c r="F100" s="38">
        <f t="shared" si="27"/>
        <v>78</v>
      </c>
      <c r="G100" s="130">
        <f t="shared" si="28"/>
        <v>7744</v>
      </c>
      <c r="I100" s="129">
        <f t="shared" si="36"/>
        <v>1.6</v>
      </c>
      <c r="J100" s="38">
        <f t="shared" si="29"/>
        <v>96</v>
      </c>
      <c r="K100" s="127">
        <f t="shared" si="30"/>
        <v>9708</v>
      </c>
      <c r="M100" s="129">
        <f t="shared" si="37"/>
        <v>2</v>
      </c>
      <c r="N100" s="38">
        <f t="shared" si="31"/>
        <v>120</v>
      </c>
      <c r="O100" s="128">
        <f t="shared" si="32"/>
        <v>12260</v>
      </c>
      <c r="Q100" s="129">
        <f t="shared" si="38"/>
        <v>2.5</v>
      </c>
      <c r="R100" s="38">
        <f t="shared" si="33"/>
        <v>150</v>
      </c>
      <c r="S100" s="131">
        <f t="shared" si="34"/>
        <v>15400</v>
      </c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3"/>
      <c r="AG100" s="54">
        <v>94</v>
      </c>
      <c r="AH100" s="82">
        <v>40</v>
      </c>
      <c r="AI100" s="78">
        <f t="shared" si="39"/>
        <v>4122</v>
      </c>
      <c r="AK100" s="54">
        <v>94</v>
      </c>
      <c r="AL100" s="82">
        <v>40</v>
      </c>
      <c r="AM100" s="78">
        <f t="shared" si="40"/>
        <v>5030</v>
      </c>
      <c r="AO100" s="54">
        <v>94</v>
      </c>
      <c r="AP100" s="82">
        <v>50</v>
      </c>
      <c r="AQ100" s="78">
        <f t="shared" si="41"/>
        <v>7360</v>
      </c>
      <c r="AS100" s="54">
        <v>94</v>
      </c>
      <c r="AT100" s="82">
        <v>70</v>
      </c>
      <c r="AU100" s="78">
        <f t="shared" si="42"/>
        <v>10150</v>
      </c>
      <c r="AW100" s="54">
        <v>94</v>
      </c>
      <c r="AX100" s="82">
        <v>80</v>
      </c>
      <c r="AY100" s="78">
        <f t="shared" si="43"/>
        <v>11790</v>
      </c>
      <c r="BA100" s="54">
        <v>94</v>
      </c>
      <c r="BB100" s="82">
        <v>100</v>
      </c>
      <c r="BC100" s="78">
        <f t="shared" si="44"/>
        <v>15685</v>
      </c>
      <c r="BD100" s="125"/>
    </row>
    <row r="101" spans="1:56">
      <c r="A101" s="54">
        <v>95</v>
      </c>
      <c r="B101" s="82">
        <v>60</v>
      </c>
      <c r="C101" s="78">
        <f t="shared" si="26"/>
        <v>5940</v>
      </c>
      <c r="E101" s="129">
        <f t="shared" si="35"/>
        <v>1.3</v>
      </c>
      <c r="F101" s="38">
        <f t="shared" si="27"/>
        <v>78</v>
      </c>
      <c r="G101" s="130">
        <f t="shared" si="28"/>
        <v>7822</v>
      </c>
      <c r="I101" s="129">
        <f t="shared" si="36"/>
        <v>1.6</v>
      </c>
      <c r="J101" s="38">
        <f t="shared" si="29"/>
        <v>96</v>
      </c>
      <c r="K101" s="127">
        <f t="shared" si="30"/>
        <v>9804</v>
      </c>
      <c r="M101" s="129">
        <f t="shared" si="37"/>
        <v>2</v>
      </c>
      <c r="N101" s="38">
        <f t="shared" si="31"/>
        <v>120</v>
      </c>
      <c r="O101" s="128">
        <f t="shared" si="32"/>
        <v>12380</v>
      </c>
      <c r="Q101" s="129">
        <f t="shared" si="38"/>
        <v>2.5</v>
      </c>
      <c r="R101" s="38">
        <f t="shared" si="33"/>
        <v>150</v>
      </c>
      <c r="S101" s="131">
        <f t="shared" si="34"/>
        <v>15550</v>
      </c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3"/>
      <c r="AG101" s="54">
        <v>95</v>
      </c>
      <c r="AH101" s="82">
        <v>40</v>
      </c>
      <c r="AI101" s="78">
        <f t="shared" si="39"/>
        <v>4162</v>
      </c>
      <c r="AK101" s="54">
        <v>95</v>
      </c>
      <c r="AL101" s="82">
        <v>40</v>
      </c>
      <c r="AM101" s="78">
        <f t="shared" si="40"/>
        <v>5070</v>
      </c>
      <c r="AO101" s="54">
        <v>95</v>
      </c>
      <c r="AP101" s="82">
        <v>50</v>
      </c>
      <c r="AQ101" s="78">
        <f t="shared" si="41"/>
        <v>7410</v>
      </c>
      <c r="AS101" s="54">
        <v>95</v>
      </c>
      <c r="AT101" s="82">
        <v>70</v>
      </c>
      <c r="AU101" s="78">
        <f t="shared" si="42"/>
        <v>10220</v>
      </c>
      <c r="AW101" s="54">
        <v>95</v>
      </c>
      <c r="AX101" s="82">
        <v>80</v>
      </c>
      <c r="AY101" s="78">
        <f t="shared" si="43"/>
        <v>11870</v>
      </c>
      <c r="BA101" s="54">
        <v>95</v>
      </c>
      <c r="BB101" s="82">
        <v>100</v>
      </c>
      <c r="BC101" s="78">
        <f t="shared" si="44"/>
        <v>15785</v>
      </c>
      <c r="BD101" s="125"/>
    </row>
    <row r="102" spans="1:56">
      <c r="A102" s="54">
        <v>96</v>
      </c>
      <c r="B102" s="82">
        <v>60</v>
      </c>
      <c r="C102" s="78">
        <f t="shared" si="26"/>
        <v>6000</v>
      </c>
      <c r="E102" s="129">
        <f t="shared" si="35"/>
        <v>1.3</v>
      </c>
      <c r="F102" s="38">
        <f t="shared" si="27"/>
        <v>78</v>
      </c>
      <c r="G102" s="130">
        <f t="shared" si="28"/>
        <v>7900</v>
      </c>
      <c r="I102" s="129">
        <f t="shared" si="36"/>
        <v>1.6</v>
      </c>
      <c r="J102" s="38">
        <f t="shared" si="29"/>
        <v>96</v>
      </c>
      <c r="K102" s="127">
        <f t="shared" si="30"/>
        <v>9900</v>
      </c>
      <c r="M102" s="129">
        <f t="shared" si="37"/>
        <v>2</v>
      </c>
      <c r="N102" s="38">
        <f t="shared" si="31"/>
        <v>120</v>
      </c>
      <c r="O102" s="128">
        <f t="shared" si="32"/>
        <v>12500</v>
      </c>
      <c r="Q102" s="129">
        <f t="shared" si="38"/>
        <v>2.5</v>
      </c>
      <c r="R102" s="38">
        <f t="shared" si="33"/>
        <v>150</v>
      </c>
      <c r="S102" s="131">
        <f t="shared" si="34"/>
        <v>15700</v>
      </c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3"/>
      <c r="AG102" s="54">
        <v>96</v>
      </c>
      <c r="AH102" s="82">
        <v>40</v>
      </c>
      <c r="AI102" s="78">
        <f t="shared" si="39"/>
        <v>4202</v>
      </c>
      <c r="AK102" s="54">
        <v>96</v>
      </c>
      <c r="AL102" s="82">
        <v>40</v>
      </c>
      <c r="AM102" s="78">
        <f t="shared" si="40"/>
        <v>5110</v>
      </c>
      <c r="AO102" s="54">
        <v>96</v>
      </c>
      <c r="AP102" s="82">
        <v>50</v>
      </c>
      <c r="AQ102" s="78">
        <f t="shared" si="41"/>
        <v>7460</v>
      </c>
      <c r="AS102" s="54">
        <v>96</v>
      </c>
      <c r="AT102" s="82">
        <v>70</v>
      </c>
      <c r="AU102" s="78">
        <f t="shared" si="42"/>
        <v>10290</v>
      </c>
      <c r="AW102" s="54">
        <v>96</v>
      </c>
      <c r="AX102" s="82">
        <v>80</v>
      </c>
      <c r="AY102" s="78">
        <f t="shared" si="43"/>
        <v>11950</v>
      </c>
      <c r="BA102" s="54">
        <v>96</v>
      </c>
      <c r="BB102" s="82">
        <v>100</v>
      </c>
      <c r="BC102" s="78">
        <f t="shared" si="44"/>
        <v>15885</v>
      </c>
      <c r="BD102" s="125"/>
    </row>
    <row r="103" spans="1:56">
      <c r="A103" s="54">
        <v>97</v>
      </c>
      <c r="B103" s="82">
        <v>60</v>
      </c>
      <c r="C103" s="78">
        <f t="shared" si="26"/>
        <v>6060</v>
      </c>
      <c r="E103" s="129">
        <f t="shared" si="35"/>
        <v>1.3</v>
      </c>
      <c r="F103" s="38">
        <f t="shared" si="27"/>
        <v>78</v>
      </c>
      <c r="G103" s="130">
        <f t="shared" si="28"/>
        <v>7978</v>
      </c>
      <c r="I103" s="129">
        <f t="shared" si="36"/>
        <v>1.6</v>
      </c>
      <c r="J103" s="38">
        <f t="shared" si="29"/>
        <v>96</v>
      </c>
      <c r="K103" s="127">
        <f t="shared" si="30"/>
        <v>9996</v>
      </c>
      <c r="M103" s="129">
        <f t="shared" si="37"/>
        <v>2</v>
      </c>
      <c r="N103" s="38">
        <f t="shared" si="31"/>
        <v>120</v>
      </c>
      <c r="O103" s="128">
        <f t="shared" si="32"/>
        <v>12620</v>
      </c>
      <c r="Q103" s="129">
        <f t="shared" si="38"/>
        <v>2.5</v>
      </c>
      <c r="R103" s="38">
        <f t="shared" si="33"/>
        <v>150</v>
      </c>
      <c r="S103" s="131">
        <f t="shared" si="34"/>
        <v>15850</v>
      </c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3"/>
      <c r="AG103" s="54">
        <v>97</v>
      </c>
      <c r="AH103" s="82">
        <v>40</v>
      </c>
      <c r="AI103" s="78">
        <f t="shared" si="39"/>
        <v>4242</v>
      </c>
      <c r="AK103" s="54">
        <v>97</v>
      </c>
      <c r="AL103" s="82">
        <v>40</v>
      </c>
      <c r="AM103" s="78">
        <f t="shared" si="40"/>
        <v>5150</v>
      </c>
      <c r="AO103" s="54">
        <v>97</v>
      </c>
      <c r="AP103" s="82">
        <v>50</v>
      </c>
      <c r="AQ103" s="78">
        <f t="shared" si="41"/>
        <v>7510</v>
      </c>
      <c r="AS103" s="54">
        <v>97</v>
      </c>
      <c r="AT103" s="82">
        <v>70</v>
      </c>
      <c r="AU103" s="78">
        <f t="shared" si="42"/>
        <v>10360</v>
      </c>
      <c r="AW103" s="54">
        <v>97</v>
      </c>
      <c r="AX103" s="82">
        <v>80</v>
      </c>
      <c r="AY103" s="78">
        <f t="shared" si="43"/>
        <v>12030</v>
      </c>
      <c r="BA103" s="54">
        <v>97</v>
      </c>
      <c r="BB103" s="82">
        <v>100</v>
      </c>
      <c r="BC103" s="78">
        <f t="shared" si="44"/>
        <v>15985</v>
      </c>
      <c r="BD103" s="125"/>
    </row>
    <row r="104" spans="1:56">
      <c r="A104" s="54">
        <v>98</v>
      </c>
      <c r="B104" s="82">
        <v>60</v>
      </c>
      <c r="C104" s="78">
        <f t="shared" ref="C104:C106" si="45">C103+B104</f>
        <v>6120</v>
      </c>
      <c r="E104" s="129">
        <f t="shared" si="35"/>
        <v>1.3</v>
      </c>
      <c r="F104" s="38">
        <f>B104*E104</f>
        <v>78</v>
      </c>
      <c r="G104" s="130">
        <f t="shared" si="28"/>
        <v>8056</v>
      </c>
      <c r="I104" s="129">
        <f t="shared" si="36"/>
        <v>1.6</v>
      </c>
      <c r="J104" s="38">
        <f t="shared" si="29"/>
        <v>96</v>
      </c>
      <c r="K104" s="127">
        <f t="shared" si="30"/>
        <v>10092</v>
      </c>
      <c r="M104" s="129">
        <f t="shared" si="37"/>
        <v>2</v>
      </c>
      <c r="N104" s="38">
        <f t="shared" si="31"/>
        <v>120</v>
      </c>
      <c r="O104" s="128">
        <f t="shared" si="32"/>
        <v>12740</v>
      </c>
      <c r="Q104" s="129">
        <f t="shared" si="38"/>
        <v>2.5</v>
      </c>
      <c r="R104" s="38">
        <f t="shared" si="33"/>
        <v>150</v>
      </c>
      <c r="S104" s="131">
        <f t="shared" si="34"/>
        <v>16000</v>
      </c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3"/>
      <c r="AG104" s="54">
        <v>98</v>
      </c>
      <c r="AH104" s="82">
        <v>40</v>
      </c>
      <c r="AI104" s="78">
        <f t="shared" si="39"/>
        <v>4282</v>
      </c>
      <c r="AK104" s="54">
        <v>98</v>
      </c>
      <c r="AL104" s="82">
        <v>40</v>
      </c>
      <c r="AM104" s="78">
        <f t="shared" si="40"/>
        <v>5190</v>
      </c>
      <c r="AO104" s="54">
        <v>98</v>
      </c>
      <c r="AP104" s="82">
        <v>50</v>
      </c>
      <c r="AQ104" s="78">
        <f t="shared" si="41"/>
        <v>7560</v>
      </c>
      <c r="AS104" s="54">
        <v>98</v>
      </c>
      <c r="AT104" s="82">
        <v>70</v>
      </c>
      <c r="AU104" s="78">
        <f t="shared" si="42"/>
        <v>10430</v>
      </c>
      <c r="AW104" s="54">
        <v>98</v>
      </c>
      <c r="AX104" s="82">
        <v>80</v>
      </c>
      <c r="AY104" s="78">
        <f t="shared" si="43"/>
        <v>12110</v>
      </c>
      <c r="BA104" s="54">
        <v>98</v>
      </c>
      <c r="BB104" s="82">
        <v>100</v>
      </c>
      <c r="BC104" s="78">
        <f t="shared" si="44"/>
        <v>16085</v>
      </c>
      <c r="BD104" s="125"/>
    </row>
    <row r="105" spans="1:56">
      <c r="A105" s="54">
        <v>99</v>
      </c>
      <c r="B105" s="82">
        <v>60</v>
      </c>
      <c r="C105" s="78">
        <f t="shared" si="45"/>
        <v>6180</v>
      </c>
      <c r="E105" s="129">
        <f t="shared" si="35"/>
        <v>1.3</v>
      </c>
      <c r="F105" s="38">
        <f t="shared" ref="F105" si="46">B105*E105</f>
        <v>78</v>
      </c>
      <c r="G105" s="130">
        <f t="shared" si="28"/>
        <v>8134</v>
      </c>
      <c r="I105" s="129">
        <f t="shared" si="36"/>
        <v>1.6</v>
      </c>
      <c r="J105" s="38">
        <f t="shared" si="29"/>
        <v>96</v>
      </c>
      <c r="K105" s="127">
        <f t="shared" si="30"/>
        <v>10188</v>
      </c>
      <c r="M105" s="129">
        <f t="shared" si="37"/>
        <v>2</v>
      </c>
      <c r="N105" s="38">
        <f t="shared" si="31"/>
        <v>120</v>
      </c>
      <c r="O105" s="128">
        <f t="shared" si="32"/>
        <v>12860</v>
      </c>
      <c r="Q105" s="129">
        <f t="shared" si="38"/>
        <v>2.5</v>
      </c>
      <c r="R105" s="38">
        <f t="shared" si="33"/>
        <v>150</v>
      </c>
      <c r="S105" s="131">
        <f t="shared" si="34"/>
        <v>16150</v>
      </c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3"/>
      <c r="AG105" s="54">
        <v>99</v>
      </c>
      <c r="AH105" s="82">
        <v>40</v>
      </c>
      <c r="AI105" s="78">
        <f t="shared" si="39"/>
        <v>4322</v>
      </c>
      <c r="AK105" s="54">
        <v>99</v>
      </c>
      <c r="AL105" s="82">
        <v>40</v>
      </c>
      <c r="AM105" s="78">
        <f t="shared" si="40"/>
        <v>5230</v>
      </c>
      <c r="AO105" s="54">
        <v>99</v>
      </c>
      <c r="AP105" s="82">
        <v>50</v>
      </c>
      <c r="AQ105" s="78">
        <f t="shared" si="41"/>
        <v>7610</v>
      </c>
      <c r="AS105" s="54">
        <v>99</v>
      </c>
      <c r="AT105" s="82">
        <v>70</v>
      </c>
      <c r="AU105" s="78">
        <f t="shared" si="42"/>
        <v>10500</v>
      </c>
      <c r="AW105" s="54">
        <v>99</v>
      </c>
      <c r="AX105" s="82">
        <v>80</v>
      </c>
      <c r="AY105" s="78">
        <f t="shared" si="43"/>
        <v>12190</v>
      </c>
      <c r="BA105" s="54">
        <v>99</v>
      </c>
      <c r="BB105" s="82">
        <v>100</v>
      </c>
      <c r="BC105" s="78">
        <f t="shared" si="44"/>
        <v>16185</v>
      </c>
      <c r="BD105" s="125"/>
    </row>
    <row r="106" spans="1:56">
      <c r="A106" s="54" t="s">
        <v>2248</v>
      </c>
      <c r="B106" s="82">
        <v>60</v>
      </c>
      <c r="C106" s="78">
        <f t="shared" si="45"/>
        <v>6240</v>
      </c>
      <c r="E106" s="129">
        <f t="shared" si="35"/>
        <v>1.3</v>
      </c>
      <c r="F106" s="38">
        <f t="shared" ref="F106" si="47">B106*E106</f>
        <v>78</v>
      </c>
      <c r="G106" s="130">
        <f t="shared" ref="G106" si="48">G105+F106</f>
        <v>8212</v>
      </c>
      <c r="I106" s="129">
        <f t="shared" si="36"/>
        <v>1.6</v>
      </c>
      <c r="J106" s="38">
        <f t="shared" ref="J106" si="49">B106*I106</f>
        <v>96</v>
      </c>
      <c r="K106" s="127">
        <f t="shared" ref="K106" si="50">K105+J106</f>
        <v>10284</v>
      </c>
      <c r="M106" s="129">
        <f t="shared" si="37"/>
        <v>2</v>
      </c>
      <c r="N106" s="38">
        <f t="shared" ref="N106" si="51">B106*M106</f>
        <v>120</v>
      </c>
      <c r="O106" s="128">
        <f t="shared" ref="O106" si="52">O105+N106</f>
        <v>12980</v>
      </c>
      <c r="Q106" s="129">
        <f t="shared" si="38"/>
        <v>2.5</v>
      </c>
      <c r="R106" s="38">
        <f t="shared" ref="R106" si="53">B106*Q106</f>
        <v>150</v>
      </c>
      <c r="S106" s="131">
        <f t="shared" ref="S106" si="54">S105+R106</f>
        <v>16300</v>
      </c>
      <c r="AF106" s="132"/>
      <c r="AG106" s="54" t="s">
        <v>1216</v>
      </c>
      <c r="AK106" s="54" t="s">
        <v>1216</v>
      </c>
      <c r="AO106" s="54" t="s">
        <v>1216</v>
      </c>
      <c r="AS106" s="54" t="s">
        <v>1216</v>
      </c>
      <c r="AW106" s="54" t="s">
        <v>1216</v>
      </c>
      <c r="BA106" s="54" t="s">
        <v>1216</v>
      </c>
    </row>
    <row r="107" spans="1:56">
      <c r="C107" s="78"/>
      <c r="AF107" s="132"/>
      <c r="AG107" s="54" t="s">
        <v>2028</v>
      </c>
      <c r="AK107" s="54" t="s">
        <v>2028</v>
      </c>
      <c r="AO107" s="54" t="s">
        <v>2028</v>
      </c>
      <c r="AS107" s="54" t="s">
        <v>2028</v>
      </c>
      <c r="AW107" s="54" t="s">
        <v>2028</v>
      </c>
      <c r="BA107" s="54" t="s">
        <v>2028</v>
      </c>
    </row>
    <row r="108" spans="1:56">
      <c r="C108" s="78"/>
      <c r="AF108" s="132"/>
      <c r="AG108" s="54" t="s">
        <v>1290</v>
      </c>
      <c r="AK108" s="54" t="s">
        <v>1290</v>
      </c>
      <c r="AO108" s="54" t="s">
        <v>1290</v>
      </c>
      <c r="AS108" s="54" t="s">
        <v>1290</v>
      </c>
      <c r="AW108" s="54" t="s">
        <v>1290</v>
      </c>
      <c r="BA108" s="54" t="s">
        <v>1290</v>
      </c>
    </row>
    <row r="109" spans="1:56">
      <c r="C109" s="78"/>
      <c r="AF109" s="132"/>
      <c r="AG109" s="54" t="s">
        <v>2053</v>
      </c>
      <c r="AK109" s="54" t="s">
        <v>2053</v>
      </c>
      <c r="AO109" s="54" t="s">
        <v>2053</v>
      </c>
      <c r="AS109" s="54" t="s">
        <v>2053</v>
      </c>
      <c r="AW109" s="54" t="s">
        <v>2053</v>
      </c>
      <c r="BA109" s="54" t="s">
        <v>2053</v>
      </c>
    </row>
    <row r="110" spans="1:56">
      <c r="AF110" s="132"/>
      <c r="AG110" s="54" t="s">
        <v>1112</v>
      </c>
      <c r="AK110" s="54" t="s">
        <v>1112</v>
      </c>
      <c r="AO110" s="54" t="s">
        <v>1112</v>
      </c>
      <c r="AS110" s="54" t="s">
        <v>1112</v>
      </c>
      <c r="AW110" s="54" t="s">
        <v>1112</v>
      </c>
      <c r="BA110" s="54" t="s">
        <v>1112</v>
      </c>
    </row>
    <row r="111" spans="1:56">
      <c r="AF111" s="132"/>
      <c r="AG111" s="54" t="s">
        <v>2054</v>
      </c>
      <c r="AK111" s="54" t="s">
        <v>2054</v>
      </c>
      <c r="AO111" s="54" t="s">
        <v>2054</v>
      </c>
      <c r="AS111" s="54" t="s">
        <v>2054</v>
      </c>
      <c r="AW111" s="54" t="s">
        <v>2054</v>
      </c>
      <c r="BA111" s="54" t="s">
        <v>2054</v>
      </c>
    </row>
    <row r="112" spans="1:56">
      <c r="AF112" s="132"/>
      <c r="AG112" s="54" t="s">
        <v>1291</v>
      </c>
      <c r="AK112" s="54" t="s">
        <v>1291</v>
      </c>
      <c r="AO112" s="54" t="s">
        <v>1291</v>
      </c>
      <c r="AS112" s="54" t="s">
        <v>1291</v>
      </c>
      <c r="AW112" s="54" t="s">
        <v>1291</v>
      </c>
      <c r="BA112" s="54" t="s">
        <v>1291</v>
      </c>
    </row>
    <row r="113" spans="2:55">
      <c r="AF113" s="132"/>
      <c r="AG113" s="54" t="s">
        <v>2055</v>
      </c>
      <c r="AK113" s="54" t="s">
        <v>2055</v>
      </c>
      <c r="AO113" s="54" t="s">
        <v>2055</v>
      </c>
      <c r="AS113" s="54" t="s">
        <v>2055</v>
      </c>
      <c r="AW113" s="54" t="s">
        <v>2055</v>
      </c>
      <c r="BA113" s="54" t="s">
        <v>2055</v>
      </c>
    </row>
    <row r="114" spans="2:55">
      <c r="AF114" s="132"/>
      <c r="AG114" s="54" t="s">
        <v>2056</v>
      </c>
      <c r="AK114" s="54" t="s">
        <v>2056</v>
      </c>
      <c r="AO114" s="54" t="s">
        <v>2056</v>
      </c>
      <c r="AS114" s="54" t="s">
        <v>2056</v>
      </c>
      <c r="AW114" s="54" t="s">
        <v>2056</v>
      </c>
      <c r="BA114" s="54" t="s">
        <v>2056</v>
      </c>
    </row>
    <row r="115" spans="2:55">
      <c r="AF115" s="132"/>
      <c r="AG115" s="54" t="s">
        <v>2057</v>
      </c>
      <c r="AK115" s="54" t="s">
        <v>2057</v>
      </c>
      <c r="AO115" s="54" t="s">
        <v>2057</v>
      </c>
      <c r="AS115" s="54" t="s">
        <v>2057</v>
      </c>
      <c r="AW115" s="54" t="s">
        <v>2057</v>
      </c>
      <c r="BA115" s="54" t="s">
        <v>2057</v>
      </c>
    </row>
    <row r="116" spans="2:55">
      <c r="AF116" s="132"/>
      <c r="AG116" s="54" t="s">
        <v>1292</v>
      </c>
      <c r="AK116" s="54" t="s">
        <v>1292</v>
      </c>
      <c r="AO116" s="54" t="s">
        <v>1292</v>
      </c>
      <c r="AS116" s="54" t="s">
        <v>1292</v>
      </c>
      <c r="AW116" s="54" t="s">
        <v>1292</v>
      </c>
      <c r="BA116" s="54" t="s">
        <v>1292</v>
      </c>
    </row>
    <row r="117" spans="2:55">
      <c r="AF117" s="132"/>
      <c r="AG117" s="54" t="s">
        <v>2029</v>
      </c>
      <c r="AK117" s="54" t="s">
        <v>2029</v>
      </c>
      <c r="AO117" s="54" t="s">
        <v>2029</v>
      </c>
      <c r="AS117" s="54" t="s">
        <v>2029</v>
      </c>
      <c r="AW117" s="54" t="s">
        <v>2029</v>
      </c>
      <c r="BA117" s="54" t="s">
        <v>2029</v>
      </c>
    </row>
    <row r="118" spans="2:55">
      <c r="AF118" s="132"/>
      <c r="AG118" s="54" t="s">
        <v>2058</v>
      </c>
      <c r="AK118" s="54" t="s">
        <v>2058</v>
      </c>
      <c r="AO118" s="54" t="s">
        <v>2058</v>
      </c>
      <c r="AS118" s="54" t="s">
        <v>2058</v>
      </c>
      <c r="AW118" s="54" t="s">
        <v>2058</v>
      </c>
      <c r="BA118" s="54" t="s">
        <v>2058</v>
      </c>
    </row>
    <row r="119" spans="2:55">
      <c r="AF119" s="132"/>
      <c r="AG119" s="54" t="s">
        <v>1605</v>
      </c>
      <c r="AK119" s="54" t="s">
        <v>1605</v>
      </c>
      <c r="AO119" s="54" t="s">
        <v>1605</v>
      </c>
      <c r="AS119" s="54" t="s">
        <v>1605</v>
      </c>
      <c r="AW119" s="54" t="s">
        <v>1605</v>
      </c>
      <c r="BA119" s="54" t="s">
        <v>1605</v>
      </c>
    </row>
    <row r="120" spans="2:55">
      <c r="AF120" s="132"/>
      <c r="AG120" s="54" t="s">
        <v>1293</v>
      </c>
      <c r="AK120" s="54" t="s">
        <v>1293</v>
      </c>
      <c r="AO120" s="54" t="s">
        <v>1293</v>
      </c>
      <c r="AS120" s="54" t="s">
        <v>1293</v>
      </c>
      <c r="AW120" s="54" t="s">
        <v>1293</v>
      </c>
      <c r="BA120" s="54" t="s">
        <v>1293</v>
      </c>
    </row>
    <row r="121" spans="2:55">
      <c r="AF121" s="132"/>
      <c r="AG121" s="54" t="s">
        <v>2059</v>
      </c>
      <c r="AK121" s="54" t="s">
        <v>2059</v>
      </c>
      <c r="AO121" s="54" t="s">
        <v>2059</v>
      </c>
      <c r="AS121" s="54" t="s">
        <v>2059</v>
      </c>
      <c r="AW121" s="54" t="s">
        <v>2059</v>
      </c>
      <c r="BA121" s="54" t="s">
        <v>2059</v>
      </c>
    </row>
    <row r="122" spans="2:55">
      <c r="AF122" s="132"/>
      <c r="AG122" s="54" t="s">
        <v>1221</v>
      </c>
      <c r="AK122" s="54" t="s">
        <v>1221</v>
      </c>
      <c r="AO122" s="54" t="s">
        <v>1221</v>
      </c>
      <c r="AS122" s="54" t="s">
        <v>1221</v>
      </c>
      <c r="AW122" s="54" t="s">
        <v>1221</v>
      </c>
      <c r="BA122" s="54" t="s">
        <v>1221</v>
      </c>
    </row>
    <row r="123" spans="2:55">
      <c r="AF123" s="132"/>
      <c r="AG123" s="54" t="s">
        <v>2060</v>
      </c>
      <c r="AK123" s="54" t="s">
        <v>2060</v>
      </c>
      <c r="AO123" s="54" t="s">
        <v>2060</v>
      </c>
      <c r="AS123" s="54" t="s">
        <v>2060</v>
      </c>
      <c r="AW123" s="54" t="s">
        <v>2060</v>
      </c>
      <c r="BA123" s="54" t="s">
        <v>2060</v>
      </c>
    </row>
    <row r="124" spans="2:55">
      <c r="AF124" s="132"/>
      <c r="AG124" s="54" t="s">
        <v>1294</v>
      </c>
      <c r="AK124" s="54" t="s">
        <v>1294</v>
      </c>
      <c r="AO124" s="54" t="s">
        <v>1294</v>
      </c>
      <c r="AS124" s="54" t="s">
        <v>1294</v>
      </c>
      <c r="AW124" s="54" t="s">
        <v>1294</v>
      </c>
      <c r="BA124" s="54" t="s">
        <v>1294</v>
      </c>
    </row>
    <row r="125" spans="2:55">
      <c r="AF125" s="132"/>
      <c r="AG125" s="54" t="s">
        <v>2061</v>
      </c>
      <c r="AK125" s="54" t="s">
        <v>2061</v>
      </c>
      <c r="AO125" s="54" t="s">
        <v>2061</v>
      </c>
      <c r="AS125" s="54" t="s">
        <v>2061</v>
      </c>
      <c r="AW125" s="54" t="s">
        <v>2061</v>
      </c>
      <c r="BA125" s="54" t="s">
        <v>2061</v>
      </c>
    </row>
    <row r="126" spans="2:55">
      <c r="B126" s="83"/>
      <c r="C126" s="78"/>
      <c r="AF126" s="132"/>
      <c r="AG126" s="54" t="s">
        <v>2062</v>
      </c>
      <c r="AH126" s="83"/>
      <c r="AI126" s="78"/>
      <c r="AK126" s="54" t="s">
        <v>2062</v>
      </c>
      <c r="AL126" s="83"/>
      <c r="AM126" s="78"/>
      <c r="AO126" s="54" t="s">
        <v>2062</v>
      </c>
      <c r="AP126" s="83"/>
      <c r="AQ126" s="78"/>
      <c r="AS126" s="54" t="s">
        <v>2062</v>
      </c>
      <c r="AT126" s="83"/>
      <c r="AU126" s="78"/>
      <c r="AW126" s="54" t="s">
        <v>2062</v>
      </c>
      <c r="AX126" s="83"/>
      <c r="AY126" s="78"/>
      <c r="BA126" s="54" t="s">
        <v>2062</v>
      </c>
      <c r="BB126" s="83"/>
      <c r="BC126" s="78"/>
    </row>
    <row r="127" spans="2:55">
      <c r="AF127" s="132"/>
      <c r="AG127" s="54" t="s">
        <v>1937</v>
      </c>
      <c r="AK127" s="54" t="s">
        <v>1937</v>
      </c>
      <c r="AO127" s="54" t="s">
        <v>1937</v>
      </c>
      <c r="AS127" s="54" t="s">
        <v>1937</v>
      </c>
      <c r="AW127" s="54" t="s">
        <v>1937</v>
      </c>
      <c r="BA127" s="54" t="s">
        <v>1937</v>
      </c>
    </row>
    <row r="128" spans="2:55">
      <c r="AF128" s="132"/>
      <c r="AG128" s="54" t="s">
        <v>1295</v>
      </c>
      <c r="AK128" s="54" t="s">
        <v>1295</v>
      </c>
      <c r="AO128" s="54" t="s">
        <v>1295</v>
      </c>
      <c r="AS128" s="54" t="s">
        <v>1295</v>
      </c>
      <c r="AW128" s="54" t="s">
        <v>1295</v>
      </c>
      <c r="BA128" s="54" t="s">
        <v>1295</v>
      </c>
    </row>
    <row r="129" spans="32:53">
      <c r="AF129" s="132"/>
      <c r="AG129" s="54" t="s">
        <v>2063</v>
      </c>
      <c r="AK129" s="54" t="s">
        <v>2063</v>
      </c>
      <c r="AO129" s="54" t="s">
        <v>2063</v>
      </c>
      <c r="AS129" s="54" t="s">
        <v>2063</v>
      </c>
      <c r="AW129" s="54" t="s">
        <v>2063</v>
      </c>
      <c r="BA129" s="54" t="s">
        <v>2063</v>
      </c>
    </row>
    <row r="130" spans="32:53">
      <c r="AF130" s="132"/>
      <c r="AG130" s="54" t="s">
        <v>2064</v>
      </c>
      <c r="AK130" s="54" t="s">
        <v>2064</v>
      </c>
      <c r="AO130" s="54" t="s">
        <v>2064</v>
      </c>
      <c r="AS130" s="54" t="s">
        <v>2064</v>
      </c>
      <c r="AW130" s="54" t="s">
        <v>2064</v>
      </c>
      <c r="BA130" s="54" t="s">
        <v>2064</v>
      </c>
    </row>
    <row r="131" spans="32:53">
      <c r="AF131" s="132"/>
      <c r="AG131" s="54" t="s">
        <v>1452</v>
      </c>
      <c r="AK131" s="54" t="s">
        <v>1452</v>
      </c>
      <c r="AO131" s="54" t="s">
        <v>1452</v>
      </c>
      <c r="AS131" s="54" t="s">
        <v>1452</v>
      </c>
      <c r="AW131" s="54" t="s">
        <v>1452</v>
      </c>
      <c r="BA131" s="54" t="s">
        <v>1452</v>
      </c>
    </row>
    <row r="132" spans="32:53">
      <c r="AF132" s="132"/>
      <c r="AG132" s="54" t="s">
        <v>1296</v>
      </c>
      <c r="AK132" s="54" t="s">
        <v>1296</v>
      </c>
      <c r="AO132" s="54" t="s">
        <v>1296</v>
      </c>
      <c r="AS132" s="54" t="s">
        <v>1296</v>
      </c>
      <c r="AW132" s="54" t="s">
        <v>1296</v>
      </c>
      <c r="BA132" s="54" t="s">
        <v>1296</v>
      </c>
    </row>
    <row r="133" spans="32:53">
      <c r="AF133" s="132"/>
      <c r="AG133" s="54" t="s">
        <v>2065</v>
      </c>
      <c r="AK133" s="54" t="s">
        <v>2065</v>
      </c>
      <c r="AO133" s="54" t="s">
        <v>2065</v>
      </c>
      <c r="AS133" s="54" t="s">
        <v>2065</v>
      </c>
      <c r="AW133" s="54" t="s">
        <v>2065</v>
      </c>
      <c r="BA133" s="54" t="s">
        <v>2065</v>
      </c>
    </row>
    <row r="134" spans="32:53">
      <c r="AF134" s="132"/>
      <c r="AG134" s="54" t="s">
        <v>1117</v>
      </c>
      <c r="AK134" s="54" t="s">
        <v>1117</v>
      </c>
      <c r="AO134" s="54" t="s">
        <v>1117</v>
      </c>
      <c r="AS134" s="54" t="s">
        <v>1117</v>
      </c>
      <c r="AW134" s="54" t="s">
        <v>1117</v>
      </c>
      <c r="BA134" s="54" t="s">
        <v>1117</v>
      </c>
    </row>
    <row r="135" spans="32:53">
      <c r="AF135" s="132"/>
      <c r="AG135" s="54" t="s">
        <v>2066</v>
      </c>
      <c r="AK135" s="54" t="s">
        <v>2066</v>
      </c>
      <c r="AO135" s="54" t="s">
        <v>2066</v>
      </c>
      <c r="AS135" s="54" t="s">
        <v>2066</v>
      </c>
      <c r="AW135" s="54" t="s">
        <v>2066</v>
      </c>
      <c r="BA135" s="54" t="s">
        <v>2066</v>
      </c>
    </row>
    <row r="136" spans="32:53">
      <c r="AF136" s="132"/>
      <c r="AG136" s="54" t="s">
        <v>1297</v>
      </c>
      <c r="AK136" s="54" t="s">
        <v>1297</v>
      </c>
      <c r="AO136" s="54" t="s">
        <v>1297</v>
      </c>
      <c r="AS136" s="54" t="s">
        <v>1297</v>
      </c>
      <c r="AW136" s="54" t="s">
        <v>1297</v>
      </c>
      <c r="BA136" s="54" t="s">
        <v>1297</v>
      </c>
    </row>
    <row r="137" spans="32:53">
      <c r="AF137" s="132"/>
      <c r="AG137" s="54" t="s">
        <v>1453</v>
      </c>
      <c r="AK137" s="54" t="s">
        <v>1453</v>
      </c>
      <c r="AO137" s="54" t="s">
        <v>1453</v>
      </c>
      <c r="AS137" s="54" t="s">
        <v>1453</v>
      </c>
      <c r="AW137" s="54" t="s">
        <v>1453</v>
      </c>
      <c r="BA137" s="54" t="s">
        <v>1453</v>
      </c>
    </row>
    <row r="138" spans="32:53">
      <c r="AF138" s="132"/>
      <c r="AG138" s="54" t="s">
        <v>2067</v>
      </c>
      <c r="AK138" s="54" t="s">
        <v>2067</v>
      </c>
      <c r="AO138" s="54" t="s">
        <v>2067</v>
      </c>
      <c r="AS138" s="54" t="s">
        <v>2067</v>
      </c>
      <c r="AW138" s="54" t="s">
        <v>2067</v>
      </c>
      <c r="BA138" s="54" t="s">
        <v>2067</v>
      </c>
    </row>
    <row r="139" spans="32:53">
      <c r="AF139" s="132"/>
      <c r="AG139" s="54" t="s">
        <v>2068</v>
      </c>
      <c r="AK139" s="54" t="s">
        <v>2068</v>
      </c>
      <c r="AO139" s="54" t="s">
        <v>2068</v>
      </c>
      <c r="AS139" s="54" t="s">
        <v>2068</v>
      </c>
      <c r="AW139" s="54" t="s">
        <v>2068</v>
      </c>
      <c r="BA139" s="54" t="s">
        <v>2068</v>
      </c>
    </row>
    <row r="140" spans="32:53">
      <c r="AF140" s="132"/>
      <c r="AG140" s="54" t="s">
        <v>1298</v>
      </c>
      <c r="AK140" s="54" t="s">
        <v>1298</v>
      </c>
      <c r="AO140" s="54" t="s">
        <v>1298</v>
      </c>
      <c r="AS140" s="54" t="s">
        <v>1298</v>
      </c>
      <c r="AW140" s="54" t="s">
        <v>1298</v>
      </c>
      <c r="BA140" s="54" t="s">
        <v>1298</v>
      </c>
    </row>
    <row r="141" spans="32:53">
      <c r="AF141" s="132"/>
      <c r="AG141" s="54" t="s">
        <v>2069</v>
      </c>
      <c r="AK141" s="54" t="s">
        <v>2069</v>
      </c>
      <c r="AO141" s="54" t="s">
        <v>2069</v>
      </c>
      <c r="AS141" s="54" t="s">
        <v>2069</v>
      </c>
      <c r="AW141" s="54" t="s">
        <v>2069</v>
      </c>
      <c r="BA141" s="54" t="s">
        <v>2069</v>
      </c>
    </row>
    <row r="142" spans="32:53">
      <c r="AF142" s="132"/>
      <c r="AG142" s="54" t="s">
        <v>1682</v>
      </c>
      <c r="AK142" s="54" t="s">
        <v>1682</v>
      </c>
      <c r="AO142" s="54" t="s">
        <v>1682</v>
      </c>
      <c r="AS142" s="54" t="s">
        <v>1682</v>
      </c>
      <c r="AW142" s="54" t="s">
        <v>1682</v>
      </c>
      <c r="BA142" s="54" t="s">
        <v>1682</v>
      </c>
    </row>
    <row r="143" spans="32:53">
      <c r="AF143" s="132"/>
      <c r="AG143" s="54" t="s">
        <v>1454</v>
      </c>
      <c r="AK143" s="54" t="s">
        <v>1454</v>
      </c>
      <c r="AO143" s="54" t="s">
        <v>1454</v>
      </c>
      <c r="AS143" s="54" t="s">
        <v>1454</v>
      </c>
      <c r="AW143" s="54" t="s">
        <v>1454</v>
      </c>
      <c r="BA143" s="54" t="s">
        <v>1454</v>
      </c>
    </row>
    <row r="144" spans="32:53">
      <c r="AF144" s="132"/>
      <c r="AG144" s="54" t="s">
        <v>1299</v>
      </c>
      <c r="AK144" s="54" t="s">
        <v>1299</v>
      </c>
      <c r="AO144" s="54" t="s">
        <v>1299</v>
      </c>
      <c r="AS144" s="54" t="s">
        <v>1299</v>
      </c>
      <c r="AW144" s="54" t="s">
        <v>1299</v>
      </c>
      <c r="BA144" s="54" t="s">
        <v>1299</v>
      </c>
    </row>
    <row r="145" spans="2:55">
      <c r="AF145" s="132"/>
      <c r="AG145" s="54" t="s">
        <v>2070</v>
      </c>
      <c r="AK145" s="54" t="s">
        <v>2070</v>
      </c>
      <c r="AO145" s="54" t="s">
        <v>2070</v>
      </c>
      <c r="AS145" s="54" t="s">
        <v>2070</v>
      </c>
      <c r="AW145" s="54" t="s">
        <v>2070</v>
      </c>
      <c r="BA145" s="54" t="s">
        <v>2070</v>
      </c>
    </row>
    <row r="146" spans="2:55">
      <c r="B146" s="83"/>
      <c r="C146" s="78"/>
      <c r="AF146" s="132"/>
      <c r="AG146" s="54" t="s">
        <v>1526</v>
      </c>
      <c r="AH146" s="83"/>
      <c r="AI146" s="78"/>
      <c r="AK146" s="54" t="s">
        <v>1526</v>
      </c>
      <c r="AL146" s="83"/>
      <c r="AM146" s="78"/>
      <c r="AO146" s="54" t="s">
        <v>1526</v>
      </c>
      <c r="AP146" s="83"/>
      <c r="AQ146" s="78"/>
      <c r="AS146" s="54" t="s">
        <v>1526</v>
      </c>
      <c r="AT146" s="83"/>
      <c r="AU146" s="78"/>
      <c r="AW146" s="54" t="s">
        <v>1526</v>
      </c>
      <c r="AX146" s="83"/>
      <c r="AY146" s="78"/>
      <c r="BA146" s="54" t="s">
        <v>1526</v>
      </c>
      <c r="BB146" s="83"/>
      <c r="BC146" s="78"/>
    </row>
    <row r="147" spans="2:55">
      <c r="AF147" s="132"/>
      <c r="AG147" s="54" t="s">
        <v>2071</v>
      </c>
      <c r="AK147" s="54" t="s">
        <v>2071</v>
      </c>
      <c r="AO147" s="54" t="s">
        <v>2071</v>
      </c>
      <c r="AS147" s="54" t="s">
        <v>2071</v>
      </c>
      <c r="AW147" s="54" t="s">
        <v>2071</v>
      </c>
      <c r="BA147" s="54" t="s">
        <v>2071</v>
      </c>
    </row>
    <row r="148" spans="2:55">
      <c r="AF148" s="132"/>
      <c r="AG148" s="54" t="s">
        <v>1300</v>
      </c>
      <c r="AK148" s="54" t="s">
        <v>1300</v>
      </c>
      <c r="AO148" s="54" t="s">
        <v>1300</v>
      </c>
      <c r="AS148" s="54" t="s">
        <v>1300</v>
      </c>
      <c r="AW148" s="54" t="s">
        <v>1300</v>
      </c>
      <c r="BA148" s="54" t="s">
        <v>1300</v>
      </c>
    </row>
    <row r="149" spans="2:55">
      <c r="AF149" s="132"/>
      <c r="AG149" s="54" t="s">
        <v>1455</v>
      </c>
      <c r="AK149" s="54" t="s">
        <v>1455</v>
      </c>
      <c r="AO149" s="54" t="s">
        <v>1455</v>
      </c>
      <c r="AS149" s="54" t="s">
        <v>1455</v>
      </c>
      <c r="AW149" s="54" t="s">
        <v>1455</v>
      </c>
      <c r="BA149" s="54" t="s">
        <v>1455</v>
      </c>
    </row>
    <row r="150" spans="2:55">
      <c r="AF150" s="132"/>
      <c r="AG150" s="54" t="s">
        <v>2072</v>
      </c>
      <c r="AK150" s="54" t="s">
        <v>2072</v>
      </c>
      <c r="AO150" s="54" t="s">
        <v>2072</v>
      </c>
      <c r="AS150" s="54" t="s">
        <v>2072</v>
      </c>
      <c r="AW150" s="54" t="s">
        <v>2072</v>
      </c>
      <c r="BA150" s="54" t="s">
        <v>2072</v>
      </c>
    </row>
    <row r="151" spans="2:55">
      <c r="AF151" s="132"/>
      <c r="AG151" s="54" t="s">
        <v>2073</v>
      </c>
      <c r="AK151" s="54" t="s">
        <v>2073</v>
      </c>
      <c r="AO151" s="54" t="s">
        <v>2073</v>
      </c>
      <c r="AS151" s="54" t="s">
        <v>2073</v>
      </c>
      <c r="AW151" s="54" t="s">
        <v>2073</v>
      </c>
      <c r="BA151" s="54" t="s">
        <v>2073</v>
      </c>
    </row>
    <row r="152" spans="2:55">
      <c r="AF152" s="132"/>
      <c r="AG152" s="54" t="s">
        <v>1301</v>
      </c>
      <c r="AK152" s="54" t="s">
        <v>1301</v>
      </c>
      <c r="AO152" s="54" t="s">
        <v>1301</v>
      </c>
      <c r="AS152" s="54" t="s">
        <v>1301</v>
      </c>
      <c r="AW152" s="54" t="s">
        <v>1301</v>
      </c>
      <c r="BA152" s="54" t="s">
        <v>1301</v>
      </c>
    </row>
    <row r="153" spans="2:55">
      <c r="AF153" s="132"/>
      <c r="AG153" s="54" t="s">
        <v>2074</v>
      </c>
      <c r="AK153" s="54" t="s">
        <v>2074</v>
      </c>
      <c r="AO153" s="54" t="s">
        <v>2074</v>
      </c>
      <c r="AS153" s="54" t="s">
        <v>2074</v>
      </c>
      <c r="AW153" s="54" t="s">
        <v>2074</v>
      </c>
      <c r="BA153" s="54" t="s">
        <v>2074</v>
      </c>
    </row>
    <row r="154" spans="2:55">
      <c r="AF154" s="132"/>
      <c r="AG154" s="54" t="s">
        <v>2075</v>
      </c>
      <c r="AK154" s="54" t="s">
        <v>2075</v>
      </c>
      <c r="AO154" s="54" t="s">
        <v>2075</v>
      </c>
      <c r="AS154" s="54" t="s">
        <v>2075</v>
      </c>
      <c r="AW154" s="54" t="s">
        <v>2075</v>
      </c>
      <c r="BA154" s="54" t="s">
        <v>2075</v>
      </c>
    </row>
    <row r="155" spans="2:55">
      <c r="AF155" s="132"/>
      <c r="AG155" s="54" t="s">
        <v>1456</v>
      </c>
      <c r="AK155" s="54" t="s">
        <v>1456</v>
      </c>
      <c r="AO155" s="54" t="s">
        <v>1456</v>
      </c>
      <c r="AS155" s="54" t="s">
        <v>1456</v>
      </c>
      <c r="AW155" s="54" t="s">
        <v>1456</v>
      </c>
      <c r="BA155" s="54" t="s">
        <v>1456</v>
      </c>
    </row>
    <row r="156" spans="2:55">
      <c r="AF156" s="132"/>
      <c r="AG156" s="54" t="s">
        <v>1302</v>
      </c>
      <c r="AK156" s="54" t="s">
        <v>1302</v>
      </c>
      <c r="AO156" s="54" t="s">
        <v>1302</v>
      </c>
      <c r="AS156" s="54" t="s">
        <v>1302</v>
      </c>
      <c r="AW156" s="54" t="s">
        <v>1302</v>
      </c>
      <c r="BA156" s="54" t="s">
        <v>1302</v>
      </c>
    </row>
    <row r="157" spans="2:55">
      <c r="AF157" s="132"/>
      <c r="AG157" s="54" t="s">
        <v>2076</v>
      </c>
      <c r="AK157" s="54" t="s">
        <v>2076</v>
      </c>
      <c r="AO157" s="54" t="s">
        <v>2076</v>
      </c>
      <c r="AS157" s="54" t="s">
        <v>2076</v>
      </c>
      <c r="AW157" s="54" t="s">
        <v>2076</v>
      </c>
      <c r="BA157" s="54" t="s">
        <v>2076</v>
      </c>
    </row>
    <row r="158" spans="2:55">
      <c r="AF158" s="132"/>
      <c r="AG158" s="54" t="s">
        <v>1122</v>
      </c>
      <c r="AK158" s="54" t="s">
        <v>1122</v>
      </c>
      <c r="AO158" s="54" t="s">
        <v>1122</v>
      </c>
      <c r="AS158" s="54" t="s">
        <v>1122</v>
      </c>
      <c r="AW158" s="54" t="s">
        <v>1122</v>
      </c>
      <c r="BA158" s="54" t="s">
        <v>1122</v>
      </c>
    </row>
    <row r="159" spans="2:55">
      <c r="AF159" s="132"/>
      <c r="AG159" s="54" t="s">
        <v>2077</v>
      </c>
      <c r="AK159" s="54" t="s">
        <v>2077</v>
      </c>
      <c r="AO159" s="54" t="s">
        <v>2077</v>
      </c>
      <c r="AS159" s="54" t="s">
        <v>2077</v>
      </c>
      <c r="AW159" s="54" t="s">
        <v>2077</v>
      </c>
      <c r="BA159" s="54" t="s">
        <v>2077</v>
      </c>
    </row>
    <row r="160" spans="2:55">
      <c r="AF160" s="132"/>
      <c r="AG160" s="54" t="s">
        <v>1303</v>
      </c>
      <c r="AK160" s="54" t="s">
        <v>1303</v>
      </c>
      <c r="AO160" s="54" t="s">
        <v>1303</v>
      </c>
      <c r="AS160" s="54" t="s">
        <v>1303</v>
      </c>
      <c r="AW160" s="54" t="s">
        <v>1303</v>
      </c>
      <c r="BA160" s="54" t="s">
        <v>1303</v>
      </c>
    </row>
    <row r="161" spans="2:55">
      <c r="AF161" s="132"/>
      <c r="AG161" s="54" t="s">
        <v>1457</v>
      </c>
      <c r="AK161" s="54" t="s">
        <v>1457</v>
      </c>
      <c r="AO161" s="54" t="s">
        <v>1457</v>
      </c>
      <c r="AS161" s="54" t="s">
        <v>1457</v>
      </c>
      <c r="AW161" s="54" t="s">
        <v>1457</v>
      </c>
      <c r="BA161" s="54" t="s">
        <v>1457</v>
      </c>
    </row>
    <row r="162" spans="2:55">
      <c r="AF162" s="132"/>
      <c r="AG162" s="54" t="s">
        <v>1683</v>
      </c>
      <c r="AK162" s="54" t="s">
        <v>1683</v>
      </c>
      <c r="AO162" s="54" t="s">
        <v>1683</v>
      </c>
      <c r="AS162" s="54" t="s">
        <v>1683</v>
      </c>
      <c r="AW162" s="54" t="s">
        <v>1683</v>
      </c>
      <c r="BA162" s="54" t="s">
        <v>1683</v>
      </c>
    </row>
    <row r="163" spans="2:55">
      <c r="AF163" s="132"/>
      <c r="AG163" s="54" t="s">
        <v>2078</v>
      </c>
      <c r="AK163" s="54" t="s">
        <v>2078</v>
      </c>
      <c r="AO163" s="54" t="s">
        <v>2078</v>
      </c>
      <c r="AS163" s="54" t="s">
        <v>2078</v>
      </c>
      <c r="AW163" s="54" t="s">
        <v>2078</v>
      </c>
      <c r="BA163" s="54" t="s">
        <v>2078</v>
      </c>
    </row>
    <row r="164" spans="2:55">
      <c r="AF164" s="132"/>
      <c r="AG164" s="54" t="s">
        <v>1304</v>
      </c>
      <c r="AK164" s="54" t="s">
        <v>1304</v>
      </c>
      <c r="AO164" s="54" t="s">
        <v>1304</v>
      </c>
      <c r="AS164" s="54" t="s">
        <v>1304</v>
      </c>
      <c r="AW164" s="54" t="s">
        <v>1304</v>
      </c>
      <c r="BA164" s="54" t="s">
        <v>1304</v>
      </c>
    </row>
    <row r="165" spans="2:55">
      <c r="AF165" s="132"/>
      <c r="AG165" s="54" t="s">
        <v>2079</v>
      </c>
      <c r="AK165" s="54" t="s">
        <v>2079</v>
      </c>
      <c r="AO165" s="54" t="s">
        <v>2079</v>
      </c>
      <c r="AS165" s="54" t="s">
        <v>2079</v>
      </c>
      <c r="AW165" s="54" t="s">
        <v>2079</v>
      </c>
      <c r="BA165" s="54" t="s">
        <v>2079</v>
      </c>
    </row>
    <row r="166" spans="2:55">
      <c r="B166" s="83"/>
      <c r="C166" s="78"/>
      <c r="AF166" s="132"/>
      <c r="AG166" s="54" t="s">
        <v>2080</v>
      </c>
      <c r="AH166" s="83"/>
      <c r="AI166" s="78"/>
      <c r="AK166" s="54" t="s">
        <v>2080</v>
      </c>
      <c r="AL166" s="83"/>
      <c r="AM166" s="78"/>
      <c r="AO166" s="54" t="s">
        <v>2080</v>
      </c>
      <c r="AP166" s="83"/>
      <c r="AQ166" s="78"/>
      <c r="AS166" s="54" t="s">
        <v>2080</v>
      </c>
      <c r="AT166" s="83"/>
      <c r="AU166" s="78"/>
      <c r="AW166" s="54" t="s">
        <v>2080</v>
      </c>
      <c r="AX166" s="83"/>
      <c r="AY166" s="78"/>
      <c r="BA166" s="54" t="s">
        <v>2080</v>
      </c>
      <c r="BB166" s="83"/>
      <c r="BC166" s="78"/>
    </row>
    <row r="167" spans="2:55">
      <c r="AG167" s="54" t="s">
        <v>1458</v>
      </c>
      <c r="AK167" s="54" t="s">
        <v>1458</v>
      </c>
      <c r="AO167" s="54" t="s">
        <v>1458</v>
      </c>
      <c r="AS167" s="54" t="s">
        <v>1458</v>
      </c>
      <c r="AW167" s="54" t="s">
        <v>1458</v>
      </c>
      <c r="BA167" s="54" t="s">
        <v>1458</v>
      </c>
    </row>
    <row r="168" spans="2:55">
      <c r="AG168" s="54" t="s">
        <v>2081</v>
      </c>
      <c r="AK168" s="54" t="s">
        <v>2081</v>
      </c>
      <c r="AO168" s="54" t="s">
        <v>2081</v>
      </c>
      <c r="AS168" s="54" t="s">
        <v>2081</v>
      </c>
      <c r="AW168" s="54" t="s">
        <v>2081</v>
      </c>
      <c r="BA168" s="54" t="s">
        <v>2081</v>
      </c>
    </row>
    <row r="169" spans="2:55">
      <c r="AG169" s="54" t="s">
        <v>2082</v>
      </c>
      <c r="AK169" s="54" t="s">
        <v>2082</v>
      </c>
      <c r="AO169" s="54" t="s">
        <v>2082</v>
      </c>
      <c r="AS169" s="54" t="s">
        <v>2082</v>
      </c>
      <c r="AW169" s="54" t="s">
        <v>2082</v>
      </c>
      <c r="BA169" s="54" t="s">
        <v>2082</v>
      </c>
    </row>
    <row r="170" spans="2:55">
      <c r="AG170" s="54" t="s">
        <v>1527</v>
      </c>
      <c r="AK170" s="54" t="s">
        <v>1527</v>
      </c>
      <c r="AO170" s="54" t="s">
        <v>1527</v>
      </c>
      <c r="AS170" s="54" t="s">
        <v>1527</v>
      </c>
      <c r="AW170" s="54" t="s">
        <v>1527</v>
      </c>
      <c r="BA170" s="54" t="s">
        <v>1527</v>
      </c>
    </row>
    <row r="171" spans="2:55">
      <c r="AG171" s="54" t="s">
        <v>2083</v>
      </c>
      <c r="AK171" s="54" t="s">
        <v>2083</v>
      </c>
      <c r="AO171" s="54" t="s">
        <v>2083</v>
      </c>
      <c r="AS171" s="54" t="s">
        <v>2083</v>
      </c>
      <c r="AW171" s="54" t="s">
        <v>2083</v>
      </c>
      <c r="BA171" s="54" t="s">
        <v>2083</v>
      </c>
    </row>
    <row r="172" spans="2:55">
      <c r="AG172" s="54" t="s">
        <v>1684</v>
      </c>
      <c r="AK172" s="54" t="s">
        <v>1684</v>
      </c>
      <c r="AO172" s="54" t="s">
        <v>1684</v>
      </c>
      <c r="AS172" s="54" t="s">
        <v>1684</v>
      </c>
      <c r="AW172" s="54" t="s">
        <v>1684</v>
      </c>
      <c r="BA172" s="54" t="s">
        <v>1684</v>
      </c>
    </row>
    <row r="173" spans="2:55">
      <c r="AG173" s="54" t="s">
        <v>1459</v>
      </c>
      <c r="AK173" s="54" t="s">
        <v>1459</v>
      </c>
      <c r="AO173" s="54" t="s">
        <v>1459</v>
      </c>
      <c r="AS173" s="54" t="s">
        <v>1459</v>
      </c>
      <c r="AW173" s="54" t="s">
        <v>1459</v>
      </c>
      <c r="BA173" s="54" t="s">
        <v>1459</v>
      </c>
    </row>
    <row r="174" spans="2:55">
      <c r="AG174" s="54" t="s">
        <v>2084</v>
      </c>
      <c r="AK174" s="54" t="s">
        <v>2084</v>
      </c>
      <c r="AO174" s="54" t="s">
        <v>2084</v>
      </c>
      <c r="AS174" s="54" t="s">
        <v>2084</v>
      </c>
      <c r="AW174" s="54" t="s">
        <v>2084</v>
      </c>
      <c r="BA174" s="54" t="s">
        <v>2084</v>
      </c>
    </row>
    <row r="175" spans="2:55">
      <c r="AG175" s="54" t="s">
        <v>2085</v>
      </c>
      <c r="AK175" s="54" t="s">
        <v>2085</v>
      </c>
      <c r="AO175" s="54" t="s">
        <v>2085</v>
      </c>
      <c r="AS175" s="54" t="s">
        <v>2085</v>
      </c>
      <c r="AW175" s="54" t="s">
        <v>2085</v>
      </c>
      <c r="BA175" s="54" t="s">
        <v>2085</v>
      </c>
    </row>
    <row r="176" spans="2:55">
      <c r="AG176" s="54" t="s">
        <v>2086</v>
      </c>
      <c r="AK176" s="54" t="s">
        <v>2086</v>
      </c>
      <c r="AO176" s="54" t="s">
        <v>2086</v>
      </c>
      <c r="AS176" s="54" t="s">
        <v>2086</v>
      </c>
      <c r="AW176" s="54" t="s">
        <v>2086</v>
      </c>
      <c r="BA176" s="54" t="s">
        <v>2086</v>
      </c>
    </row>
    <row r="177" spans="2:55">
      <c r="AG177" s="54" t="s">
        <v>1938</v>
      </c>
      <c r="AK177" s="54" t="s">
        <v>1938</v>
      </c>
      <c r="AO177" s="54" t="s">
        <v>1938</v>
      </c>
      <c r="AS177" s="54" t="s">
        <v>1938</v>
      </c>
      <c r="AW177" s="54" t="s">
        <v>1938</v>
      </c>
      <c r="BA177" s="54" t="s">
        <v>1938</v>
      </c>
    </row>
    <row r="178" spans="2:55">
      <c r="AG178" s="54" t="s">
        <v>2087</v>
      </c>
      <c r="AK178" s="54" t="s">
        <v>2087</v>
      </c>
      <c r="AO178" s="54" t="s">
        <v>2087</v>
      </c>
      <c r="AS178" s="54" t="s">
        <v>2087</v>
      </c>
      <c r="AW178" s="54" t="s">
        <v>2087</v>
      </c>
      <c r="BA178" s="54" t="s">
        <v>2087</v>
      </c>
    </row>
    <row r="179" spans="2:55">
      <c r="AG179" s="54" t="s">
        <v>1460</v>
      </c>
      <c r="AK179" s="54" t="s">
        <v>1460</v>
      </c>
      <c r="AO179" s="54" t="s">
        <v>1460</v>
      </c>
      <c r="AS179" s="54" t="s">
        <v>1460</v>
      </c>
      <c r="AW179" s="54" t="s">
        <v>1460</v>
      </c>
      <c r="BA179" s="54" t="s">
        <v>1460</v>
      </c>
    </row>
    <row r="180" spans="2:55">
      <c r="AG180" s="54" t="s">
        <v>2088</v>
      </c>
      <c r="AK180" s="54" t="s">
        <v>2088</v>
      </c>
      <c r="AO180" s="54" t="s">
        <v>2088</v>
      </c>
      <c r="AS180" s="54" t="s">
        <v>2088</v>
      </c>
      <c r="AW180" s="54" t="s">
        <v>2088</v>
      </c>
      <c r="BA180" s="54" t="s">
        <v>2088</v>
      </c>
    </row>
    <row r="181" spans="2:55">
      <c r="AG181" s="54" t="s">
        <v>2089</v>
      </c>
      <c r="AK181" s="54" t="s">
        <v>2089</v>
      </c>
      <c r="AO181" s="54" t="s">
        <v>2089</v>
      </c>
      <c r="AS181" s="54" t="s">
        <v>2089</v>
      </c>
      <c r="AW181" s="54" t="s">
        <v>2089</v>
      </c>
      <c r="BA181" s="54" t="s">
        <v>2089</v>
      </c>
    </row>
    <row r="182" spans="2:55">
      <c r="AG182" s="54" t="s">
        <v>1127</v>
      </c>
      <c r="AK182" s="54" t="s">
        <v>1127</v>
      </c>
      <c r="AO182" s="54" t="s">
        <v>1127</v>
      </c>
      <c r="AS182" s="54" t="s">
        <v>1127</v>
      </c>
      <c r="AW182" s="54" t="s">
        <v>1127</v>
      </c>
      <c r="BA182" s="54" t="s">
        <v>1127</v>
      </c>
    </row>
    <row r="183" spans="2:55">
      <c r="AG183" s="54" t="s">
        <v>2090</v>
      </c>
      <c r="AK183" s="54" t="s">
        <v>2090</v>
      </c>
      <c r="AO183" s="54" t="s">
        <v>2090</v>
      </c>
      <c r="AS183" s="54" t="s">
        <v>2090</v>
      </c>
      <c r="AW183" s="54" t="s">
        <v>2090</v>
      </c>
      <c r="BA183" s="54" t="s">
        <v>2090</v>
      </c>
    </row>
    <row r="184" spans="2:55">
      <c r="AG184" s="54" t="s">
        <v>2091</v>
      </c>
      <c r="AK184" s="54" t="s">
        <v>2091</v>
      </c>
      <c r="AO184" s="54" t="s">
        <v>2091</v>
      </c>
      <c r="AS184" s="54" t="s">
        <v>2091</v>
      </c>
      <c r="AW184" s="54" t="s">
        <v>2091</v>
      </c>
      <c r="BA184" s="54" t="s">
        <v>2091</v>
      </c>
    </row>
    <row r="185" spans="2:55">
      <c r="AG185" s="54" t="s">
        <v>1461</v>
      </c>
      <c r="AK185" s="54" t="s">
        <v>1461</v>
      </c>
      <c r="AO185" s="54" t="s">
        <v>1461</v>
      </c>
      <c r="AS185" s="54" t="s">
        <v>1461</v>
      </c>
      <c r="AW185" s="54" t="s">
        <v>1461</v>
      </c>
      <c r="BA185" s="54" t="s">
        <v>1461</v>
      </c>
    </row>
    <row r="186" spans="2:55">
      <c r="B186" s="83"/>
      <c r="C186" s="78"/>
      <c r="AG186" s="54" t="s">
        <v>2092</v>
      </c>
      <c r="AH186" s="83"/>
      <c r="AI186" s="78"/>
      <c r="AK186" s="54" t="s">
        <v>2092</v>
      </c>
      <c r="AL186" s="83"/>
      <c r="AM186" s="78"/>
      <c r="AO186" s="54" t="s">
        <v>2092</v>
      </c>
      <c r="AP186" s="83"/>
      <c r="AQ186" s="78"/>
      <c r="AS186" s="54" t="s">
        <v>2092</v>
      </c>
      <c r="AT186" s="83"/>
      <c r="AU186" s="78"/>
      <c r="AW186" s="54" t="s">
        <v>2092</v>
      </c>
      <c r="AX186" s="83"/>
      <c r="AY186" s="78"/>
      <c r="BA186" s="54" t="s">
        <v>2092</v>
      </c>
      <c r="BB186" s="83"/>
      <c r="BC186" s="78"/>
    </row>
    <row r="187" spans="2:55">
      <c r="AG187" s="54" t="s">
        <v>2093</v>
      </c>
      <c r="AK187" s="54" t="s">
        <v>2093</v>
      </c>
      <c r="AO187" s="54" t="s">
        <v>2093</v>
      </c>
      <c r="AS187" s="54" t="s">
        <v>2093</v>
      </c>
      <c r="AW187" s="54" t="s">
        <v>2093</v>
      </c>
      <c r="BA187" s="54" t="s">
        <v>2093</v>
      </c>
    </row>
    <row r="188" spans="2:55">
      <c r="AG188" s="54" t="s">
        <v>2094</v>
      </c>
      <c r="AK188" s="54" t="s">
        <v>2094</v>
      </c>
      <c r="AO188" s="54" t="s">
        <v>2094</v>
      </c>
      <c r="AS188" s="54" t="s">
        <v>2094</v>
      </c>
      <c r="AW188" s="54" t="s">
        <v>2094</v>
      </c>
      <c r="BA188" s="54" t="s">
        <v>2094</v>
      </c>
    </row>
    <row r="189" spans="2:55">
      <c r="AG189" s="54" t="s">
        <v>2095</v>
      </c>
      <c r="AK189" s="54" t="s">
        <v>2095</v>
      </c>
      <c r="AO189" s="54" t="s">
        <v>2095</v>
      </c>
      <c r="AS189" s="54" t="s">
        <v>2095</v>
      </c>
      <c r="AW189" s="54" t="s">
        <v>2095</v>
      </c>
      <c r="BA189" s="54" t="s">
        <v>2095</v>
      </c>
    </row>
    <row r="190" spans="2:55">
      <c r="AG190" s="54" t="s">
        <v>2096</v>
      </c>
      <c r="AK190" s="54" t="s">
        <v>2096</v>
      </c>
      <c r="AO190" s="54" t="s">
        <v>2096</v>
      </c>
      <c r="AS190" s="54" t="s">
        <v>2096</v>
      </c>
      <c r="AW190" s="54" t="s">
        <v>2096</v>
      </c>
      <c r="BA190" s="54" t="s">
        <v>2096</v>
      </c>
    </row>
    <row r="191" spans="2:55">
      <c r="AG191" s="54" t="s">
        <v>1462</v>
      </c>
      <c r="AK191" s="54" t="s">
        <v>1462</v>
      </c>
      <c r="AO191" s="54" t="s">
        <v>1462</v>
      </c>
      <c r="AS191" s="54" t="s">
        <v>1462</v>
      </c>
      <c r="AW191" s="54" t="s">
        <v>1462</v>
      </c>
      <c r="BA191" s="54" t="s">
        <v>1462</v>
      </c>
    </row>
    <row r="192" spans="2:55">
      <c r="AG192" s="54" t="s">
        <v>1685</v>
      </c>
      <c r="AK192" s="54" t="s">
        <v>1685</v>
      </c>
      <c r="AO192" s="54" t="s">
        <v>1685</v>
      </c>
      <c r="AS192" s="54" t="s">
        <v>1685</v>
      </c>
      <c r="AW192" s="54" t="s">
        <v>1685</v>
      </c>
      <c r="BA192" s="54" t="s">
        <v>1685</v>
      </c>
    </row>
    <row r="193" spans="2:55">
      <c r="AG193" s="54" t="s">
        <v>2097</v>
      </c>
      <c r="AK193" s="54" t="s">
        <v>2097</v>
      </c>
      <c r="AO193" s="54" t="s">
        <v>2097</v>
      </c>
      <c r="AS193" s="54" t="s">
        <v>2097</v>
      </c>
      <c r="AW193" s="54" t="s">
        <v>2097</v>
      </c>
      <c r="BA193" s="54" t="s">
        <v>2097</v>
      </c>
    </row>
    <row r="194" spans="2:55">
      <c r="AG194" s="54" t="s">
        <v>1849</v>
      </c>
      <c r="AK194" s="54" t="s">
        <v>1849</v>
      </c>
      <c r="AO194" s="54" t="s">
        <v>1849</v>
      </c>
      <c r="AS194" s="54" t="s">
        <v>1849</v>
      </c>
      <c r="AW194" s="54" t="s">
        <v>1849</v>
      </c>
      <c r="BA194" s="54" t="s">
        <v>1849</v>
      </c>
    </row>
    <row r="195" spans="2:55">
      <c r="AG195" s="54" t="s">
        <v>2098</v>
      </c>
      <c r="AK195" s="54" t="s">
        <v>2098</v>
      </c>
      <c r="AO195" s="54" t="s">
        <v>2098</v>
      </c>
      <c r="AS195" s="54" t="s">
        <v>2098</v>
      </c>
      <c r="AW195" s="54" t="s">
        <v>2098</v>
      </c>
      <c r="BA195" s="54" t="s">
        <v>2098</v>
      </c>
    </row>
    <row r="196" spans="2:55">
      <c r="AG196" s="54" t="s">
        <v>2099</v>
      </c>
      <c r="AK196" s="54" t="s">
        <v>2099</v>
      </c>
      <c r="AO196" s="54" t="s">
        <v>2099</v>
      </c>
      <c r="AS196" s="54" t="s">
        <v>2099</v>
      </c>
      <c r="AW196" s="54" t="s">
        <v>2099</v>
      </c>
      <c r="BA196" s="54" t="s">
        <v>2099</v>
      </c>
    </row>
    <row r="197" spans="2:55">
      <c r="AG197" s="54" t="s">
        <v>1463</v>
      </c>
      <c r="AK197" s="54" t="s">
        <v>1463</v>
      </c>
      <c r="AO197" s="54" t="s">
        <v>1463</v>
      </c>
      <c r="AS197" s="54" t="s">
        <v>1463</v>
      </c>
      <c r="AW197" s="54" t="s">
        <v>1463</v>
      </c>
      <c r="BA197" s="54" t="s">
        <v>1463</v>
      </c>
    </row>
    <row r="198" spans="2:55">
      <c r="AG198" s="54" t="s">
        <v>2100</v>
      </c>
      <c r="AK198" s="54" t="s">
        <v>2100</v>
      </c>
      <c r="AO198" s="54" t="s">
        <v>2100</v>
      </c>
      <c r="AS198" s="54" t="s">
        <v>2100</v>
      </c>
      <c r="AW198" s="54" t="s">
        <v>2100</v>
      </c>
      <c r="BA198" s="54" t="s">
        <v>2100</v>
      </c>
    </row>
    <row r="199" spans="2:55">
      <c r="AG199" s="54" t="s">
        <v>2101</v>
      </c>
      <c r="AK199" s="54" t="s">
        <v>2101</v>
      </c>
      <c r="AO199" s="54" t="s">
        <v>2101</v>
      </c>
      <c r="AS199" s="54" t="s">
        <v>2101</v>
      </c>
      <c r="AW199" s="54" t="s">
        <v>2101</v>
      </c>
      <c r="BA199" s="54" t="s">
        <v>2101</v>
      </c>
    </row>
    <row r="200" spans="2:55">
      <c r="AG200" s="54" t="s">
        <v>1606</v>
      </c>
      <c r="AK200" s="54" t="s">
        <v>1606</v>
      </c>
      <c r="AO200" s="54" t="s">
        <v>1606</v>
      </c>
      <c r="AS200" s="54" t="s">
        <v>1606</v>
      </c>
      <c r="AW200" s="54" t="s">
        <v>1606</v>
      </c>
      <c r="BA200" s="54" t="s">
        <v>1606</v>
      </c>
    </row>
    <row r="201" spans="2:55">
      <c r="AG201" s="54" t="s">
        <v>2102</v>
      </c>
      <c r="AK201" s="54" t="s">
        <v>2102</v>
      </c>
      <c r="AO201" s="54" t="s">
        <v>2102</v>
      </c>
      <c r="AS201" s="54" t="s">
        <v>2102</v>
      </c>
      <c r="AW201" s="54" t="s">
        <v>2102</v>
      </c>
      <c r="BA201" s="54" t="s">
        <v>2102</v>
      </c>
    </row>
    <row r="202" spans="2:55">
      <c r="AG202" s="54" t="s">
        <v>1686</v>
      </c>
      <c r="AK202" s="54" t="s">
        <v>1686</v>
      </c>
      <c r="AO202" s="54" t="s">
        <v>1686</v>
      </c>
      <c r="AS202" s="54" t="s">
        <v>1686</v>
      </c>
      <c r="AW202" s="54" t="s">
        <v>1686</v>
      </c>
      <c r="BA202" s="54" t="s">
        <v>1686</v>
      </c>
    </row>
    <row r="203" spans="2:55">
      <c r="AG203" s="54" t="s">
        <v>1464</v>
      </c>
      <c r="AK203" s="54" t="s">
        <v>1464</v>
      </c>
      <c r="AO203" s="54" t="s">
        <v>1464</v>
      </c>
      <c r="AS203" s="54" t="s">
        <v>1464</v>
      </c>
      <c r="AW203" s="54" t="s">
        <v>1464</v>
      </c>
      <c r="BA203" s="54" t="s">
        <v>1464</v>
      </c>
    </row>
    <row r="204" spans="2:55">
      <c r="AG204" s="54" t="s">
        <v>2103</v>
      </c>
      <c r="AK204" s="54" t="s">
        <v>2103</v>
      </c>
      <c r="AO204" s="54" t="s">
        <v>2103</v>
      </c>
      <c r="AS204" s="54" t="s">
        <v>2103</v>
      </c>
      <c r="AW204" s="54" t="s">
        <v>2103</v>
      </c>
      <c r="BA204" s="54" t="s">
        <v>2103</v>
      </c>
    </row>
    <row r="205" spans="2:55">
      <c r="AG205" s="54" t="s">
        <v>2104</v>
      </c>
      <c r="AK205" s="54" t="s">
        <v>2104</v>
      </c>
      <c r="AO205" s="54" t="s">
        <v>2104</v>
      </c>
      <c r="AS205" s="54" t="s">
        <v>2104</v>
      </c>
      <c r="AW205" s="54" t="s">
        <v>2104</v>
      </c>
      <c r="BA205" s="54" t="s">
        <v>2104</v>
      </c>
    </row>
    <row r="206" spans="2:55">
      <c r="B206" s="84"/>
      <c r="C206" s="79"/>
      <c r="AG206" s="54" t="s">
        <v>1226</v>
      </c>
      <c r="AH206" s="84"/>
      <c r="AI206" s="79"/>
      <c r="AK206" s="54" t="s">
        <v>1226</v>
      </c>
      <c r="AL206" s="84"/>
      <c r="AM206" s="79"/>
      <c r="AO206" s="54" t="s">
        <v>1226</v>
      </c>
      <c r="AP206" s="84"/>
      <c r="AQ206" s="79"/>
      <c r="AS206" s="54" t="s">
        <v>1226</v>
      </c>
      <c r="AT206" s="84"/>
      <c r="AU206" s="79"/>
      <c r="AW206" s="54" t="s">
        <v>1226</v>
      </c>
      <c r="AX206" s="84"/>
      <c r="AY206" s="79"/>
      <c r="BA206" s="54" t="s">
        <v>1226</v>
      </c>
      <c r="BB206" s="84"/>
      <c r="BC206" s="79"/>
    </row>
    <row r="226" spans="1:55">
      <c r="A226" s="62"/>
      <c r="B226" s="83"/>
      <c r="C226" s="78"/>
      <c r="AG226" s="62"/>
      <c r="AH226" s="83"/>
      <c r="AI226" s="78"/>
      <c r="AK226" s="62"/>
      <c r="AL226" s="83"/>
      <c r="AM226" s="78"/>
      <c r="AO226" s="62"/>
      <c r="AP226" s="83"/>
      <c r="AQ226" s="78"/>
      <c r="AS226" s="62"/>
      <c r="AT226" s="83"/>
      <c r="AU226" s="78"/>
      <c r="AW226" s="62"/>
      <c r="AX226" s="83"/>
      <c r="AY226" s="78"/>
      <c r="BA226" s="62"/>
      <c r="BB226" s="83"/>
      <c r="BC226" s="78"/>
    </row>
    <row r="246" spans="1:55">
      <c r="A246" s="62"/>
      <c r="B246" s="83"/>
      <c r="C246" s="78"/>
      <c r="AG246" s="62"/>
      <c r="AH246" s="83"/>
      <c r="AI246" s="78"/>
      <c r="AK246" s="62"/>
      <c r="AL246" s="83"/>
      <c r="AM246" s="78"/>
      <c r="AO246" s="62"/>
      <c r="AP246" s="83"/>
      <c r="AQ246" s="78"/>
      <c r="AS246" s="62"/>
      <c r="AT246" s="83"/>
      <c r="AU246" s="78"/>
      <c r="AW246" s="62"/>
      <c r="AX246" s="83"/>
      <c r="AY246" s="78"/>
      <c r="BA246" s="62"/>
      <c r="BB246" s="83"/>
      <c r="BC246" s="78"/>
    </row>
    <row r="266" spans="1:55">
      <c r="A266" s="62"/>
      <c r="B266" s="83"/>
      <c r="C266" s="78"/>
      <c r="AG266" s="62"/>
      <c r="AH266" s="83"/>
      <c r="AI266" s="78"/>
      <c r="AK266" s="62"/>
      <c r="AL266" s="83"/>
      <c r="AM266" s="78"/>
      <c r="AO266" s="62"/>
      <c r="AP266" s="83"/>
      <c r="AQ266" s="78"/>
      <c r="AS266" s="62"/>
      <c r="AT266" s="83"/>
      <c r="AU266" s="78"/>
      <c r="AW266" s="62"/>
      <c r="AX266" s="83"/>
      <c r="AY266" s="78"/>
      <c r="BA266" s="62"/>
      <c r="BB266" s="83"/>
      <c r="BC266" s="78"/>
    </row>
    <row r="286" spans="1:55">
      <c r="A286" s="62"/>
      <c r="B286" s="83"/>
      <c r="C286" s="78"/>
      <c r="AG286" s="62"/>
      <c r="AH286" s="83"/>
      <c r="AI286" s="78"/>
      <c r="AK286" s="62"/>
      <c r="AL286" s="83"/>
      <c r="AM286" s="78"/>
      <c r="AO286" s="62"/>
      <c r="AP286" s="83"/>
      <c r="AQ286" s="78"/>
      <c r="AS286" s="62"/>
      <c r="AT286" s="83"/>
      <c r="AU286" s="78"/>
      <c r="AW286" s="62"/>
      <c r="AX286" s="83"/>
      <c r="AY286" s="78"/>
      <c r="BA286" s="62"/>
      <c r="BB286" s="83"/>
      <c r="BC286" s="78"/>
    </row>
    <row r="326" spans="1:55">
      <c r="A326" s="62"/>
      <c r="B326" s="83"/>
      <c r="C326" s="78"/>
      <c r="AG326" s="62"/>
      <c r="AH326" s="83"/>
      <c r="AI326" s="78"/>
      <c r="AK326" s="62"/>
      <c r="AL326" s="83"/>
      <c r="AM326" s="78"/>
      <c r="AO326" s="62"/>
      <c r="AP326" s="83"/>
      <c r="AQ326" s="78"/>
      <c r="AS326" s="62"/>
      <c r="AT326" s="83"/>
      <c r="AU326" s="78"/>
      <c r="AW326" s="62"/>
      <c r="AX326" s="83"/>
      <c r="AY326" s="78"/>
      <c r="BA326" s="62"/>
      <c r="BB326" s="83"/>
      <c r="BC326" s="78"/>
    </row>
    <row r="346" spans="1:55">
      <c r="A346" s="62"/>
      <c r="B346" s="83"/>
      <c r="C346" s="78"/>
      <c r="AG346" s="62"/>
      <c r="AH346" s="83"/>
      <c r="AI346" s="78"/>
      <c r="AK346" s="62"/>
      <c r="AL346" s="83"/>
      <c r="AM346" s="78"/>
      <c r="AO346" s="62"/>
      <c r="AP346" s="83"/>
      <c r="AQ346" s="78"/>
      <c r="AS346" s="62"/>
      <c r="AT346" s="83"/>
      <c r="AU346" s="78"/>
      <c r="AW346" s="62"/>
      <c r="AX346" s="83"/>
      <c r="AY346" s="78"/>
      <c r="BA346" s="62"/>
      <c r="BB346" s="83"/>
      <c r="BC346" s="78"/>
    </row>
    <row r="366" spans="1:55">
      <c r="A366" s="62"/>
      <c r="B366" s="83"/>
      <c r="C366" s="78"/>
      <c r="AG366" s="62"/>
      <c r="AH366" s="83"/>
      <c r="AI366" s="78"/>
      <c r="AK366" s="62"/>
      <c r="AL366" s="83"/>
      <c r="AM366" s="78"/>
      <c r="AO366" s="62"/>
      <c r="AP366" s="83"/>
      <c r="AQ366" s="78"/>
      <c r="AS366" s="62"/>
      <c r="AT366" s="83"/>
      <c r="AU366" s="78"/>
      <c r="AW366" s="62"/>
      <c r="AX366" s="83"/>
      <c r="AY366" s="78"/>
      <c r="BA366" s="62"/>
      <c r="BB366" s="83"/>
      <c r="BC366" s="78"/>
    </row>
    <row r="386" spans="1:55">
      <c r="A386" s="62"/>
      <c r="B386" s="83"/>
      <c r="C386" s="78"/>
      <c r="AG386" s="62"/>
      <c r="AH386" s="83"/>
      <c r="AI386" s="78"/>
      <c r="AK386" s="62"/>
      <c r="AL386" s="83"/>
      <c r="AM386" s="78"/>
      <c r="AO386" s="62"/>
      <c r="AP386" s="83"/>
      <c r="AQ386" s="78"/>
      <c r="AS386" s="62"/>
      <c r="AT386" s="83"/>
      <c r="AU386" s="78"/>
      <c r="AW386" s="62"/>
      <c r="AX386" s="83"/>
      <c r="AY386" s="78"/>
      <c r="BA386" s="62"/>
      <c r="BB386" s="83"/>
      <c r="BC386" s="78"/>
    </row>
    <row r="426" spans="1:55">
      <c r="A426" s="62"/>
      <c r="B426" s="83"/>
      <c r="C426" s="78"/>
      <c r="AG426" s="62"/>
      <c r="AH426" s="83"/>
      <c r="AI426" s="78"/>
      <c r="AK426" s="62"/>
      <c r="AL426" s="83"/>
      <c r="AM426" s="78"/>
      <c r="AO426" s="62"/>
      <c r="AP426" s="83"/>
      <c r="AQ426" s="78"/>
      <c r="AS426" s="62"/>
      <c r="AT426" s="83"/>
      <c r="AU426" s="78"/>
      <c r="AW426" s="62"/>
      <c r="AX426" s="83"/>
      <c r="AY426" s="78"/>
      <c r="BA426" s="62"/>
      <c r="BB426" s="83"/>
      <c r="BC426" s="78"/>
    </row>
    <row r="446" spans="1:55">
      <c r="A446" s="62"/>
      <c r="B446" s="83"/>
      <c r="C446" s="78"/>
      <c r="AG446" s="62"/>
      <c r="AH446" s="83"/>
      <c r="AI446" s="78"/>
      <c r="AK446" s="62"/>
      <c r="AL446" s="83"/>
      <c r="AM446" s="78"/>
      <c r="AO446" s="62"/>
      <c r="AP446" s="83"/>
      <c r="AQ446" s="78"/>
      <c r="AS446" s="62"/>
      <c r="AT446" s="83"/>
      <c r="AU446" s="78"/>
      <c r="AW446" s="62"/>
      <c r="AX446" s="83"/>
      <c r="AY446" s="78"/>
      <c r="BA446" s="62"/>
      <c r="BB446" s="83"/>
      <c r="BC446" s="78"/>
    </row>
    <row r="466" spans="1:55">
      <c r="A466" s="62"/>
      <c r="B466" s="83"/>
      <c r="C466" s="78"/>
      <c r="AG466" s="62"/>
      <c r="AH466" s="83"/>
      <c r="AI466" s="78"/>
      <c r="AK466" s="62"/>
      <c r="AL466" s="83"/>
      <c r="AM466" s="78"/>
      <c r="AO466" s="62"/>
      <c r="AP466" s="83"/>
      <c r="AQ466" s="78"/>
      <c r="AS466" s="62"/>
      <c r="AT466" s="83"/>
      <c r="AU466" s="78"/>
      <c r="AW466" s="62"/>
      <c r="AX466" s="83"/>
      <c r="AY466" s="78"/>
      <c r="BA466" s="62"/>
      <c r="BB466" s="83"/>
      <c r="BC466" s="78"/>
    </row>
    <row r="486" spans="1:55">
      <c r="A486" s="62"/>
      <c r="B486" s="83"/>
      <c r="C486" s="78"/>
      <c r="AG486" s="62"/>
      <c r="AH486" s="83"/>
      <c r="AI486" s="78"/>
      <c r="AK486" s="62"/>
      <c r="AL486" s="83"/>
      <c r="AM486" s="78"/>
      <c r="AO486" s="62"/>
      <c r="AP486" s="83"/>
      <c r="AQ486" s="78"/>
      <c r="AS486" s="62"/>
      <c r="AT486" s="83"/>
      <c r="AU486" s="78"/>
      <c r="AW486" s="62"/>
      <c r="AX486" s="83"/>
      <c r="AY486" s="78"/>
      <c r="BA486" s="62"/>
      <c r="BB486" s="83"/>
      <c r="BC486" s="78"/>
    </row>
    <row r="526" spans="1:55">
      <c r="A526" s="62"/>
      <c r="B526" s="83"/>
      <c r="C526" s="78"/>
      <c r="AG526" s="62"/>
      <c r="AH526" s="83"/>
      <c r="AI526" s="78"/>
      <c r="AK526" s="62"/>
      <c r="AL526" s="83"/>
      <c r="AM526" s="78"/>
      <c r="AO526" s="62"/>
      <c r="AP526" s="83"/>
      <c r="AQ526" s="78"/>
      <c r="AS526" s="62"/>
      <c r="AT526" s="83"/>
      <c r="AU526" s="78"/>
      <c r="AW526" s="62"/>
      <c r="AX526" s="83"/>
      <c r="AY526" s="78"/>
      <c r="BA526" s="62"/>
      <c r="BB526" s="83"/>
      <c r="BC526" s="78"/>
    </row>
    <row r="546" spans="1:55">
      <c r="A546" s="62"/>
      <c r="B546" s="83"/>
      <c r="C546" s="78"/>
      <c r="AG546" s="62"/>
      <c r="AH546" s="83"/>
      <c r="AI546" s="78"/>
      <c r="AK546" s="62"/>
      <c r="AL546" s="83"/>
      <c r="AM546" s="78"/>
      <c r="AO546" s="62"/>
      <c r="AP546" s="83"/>
      <c r="AQ546" s="78"/>
      <c r="AS546" s="62"/>
      <c r="AT546" s="83"/>
      <c r="AU546" s="78"/>
      <c r="AW546" s="62"/>
      <c r="AX546" s="83"/>
      <c r="AY546" s="78"/>
      <c r="BA546" s="62"/>
      <c r="BB546" s="83"/>
      <c r="BC546" s="78"/>
    </row>
    <row r="566" spans="1:55">
      <c r="A566" s="62"/>
      <c r="B566" s="83"/>
      <c r="C566" s="78"/>
      <c r="AG566" s="62"/>
      <c r="AH566" s="83"/>
      <c r="AI566" s="78"/>
      <c r="AK566" s="62"/>
      <c r="AL566" s="83"/>
      <c r="AM566" s="78"/>
      <c r="AO566" s="62"/>
      <c r="AP566" s="83"/>
      <c r="AQ566" s="78"/>
      <c r="AS566" s="62"/>
      <c r="AT566" s="83"/>
      <c r="AU566" s="78"/>
      <c r="AW566" s="62"/>
      <c r="AX566" s="83"/>
      <c r="AY566" s="78"/>
      <c r="BA566" s="62"/>
      <c r="BB566" s="83"/>
      <c r="BC566" s="78"/>
    </row>
    <row r="586" spans="1:55">
      <c r="A586" s="62"/>
      <c r="B586" s="83"/>
      <c r="C586" s="78"/>
      <c r="AG586" s="62"/>
      <c r="AH586" s="83"/>
      <c r="AI586" s="78"/>
      <c r="AK586" s="62"/>
      <c r="AL586" s="83"/>
      <c r="AM586" s="78"/>
      <c r="AO586" s="62"/>
      <c r="AP586" s="83"/>
      <c r="AQ586" s="78"/>
      <c r="AS586" s="62"/>
      <c r="AT586" s="83"/>
      <c r="AU586" s="78"/>
      <c r="AW586" s="62"/>
      <c r="AX586" s="83"/>
      <c r="AY586" s="78"/>
      <c r="BA586" s="62"/>
      <c r="BB586" s="83"/>
      <c r="BC586" s="78"/>
    </row>
    <row r="626" spans="1:55">
      <c r="A626" s="62"/>
      <c r="B626" s="83"/>
      <c r="C626" s="78"/>
      <c r="AG626" s="62"/>
      <c r="AH626" s="83"/>
      <c r="AI626" s="78"/>
      <c r="AK626" s="62"/>
      <c r="AL626" s="83"/>
      <c r="AM626" s="78"/>
      <c r="AO626" s="62"/>
      <c r="AP626" s="83"/>
      <c r="AQ626" s="78"/>
      <c r="AS626" s="62"/>
      <c r="AT626" s="83"/>
      <c r="AU626" s="78"/>
      <c r="AW626" s="62"/>
      <c r="AX626" s="83"/>
      <c r="AY626" s="78"/>
      <c r="BA626" s="62"/>
      <c r="BB626" s="83"/>
      <c r="BC626" s="78"/>
    </row>
    <row r="646" spans="1:55">
      <c r="A646" s="62"/>
      <c r="B646" s="83"/>
      <c r="C646" s="78"/>
      <c r="AG646" s="62"/>
      <c r="AH646" s="83"/>
      <c r="AI646" s="78"/>
      <c r="AK646" s="62"/>
      <c r="AL646" s="83"/>
      <c r="AM646" s="78"/>
      <c r="AO646" s="62"/>
      <c r="AP646" s="83"/>
      <c r="AQ646" s="78"/>
      <c r="AS646" s="62"/>
      <c r="AT646" s="83"/>
      <c r="AU646" s="78"/>
      <c r="AW646" s="62"/>
      <c r="AX646" s="83"/>
      <c r="AY646" s="78"/>
      <c r="BA646" s="62"/>
      <c r="BB646" s="83"/>
      <c r="BC646" s="78"/>
    </row>
    <row r="666" spans="1:55">
      <c r="A666" s="62"/>
      <c r="B666" s="83"/>
      <c r="C666" s="78"/>
      <c r="AG666" s="62"/>
      <c r="AH666" s="83"/>
      <c r="AI666" s="78"/>
      <c r="AK666" s="62"/>
      <c r="AL666" s="83"/>
      <c r="AM666" s="78"/>
      <c r="AO666" s="62"/>
      <c r="AP666" s="83"/>
      <c r="AQ666" s="78"/>
      <c r="AS666" s="62"/>
      <c r="AT666" s="83"/>
      <c r="AU666" s="78"/>
      <c r="AW666" s="62"/>
      <c r="AX666" s="83"/>
      <c r="AY666" s="78"/>
      <c r="BA666" s="62"/>
      <c r="BB666" s="83"/>
      <c r="BC666" s="78"/>
    </row>
    <row r="686" spans="1:55">
      <c r="A686" s="62"/>
      <c r="B686" s="83"/>
      <c r="C686" s="78"/>
      <c r="AG686" s="62"/>
      <c r="AH686" s="83"/>
      <c r="AI686" s="78"/>
      <c r="AK686" s="62"/>
      <c r="AL686" s="83"/>
      <c r="AM686" s="78"/>
      <c r="AO686" s="62"/>
      <c r="AP686" s="83"/>
      <c r="AQ686" s="78"/>
      <c r="AS686" s="62"/>
      <c r="AT686" s="83"/>
      <c r="AU686" s="78"/>
      <c r="AW686" s="62"/>
      <c r="AX686" s="83"/>
      <c r="AY686" s="78"/>
      <c r="BA686" s="62"/>
      <c r="BB686" s="83"/>
      <c r="BC686" s="78"/>
    </row>
    <row r="726" spans="1:55">
      <c r="A726" s="62"/>
      <c r="B726" s="83"/>
      <c r="C726" s="78"/>
      <c r="AG726" s="62"/>
      <c r="AH726" s="83"/>
      <c r="AI726" s="78"/>
      <c r="AK726" s="62"/>
      <c r="AL726" s="83"/>
      <c r="AM726" s="78"/>
      <c r="AO726" s="62"/>
      <c r="AP726" s="83"/>
      <c r="AQ726" s="78"/>
      <c r="AS726" s="62"/>
      <c r="AT726" s="83"/>
      <c r="AU726" s="78"/>
      <c r="AW726" s="62"/>
      <c r="AX726" s="83"/>
      <c r="AY726" s="78"/>
      <c r="BA726" s="62"/>
      <c r="BB726" s="83"/>
      <c r="BC726" s="78"/>
    </row>
    <row r="746" spans="1:55">
      <c r="A746" s="62"/>
      <c r="B746" s="83"/>
      <c r="C746" s="78"/>
      <c r="AG746" s="62"/>
      <c r="AH746" s="83"/>
      <c r="AI746" s="78"/>
      <c r="AK746" s="62"/>
      <c r="AL746" s="83"/>
      <c r="AM746" s="78"/>
      <c r="AO746" s="62"/>
      <c r="AP746" s="83"/>
      <c r="AQ746" s="78"/>
      <c r="AS746" s="62"/>
      <c r="AT746" s="83"/>
      <c r="AU746" s="78"/>
      <c r="AW746" s="62"/>
      <c r="AX746" s="83"/>
      <c r="AY746" s="78"/>
      <c r="BA746" s="62"/>
      <c r="BB746" s="83"/>
      <c r="BC746" s="78"/>
    </row>
    <row r="766" spans="1:55">
      <c r="A766" s="62"/>
      <c r="B766" s="83"/>
      <c r="C766" s="78"/>
      <c r="AG766" s="62"/>
      <c r="AH766" s="83"/>
      <c r="AI766" s="78"/>
      <c r="AK766" s="62"/>
      <c r="AL766" s="83"/>
      <c r="AM766" s="78"/>
      <c r="AO766" s="62"/>
      <c r="AP766" s="83"/>
      <c r="AQ766" s="78"/>
      <c r="AS766" s="62"/>
      <c r="AT766" s="83"/>
      <c r="AU766" s="78"/>
      <c r="AW766" s="62"/>
      <c r="AX766" s="83"/>
      <c r="AY766" s="78"/>
      <c r="BA766" s="62"/>
      <c r="BB766" s="83"/>
      <c r="BC766" s="78"/>
    </row>
    <row r="786" spans="1:55">
      <c r="A786" s="62"/>
      <c r="B786" s="83"/>
      <c r="C786" s="78"/>
      <c r="AG786" s="62"/>
      <c r="AH786" s="83"/>
      <c r="AI786" s="78"/>
      <c r="AK786" s="62"/>
      <c r="AL786" s="83"/>
      <c r="AM786" s="78"/>
      <c r="AO786" s="62"/>
      <c r="AP786" s="83"/>
      <c r="AQ786" s="78"/>
      <c r="AS786" s="62"/>
      <c r="AT786" s="83"/>
      <c r="AU786" s="78"/>
      <c r="AW786" s="62"/>
      <c r="AX786" s="83"/>
      <c r="AY786" s="78"/>
      <c r="BA786" s="62"/>
      <c r="BB786" s="83"/>
      <c r="BC786" s="78"/>
    </row>
  </sheetData>
  <mergeCells count="3">
    <mergeCell ref="A1:D2"/>
    <mergeCell ref="U7:Z8"/>
    <mergeCell ref="U17:Z18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D954-A6F0-4150-93C8-33738986CDA6}">
  <dimension ref="A1:AA807"/>
  <sheetViews>
    <sheetView topLeftCell="B1" zoomScale="85" zoomScaleNormal="85" workbookViewId="0">
      <selection activeCell="D8" sqref="D8:D107"/>
    </sheetView>
  </sheetViews>
  <sheetFormatPr defaultRowHeight="18"/>
  <cols>
    <col min="1" max="1" width="42.5" style="71" bestFit="1" customWidth="1"/>
    <col min="2" max="2" width="6.125" style="38" bestFit="1" customWidth="1"/>
    <col min="3" max="7" width="25.25" style="38" bestFit="1" customWidth="1"/>
    <col min="8" max="9" width="9" style="38"/>
    <col min="10" max="10" width="10.75" style="55" bestFit="1" customWidth="1"/>
    <col min="11" max="11" width="33.125" style="55" bestFit="1" customWidth="1"/>
    <col min="12" max="13" width="9" style="38"/>
    <col min="14" max="14" width="6.125" style="55" bestFit="1" customWidth="1"/>
    <col min="15" max="15" width="6.75" style="167" bestFit="1" customWidth="1"/>
    <col min="16" max="19" width="8.125" style="167" bestFit="1" customWidth="1"/>
    <col min="20" max="27" width="9.125" style="55" customWidth="1"/>
    <col min="28" max="16384" width="9" style="38"/>
  </cols>
  <sheetData>
    <row r="1" spans="1:27" ht="18" customHeight="1">
      <c r="A1" s="68"/>
    </row>
    <row r="2" spans="1:27" ht="18" customHeight="1">
      <c r="A2" s="68"/>
      <c r="N2" s="155"/>
      <c r="O2" s="196" t="s">
        <v>2245</v>
      </c>
      <c r="P2" s="196"/>
      <c r="Q2" s="196"/>
      <c r="R2" s="196"/>
      <c r="S2" s="196"/>
      <c r="T2" s="196"/>
      <c r="U2" s="197" t="s">
        <v>2113</v>
      </c>
      <c r="V2" s="197"/>
      <c r="W2" s="197"/>
      <c r="X2" s="197"/>
      <c r="Y2" s="197"/>
      <c r="Z2" s="197"/>
      <c r="AA2" s="198" t="s">
        <v>2246</v>
      </c>
    </row>
    <row r="3" spans="1:27" ht="54">
      <c r="A3" s="93" t="s">
        <v>2116</v>
      </c>
      <c r="N3" s="155"/>
      <c r="O3" s="196"/>
      <c r="P3" s="196"/>
      <c r="Q3" s="196"/>
      <c r="R3" s="196"/>
      <c r="S3" s="196"/>
      <c r="T3" s="196"/>
      <c r="U3" s="197"/>
      <c r="V3" s="197"/>
      <c r="W3" s="197"/>
      <c r="X3" s="197"/>
      <c r="Y3" s="197"/>
      <c r="Z3" s="197"/>
      <c r="AA3" s="198"/>
    </row>
    <row r="4" spans="1:27">
      <c r="A4" s="94" t="s">
        <v>41</v>
      </c>
      <c r="B4" s="53" t="s">
        <v>2134</v>
      </c>
      <c r="C4" s="150" t="s">
        <v>2108</v>
      </c>
      <c r="D4" s="151" t="s">
        <v>2182</v>
      </c>
      <c r="E4" s="152" t="s">
        <v>2109</v>
      </c>
      <c r="F4" s="153" t="s">
        <v>2181</v>
      </c>
      <c r="G4" s="154" t="s">
        <v>2212</v>
      </c>
      <c r="J4" s="35"/>
      <c r="K4" s="35"/>
      <c r="N4" s="53" t="s">
        <v>2134</v>
      </c>
      <c r="O4" s="179" t="s">
        <v>2108</v>
      </c>
      <c r="P4" s="168" t="s">
        <v>2182</v>
      </c>
      <c r="Q4" s="173" t="s">
        <v>2109</v>
      </c>
      <c r="R4" s="175" t="s">
        <v>2181</v>
      </c>
      <c r="S4" s="177" t="s">
        <v>2212</v>
      </c>
      <c r="T4" s="41" t="s">
        <v>2243</v>
      </c>
      <c r="U4" s="150" t="s">
        <v>2108</v>
      </c>
      <c r="V4" s="151" t="s">
        <v>2182</v>
      </c>
      <c r="W4" s="152" t="s">
        <v>2109</v>
      </c>
      <c r="X4" s="153" t="s">
        <v>2181</v>
      </c>
      <c r="Y4" s="154" t="s">
        <v>2212</v>
      </c>
      <c r="Z4" s="41" t="s">
        <v>2242</v>
      </c>
      <c r="AA4" s="41" t="s">
        <v>2244</v>
      </c>
    </row>
    <row r="5" spans="1:27">
      <c r="A5" s="95" t="s">
        <v>154</v>
      </c>
      <c r="J5" s="35"/>
      <c r="K5" s="35"/>
      <c r="M5" s="53"/>
      <c r="N5" s="156"/>
      <c r="O5" s="169"/>
      <c r="P5" s="169"/>
      <c r="Q5" s="169"/>
      <c r="R5" s="169"/>
      <c r="S5" s="169"/>
      <c r="T5" s="156"/>
      <c r="U5" s="156"/>
      <c r="V5" s="156"/>
      <c r="W5" s="156"/>
      <c r="X5" s="156"/>
      <c r="Y5" s="156"/>
      <c r="Z5" s="156"/>
    </row>
    <row r="6" spans="1:27">
      <c r="A6" s="94" t="s">
        <v>44</v>
      </c>
      <c r="J6" s="35"/>
      <c r="K6" s="35"/>
      <c r="M6" s="53"/>
      <c r="N6" s="53"/>
      <c r="O6" s="170"/>
      <c r="P6" s="170"/>
      <c r="Q6" s="170"/>
      <c r="R6" s="170"/>
      <c r="S6" s="170"/>
      <c r="T6" s="53"/>
      <c r="U6" s="53"/>
      <c r="V6" s="53"/>
      <c r="W6" s="53"/>
      <c r="X6" s="53"/>
      <c r="Y6" s="53"/>
      <c r="Z6" s="53"/>
      <c r="AA6" s="53"/>
    </row>
    <row r="7" spans="1:27">
      <c r="A7" s="94" t="s">
        <v>905</v>
      </c>
      <c r="B7" s="159"/>
      <c r="C7" s="159"/>
      <c r="D7" s="159"/>
      <c r="E7" s="159"/>
      <c r="F7" s="159"/>
      <c r="G7" s="159"/>
      <c r="H7" s="159"/>
      <c r="I7" s="159"/>
      <c r="J7" s="160"/>
      <c r="K7" s="160"/>
      <c r="L7" s="159"/>
      <c r="M7" s="159"/>
      <c r="N7" s="161"/>
      <c r="O7" s="171"/>
      <c r="P7" s="171"/>
      <c r="Q7" s="171"/>
      <c r="R7" s="171"/>
      <c r="S7" s="171"/>
      <c r="T7" s="161"/>
      <c r="U7" s="161"/>
      <c r="V7" s="161"/>
      <c r="W7" s="161"/>
      <c r="X7" s="161"/>
      <c r="Y7" s="161"/>
      <c r="Z7" s="161"/>
      <c r="AA7" s="161"/>
    </row>
    <row r="8" spans="1:27">
      <c r="A8" s="86" t="s">
        <v>2119</v>
      </c>
      <c r="B8" s="60">
        <v>1</v>
      </c>
      <c r="C8" s="181" t="str">
        <f>"{"&amp;T8&amp;","&amp;O8&amp;"}"&amp;","&amp;"{"&amp;Z8&amp;","&amp;U8&amp;"}"&amp;","&amp;J8</f>
        <v>{1,100},{3,1000},{56,50}</v>
      </c>
      <c r="D8" s="182" t="str">
        <f>"{"&amp;T8&amp;","&amp;P8&amp;"}"&amp;","&amp;"{"&amp;Z8&amp;","&amp;V8&amp;"}"&amp;","&amp;J8</f>
        <v>{1,130},{3,1400},{56,50}</v>
      </c>
      <c r="E8" s="122" t="str">
        <f>"{"&amp;T8&amp;","&amp;Q8&amp;"}"&amp;","&amp;"{"&amp;Z8&amp;","&amp;W8&amp;"}"&amp;","&amp;J8</f>
        <v>{1,170},{3,1900},{56,50}</v>
      </c>
      <c r="F8" s="183" t="str">
        <f>"{"&amp;T8&amp;","&amp;R8&amp;"}"&amp;","&amp;"{"&amp;Z8&amp;","&amp;X8&amp;"}"&amp;","&amp;J8</f>
        <v>{1,220},{3,2500},{56,50}</v>
      </c>
      <c r="G8" s="184" t="str">
        <f>"{"&amp;T8&amp;","&amp;S8&amp;"}"&amp;","&amp;"{"&amp;Z8&amp;","&amp;Y8&amp;"}"&amp;","&amp;J8</f>
        <v>{1,280},{3,3200},{56,50}</v>
      </c>
      <c r="J8" s="55" t="s">
        <v>2120</v>
      </c>
      <c r="K8" s="55" t="str">
        <f>A8&amp;","&amp;J8</f>
        <v>{1,200},{3,1200},{56,50}</v>
      </c>
      <c r="N8" s="60" t="s">
        <v>2247</v>
      </c>
      <c r="O8" s="180">
        <v>100</v>
      </c>
      <c r="P8" s="172">
        <v>130</v>
      </c>
      <c r="Q8" s="174">
        <v>170</v>
      </c>
      <c r="R8" s="176">
        <v>220</v>
      </c>
      <c r="S8" s="178">
        <v>280</v>
      </c>
      <c r="T8" s="53">
        <v>1</v>
      </c>
      <c r="U8" s="139">
        <v>1000</v>
      </c>
      <c r="V8" s="141">
        <v>1400</v>
      </c>
      <c r="W8" s="157">
        <v>1900</v>
      </c>
      <c r="X8" s="158">
        <v>2500</v>
      </c>
      <c r="Y8" s="136">
        <v>3200</v>
      </c>
      <c r="Z8" s="53">
        <v>3</v>
      </c>
      <c r="AA8" s="53">
        <v>56</v>
      </c>
    </row>
    <row r="9" spans="1:27">
      <c r="A9" s="86" t="s">
        <v>194</v>
      </c>
      <c r="B9" s="60">
        <v>2</v>
      </c>
      <c r="C9" s="181" t="str">
        <f t="shared" ref="C9:C72" si="0">"{"&amp;T9&amp;","&amp;O9&amp;"}"&amp;","&amp;"{"&amp;Z9&amp;","&amp;U9&amp;"}"&amp;","&amp;J9</f>
        <v>{1,105},{3,1020},{56,50}</v>
      </c>
      <c r="D9" s="182" t="str">
        <f t="shared" ref="D9:D72" si="1">"{"&amp;T9&amp;","&amp;P9&amp;"}"&amp;","&amp;"{"&amp;Z9&amp;","&amp;V9&amp;"}"&amp;","&amp;J9</f>
        <v>{1,136},{3,1426},{56,50}</v>
      </c>
      <c r="E9" s="122" t="str">
        <f t="shared" ref="E9:E72" si="2">"{"&amp;T9&amp;","&amp;Q9&amp;"}"&amp;","&amp;"{"&amp;Z9&amp;","&amp;W9&amp;"}"&amp;","&amp;J9</f>
        <v>{1,177},{3,1932},{56,50}</v>
      </c>
      <c r="F9" s="183" t="str">
        <f t="shared" ref="F9:F72" si="3">"{"&amp;T9&amp;","&amp;R9&amp;"}"&amp;","&amp;"{"&amp;Z9&amp;","&amp;X9&amp;"}"&amp;","&amp;J9</f>
        <v>{1,229},{3,2540},{56,50}</v>
      </c>
      <c r="G9" s="184" t="str">
        <f t="shared" ref="G9:G72" si="4">"{"&amp;T9&amp;","&amp;S9&amp;"}"&amp;","&amp;"{"&amp;Z9&amp;","&amp;Y9&amp;"}"&amp;","&amp;J9</f>
        <v>{1,291},{3,3250},{56,50}</v>
      </c>
      <c r="J9" s="55" t="s">
        <v>2120</v>
      </c>
      <c r="K9" s="55" t="str">
        <f t="shared" ref="K9:K72" si="5">A9&amp;","&amp;J9</f>
        <v>{1,220},{3,1320},{56,50}</v>
      </c>
      <c r="N9" s="60">
        <v>2</v>
      </c>
      <c r="O9" s="180">
        <v>105</v>
      </c>
      <c r="P9" s="172">
        <v>136</v>
      </c>
      <c r="Q9" s="174">
        <v>177</v>
      </c>
      <c r="R9" s="176">
        <v>229</v>
      </c>
      <c r="S9" s="178">
        <v>291</v>
      </c>
      <c r="T9" s="53">
        <v>1</v>
      </c>
      <c r="U9" s="139">
        <v>1020</v>
      </c>
      <c r="V9" s="141">
        <v>1426</v>
      </c>
      <c r="W9" s="157">
        <v>1932</v>
      </c>
      <c r="X9" s="158">
        <v>2540</v>
      </c>
      <c r="Y9" s="136">
        <v>3250</v>
      </c>
      <c r="Z9" s="53">
        <v>3</v>
      </c>
      <c r="AA9" s="53">
        <v>56</v>
      </c>
    </row>
    <row r="10" spans="1:27">
      <c r="A10" s="86" t="s">
        <v>195</v>
      </c>
      <c r="B10" s="60">
        <v>3</v>
      </c>
      <c r="C10" s="181" t="str">
        <f t="shared" si="0"/>
        <v>{1,110},{3,1040},{56,50}</v>
      </c>
      <c r="D10" s="182" t="str">
        <f t="shared" si="1"/>
        <v>{1,142},{3,1452},{56,50}</v>
      </c>
      <c r="E10" s="122" t="str">
        <f t="shared" si="2"/>
        <v>{1,184},{3,1964},{56,50}</v>
      </c>
      <c r="F10" s="183" t="str">
        <f t="shared" si="3"/>
        <v>{1,237},{3,2580},{56,50}</v>
      </c>
      <c r="G10" s="184" t="str">
        <f t="shared" si="4"/>
        <v>{1,301},{3,3300},{56,50}</v>
      </c>
      <c r="J10" s="55" t="s">
        <v>2120</v>
      </c>
      <c r="K10" s="55" t="str">
        <f t="shared" si="5"/>
        <v>{1,240},{3,1440},{56,50}</v>
      </c>
      <c r="N10" s="60">
        <v>3</v>
      </c>
      <c r="O10" s="180">
        <v>110</v>
      </c>
      <c r="P10" s="172">
        <v>142</v>
      </c>
      <c r="Q10" s="174">
        <v>184</v>
      </c>
      <c r="R10" s="176">
        <v>237</v>
      </c>
      <c r="S10" s="178">
        <v>301</v>
      </c>
      <c r="T10" s="53">
        <v>1</v>
      </c>
      <c r="U10" s="139">
        <v>1040</v>
      </c>
      <c r="V10" s="141">
        <v>1452</v>
      </c>
      <c r="W10" s="157">
        <v>1964</v>
      </c>
      <c r="X10" s="158">
        <v>2580</v>
      </c>
      <c r="Y10" s="136">
        <v>3300</v>
      </c>
      <c r="Z10" s="53">
        <v>3</v>
      </c>
      <c r="AA10" s="53">
        <v>56</v>
      </c>
    </row>
    <row r="11" spans="1:27">
      <c r="A11" s="86" t="s">
        <v>196</v>
      </c>
      <c r="B11" s="60">
        <v>4</v>
      </c>
      <c r="C11" s="181" t="str">
        <f t="shared" si="0"/>
        <v>{1,115},{3,1060},{56,50}</v>
      </c>
      <c r="D11" s="182" t="str">
        <f t="shared" si="1"/>
        <v>{1,148},{3,1478},{56,50}</v>
      </c>
      <c r="E11" s="122" t="str">
        <f t="shared" si="2"/>
        <v>{1,191},{3,1996},{56,50}</v>
      </c>
      <c r="F11" s="183" t="str">
        <f t="shared" si="3"/>
        <v>{1,246},{3,2620},{56,50}</v>
      </c>
      <c r="G11" s="184" t="str">
        <f t="shared" si="4"/>
        <v>{1,312},{3,3350},{56,50}</v>
      </c>
      <c r="J11" s="55" t="s">
        <v>2120</v>
      </c>
      <c r="K11" s="55" t="str">
        <f t="shared" si="5"/>
        <v>{1,260},{3,1560},{56,50}</v>
      </c>
      <c r="N11" s="60">
        <v>4</v>
      </c>
      <c r="O11" s="180">
        <v>115</v>
      </c>
      <c r="P11" s="172">
        <v>148</v>
      </c>
      <c r="Q11" s="174">
        <v>191</v>
      </c>
      <c r="R11" s="176">
        <v>246</v>
      </c>
      <c r="S11" s="178">
        <v>312</v>
      </c>
      <c r="T11" s="53">
        <v>1</v>
      </c>
      <c r="U11" s="139">
        <v>1060</v>
      </c>
      <c r="V11" s="141">
        <v>1478</v>
      </c>
      <c r="W11" s="157">
        <v>1996</v>
      </c>
      <c r="X11" s="158">
        <v>2620</v>
      </c>
      <c r="Y11" s="136">
        <v>3350</v>
      </c>
      <c r="Z11" s="53">
        <v>3</v>
      </c>
      <c r="AA11" s="53">
        <v>56</v>
      </c>
    </row>
    <row r="12" spans="1:27">
      <c r="A12" s="86" t="s">
        <v>197</v>
      </c>
      <c r="B12" s="60">
        <v>5</v>
      </c>
      <c r="C12" s="181" t="str">
        <f t="shared" si="0"/>
        <v>{1,120},{3,1080},{56,50}</v>
      </c>
      <c r="D12" s="182" t="str">
        <f t="shared" si="1"/>
        <v>{1,154},{3,1504},{56,50}</v>
      </c>
      <c r="E12" s="122" t="str">
        <f t="shared" si="2"/>
        <v>{1,198},{3,2028},{56,50}</v>
      </c>
      <c r="F12" s="183" t="str">
        <f t="shared" si="3"/>
        <v>{1,254},{3,2660},{56,50}</v>
      </c>
      <c r="G12" s="184" t="str">
        <f t="shared" si="4"/>
        <v>{1,322},{3,3400},{56,50}</v>
      </c>
      <c r="J12" s="55" t="s">
        <v>2120</v>
      </c>
      <c r="K12" s="55" t="str">
        <f t="shared" si="5"/>
        <v>{1,280},{3,1680},{56,50}</v>
      </c>
      <c r="N12" s="60">
        <v>5</v>
      </c>
      <c r="O12" s="180">
        <v>120</v>
      </c>
      <c r="P12" s="172">
        <v>154</v>
      </c>
      <c r="Q12" s="174">
        <v>198</v>
      </c>
      <c r="R12" s="176">
        <v>254</v>
      </c>
      <c r="S12" s="178">
        <v>322</v>
      </c>
      <c r="T12" s="53">
        <v>1</v>
      </c>
      <c r="U12" s="139">
        <v>1080</v>
      </c>
      <c r="V12" s="141">
        <v>1504</v>
      </c>
      <c r="W12" s="157">
        <v>2028</v>
      </c>
      <c r="X12" s="158">
        <v>2660</v>
      </c>
      <c r="Y12" s="136">
        <v>3400</v>
      </c>
      <c r="Z12" s="53">
        <v>3</v>
      </c>
      <c r="AA12" s="53">
        <v>56</v>
      </c>
    </row>
    <row r="13" spans="1:27">
      <c r="A13" s="86" t="s">
        <v>198</v>
      </c>
      <c r="B13" s="60">
        <v>6</v>
      </c>
      <c r="C13" s="181" t="str">
        <f t="shared" si="0"/>
        <v>{1,125},{3,1100},{56,50}</v>
      </c>
      <c r="D13" s="182" t="str">
        <f t="shared" si="1"/>
        <v>{1,160},{3,1530},{56,50}</v>
      </c>
      <c r="E13" s="122" t="str">
        <f t="shared" si="2"/>
        <v>{1,205},{3,2060},{56,50}</v>
      </c>
      <c r="F13" s="183" t="str">
        <f t="shared" si="3"/>
        <v>{1,263},{3,2700},{56,50}</v>
      </c>
      <c r="G13" s="184" t="str">
        <f t="shared" si="4"/>
        <v>{1,333},{3,3450},{56,50}</v>
      </c>
      <c r="J13" s="55" t="s">
        <v>2120</v>
      </c>
      <c r="K13" s="55" t="str">
        <f t="shared" si="5"/>
        <v>{1,300},{3,1800},{56,50}</v>
      </c>
      <c r="N13" s="60">
        <v>6</v>
      </c>
      <c r="O13" s="180">
        <v>125</v>
      </c>
      <c r="P13" s="172">
        <v>160</v>
      </c>
      <c r="Q13" s="174">
        <v>205</v>
      </c>
      <c r="R13" s="176">
        <v>263</v>
      </c>
      <c r="S13" s="178">
        <v>333</v>
      </c>
      <c r="T13" s="53">
        <v>1</v>
      </c>
      <c r="U13" s="139">
        <v>1100</v>
      </c>
      <c r="V13" s="141">
        <v>1530</v>
      </c>
      <c r="W13" s="157">
        <v>2060</v>
      </c>
      <c r="X13" s="158">
        <v>2700</v>
      </c>
      <c r="Y13" s="136">
        <v>3450</v>
      </c>
      <c r="Z13" s="53">
        <v>3</v>
      </c>
      <c r="AA13" s="53">
        <v>56</v>
      </c>
    </row>
    <row r="14" spans="1:27">
      <c r="A14" s="86" t="s">
        <v>199</v>
      </c>
      <c r="B14" s="60">
        <v>7</v>
      </c>
      <c r="C14" s="181" t="str">
        <f t="shared" si="0"/>
        <v>{1,130},{3,1120},{56,50}</v>
      </c>
      <c r="D14" s="182" t="str">
        <f t="shared" si="1"/>
        <v>{1,166},{3,1556},{56,50}</v>
      </c>
      <c r="E14" s="122" t="str">
        <f t="shared" si="2"/>
        <v>{1,212},{3,2092},{56,50}</v>
      </c>
      <c r="F14" s="183" t="str">
        <f t="shared" si="3"/>
        <v>{1,271},{3,2740},{56,50}</v>
      </c>
      <c r="G14" s="184" t="str">
        <f t="shared" si="4"/>
        <v>{1,343},{3,3500},{56,50}</v>
      </c>
      <c r="J14" s="55" t="s">
        <v>2120</v>
      </c>
      <c r="K14" s="55" t="str">
        <f t="shared" si="5"/>
        <v>{1,320},{3,1920},{56,50}</v>
      </c>
      <c r="N14" s="60">
        <v>7</v>
      </c>
      <c r="O14" s="180">
        <v>130</v>
      </c>
      <c r="P14" s="172">
        <v>166</v>
      </c>
      <c r="Q14" s="174">
        <v>212</v>
      </c>
      <c r="R14" s="176">
        <v>271</v>
      </c>
      <c r="S14" s="178">
        <v>343</v>
      </c>
      <c r="T14" s="53">
        <v>1</v>
      </c>
      <c r="U14" s="139">
        <v>1120</v>
      </c>
      <c r="V14" s="141">
        <v>1556</v>
      </c>
      <c r="W14" s="157">
        <v>2092</v>
      </c>
      <c r="X14" s="158">
        <v>2740</v>
      </c>
      <c r="Y14" s="136">
        <v>3500</v>
      </c>
      <c r="Z14" s="53">
        <v>3</v>
      </c>
      <c r="AA14" s="53">
        <v>56</v>
      </c>
    </row>
    <row r="15" spans="1:27">
      <c r="A15" s="86" t="s">
        <v>200</v>
      </c>
      <c r="B15" s="60">
        <v>8</v>
      </c>
      <c r="C15" s="181" t="str">
        <f t="shared" si="0"/>
        <v>{1,135},{3,1140},{56,50}</v>
      </c>
      <c r="D15" s="182" t="str">
        <f t="shared" si="1"/>
        <v>{1,172},{3,1582},{56,50}</v>
      </c>
      <c r="E15" s="122" t="str">
        <f t="shared" si="2"/>
        <v>{1,219},{3,2124},{56,50}</v>
      </c>
      <c r="F15" s="183" t="str">
        <f t="shared" si="3"/>
        <v>{1,280},{3,2780},{56,50}</v>
      </c>
      <c r="G15" s="184" t="str">
        <f t="shared" si="4"/>
        <v>{1,354},{3,3550},{56,50}</v>
      </c>
      <c r="J15" s="55" t="s">
        <v>2120</v>
      </c>
      <c r="K15" s="55" t="str">
        <f t="shared" si="5"/>
        <v>{1,340},{3,2040},{56,50}</v>
      </c>
      <c r="N15" s="60">
        <v>8</v>
      </c>
      <c r="O15" s="180">
        <v>135</v>
      </c>
      <c r="P15" s="172">
        <v>172</v>
      </c>
      <c r="Q15" s="174">
        <v>219</v>
      </c>
      <c r="R15" s="176">
        <v>280</v>
      </c>
      <c r="S15" s="178">
        <v>354</v>
      </c>
      <c r="T15" s="53">
        <v>1</v>
      </c>
      <c r="U15" s="139">
        <v>1140</v>
      </c>
      <c r="V15" s="141">
        <v>1582</v>
      </c>
      <c r="W15" s="157">
        <v>2124</v>
      </c>
      <c r="X15" s="158">
        <v>2780</v>
      </c>
      <c r="Y15" s="136">
        <v>3550</v>
      </c>
      <c r="Z15" s="53">
        <v>3</v>
      </c>
      <c r="AA15" s="53">
        <v>56</v>
      </c>
    </row>
    <row r="16" spans="1:27">
      <c r="A16" s="86" t="s">
        <v>201</v>
      </c>
      <c r="B16" s="60">
        <v>9</v>
      </c>
      <c r="C16" s="181" t="str">
        <f t="shared" si="0"/>
        <v>{1,140},{3,1160},{56,50}</v>
      </c>
      <c r="D16" s="182" t="str">
        <f t="shared" si="1"/>
        <v>{1,178},{3,1608},{56,50}</v>
      </c>
      <c r="E16" s="122" t="str">
        <f t="shared" si="2"/>
        <v>{1,226},{3,2156},{56,50}</v>
      </c>
      <c r="F16" s="183" t="str">
        <f t="shared" si="3"/>
        <v>{1,288},{3,2820},{56,50}</v>
      </c>
      <c r="G16" s="184" t="str">
        <f t="shared" si="4"/>
        <v>{1,364},{3,3600},{56,50}</v>
      </c>
      <c r="J16" s="55" t="s">
        <v>2120</v>
      </c>
      <c r="K16" s="55" t="str">
        <f t="shared" si="5"/>
        <v>{1,360},{3,2160},{56,50}</v>
      </c>
      <c r="N16" s="60">
        <v>9</v>
      </c>
      <c r="O16" s="180">
        <v>140</v>
      </c>
      <c r="P16" s="172">
        <v>178</v>
      </c>
      <c r="Q16" s="174">
        <v>226</v>
      </c>
      <c r="R16" s="176">
        <v>288</v>
      </c>
      <c r="S16" s="178">
        <v>364</v>
      </c>
      <c r="T16" s="53">
        <v>1</v>
      </c>
      <c r="U16" s="139">
        <v>1160</v>
      </c>
      <c r="V16" s="141">
        <v>1608</v>
      </c>
      <c r="W16" s="157">
        <v>2156</v>
      </c>
      <c r="X16" s="158">
        <v>2820</v>
      </c>
      <c r="Y16" s="136">
        <v>3600</v>
      </c>
      <c r="Z16" s="53">
        <v>3</v>
      </c>
      <c r="AA16" s="53">
        <v>56</v>
      </c>
    </row>
    <row r="17" spans="1:27">
      <c r="A17" s="86" t="s">
        <v>202</v>
      </c>
      <c r="B17" s="60">
        <v>10</v>
      </c>
      <c r="C17" s="181" t="str">
        <f t="shared" si="0"/>
        <v>{1,145},{3,1180},{56,50}</v>
      </c>
      <c r="D17" s="182" t="str">
        <f t="shared" si="1"/>
        <v>{1,184},{3,1634},{56,50}</v>
      </c>
      <c r="E17" s="122" t="str">
        <f t="shared" si="2"/>
        <v>{1,233},{3,2188},{56,50}</v>
      </c>
      <c r="F17" s="183" t="str">
        <f t="shared" si="3"/>
        <v>{1,297},{3,2860},{56,50}</v>
      </c>
      <c r="G17" s="184" t="str">
        <f t="shared" si="4"/>
        <v>{1,375},{3,3650},{56,50}</v>
      </c>
      <c r="J17" s="55" t="s">
        <v>2120</v>
      </c>
      <c r="K17" s="55" t="str">
        <f t="shared" si="5"/>
        <v>{1,380},{3,2280},{56,50}</v>
      </c>
      <c r="N17" s="60">
        <v>10</v>
      </c>
      <c r="O17" s="180">
        <v>145</v>
      </c>
      <c r="P17" s="172">
        <v>184</v>
      </c>
      <c r="Q17" s="174">
        <v>233</v>
      </c>
      <c r="R17" s="176">
        <v>297</v>
      </c>
      <c r="S17" s="178">
        <v>375</v>
      </c>
      <c r="T17" s="53">
        <v>1</v>
      </c>
      <c r="U17" s="139">
        <v>1180</v>
      </c>
      <c r="V17" s="141">
        <v>1634</v>
      </c>
      <c r="W17" s="157">
        <v>2188</v>
      </c>
      <c r="X17" s="158">
        <v>2860</v>
      </c>
      <c r="Y17" s="136">
        <v>3650</v>
      </c>
      <c r="Z17" s="53">
        <v>3</v>
      </c>
      <c r="AA17" s="53">
        <v>56</v>
      </c>
    </row>
    <row r="18" spans="1:27">
      <c r="A18" s="86" t="s">
        <v>203</v>
      </c>
      <c r="B18" s="60">
        <v>11</v>
      </c>
      <c r="C18" s="181" t="str">
        <f t="shared" si="0"/>
        <v>{1,150},{3,1200},{56,50}</v>
      </c>
      <c r="D18" s="182" t="str">
        <f t="shared" si="1"/>
        <v>{1,190},{3,1660},{56,50}</v>
      </c>
      <c r="E18" s="122" t="str">
        <f t="shared" si="2"/>
        <v>{1,240},{3,2220},{56,50}</v>
      </c>
      <c r="F18" s="183" t="str">
        <f t="shared" si="3"/>
        <v>{1,305},{3,2900},{56,50}</v>
      </c>
      <c r="G18" s="184" t="str">
        <f t="shared" si="4"/>
        <v>{1,385},{3,3700},{56,50}</v>
      </c>
      <c r="J18" s="55" t="s">
        <v>2120</v>
      </c>
      <c r="K18" s="55" t="str">
        <f t="shared" si="5"/>
        <v>{1,400},{3,2400},{56,50}</v>
      </c>
      <c r="N18" s="60">
        <v>11</v>
      </c>
      <c r="O18" s="180">
        <v>150</v>
      </c>
      <c r="P18" s="172">
        <v>190</v>
      </c>
      <c r="Q18" s="174">
        <v>240</v>
      </c>
      <c r="R18" s="176">
        <v>305</v>
      </c>
      <c r="S18" s="178">
        <v>385</v>
      </c>
      <c r="T18" s="53">
        <v>1</v>
      </c>
      <c r="U18" s="139">
        <v>1200</v>
      </c>
      <c r="V18" s="141">
        <v>1660</v>
      </c>
      <c r="W18" s="157">
        <v>2220</v>
      </c>
      <c r="X18" s="158">
        <v>2900</v>
      </c>
      <c r="Y18" s="136">
        <v>3700</v>
      </c>
      <c r="Z18" s="53">
        <v>3</v>
      </c>
      <c r="AA18" s="53">
        <v>56</v>
      </c>
    </row>
    <row r="19" spans="1:27">
      <c r="A19" s="86" t="s">
        <v>204</v>
      </c>
      <c r="B19" s="60">
        <v>12</v>
      </c>
      <c r="C19" s="181" t="str">
        <f t="shared" si="0"/>
        <v>{1,155},{3,1220},{56,50}</v>
      </c>
      <c r="D19" s="182" t="str">
        <f t="shared" si="1"/>
        <v>{1,196},{3,1686},{56,50}</v>
      </c>
      <c r="E19" s="122" t="str">
        <f t="shared" si="2"/>
        <v>{1,247},{3,2252},{56,50}</v>
      </c>
      <c r="F19" s="183" t="str">
        <f t="shared" si="3"/>
        <v>{1,314},{3,2940},{56,50}</v>
      </c>
      <c r="G19" s="184" t="str">
        <f t="shared" si="4"/>
        <v>{1,396},{3,3750},{56,50}</v>
      </c>
      <c r="J19" s="55" t="s">
        <v>2120</v>
      </c>
      <c r="K19" s="55" t="str">
        <f t="shared" si="5"/>
        <v>{1,420},{3,2520},{56,50}</v>
      </c>
      <c r="N19" s="60">
        <v>12</v>
      </c>
      <c r="O19" s="180">
        <v>155</v>
      </c>
      <c r="P19" s="172">
        <v>196</v>
      </c>
      <c r="Q19" s="174">
        <v>247</v>
      </c>
      <c r="R19" s="176">
        <v>314</v>
      </c>
      <c r="S19" s="178">
        <v>396</v>
      </c>
      <c r="T19" s="53">
        <v>1</v>
      </c>
      <c r="U19" s="139">
        <v>1220</v>
      </c>
      <c r="V19" s="141">
        <v>1686</v>
      </c>
      <c r="W19" s="157">
        <v>2252</v>
      </c>
      <c r="X19" s="158">
        <v>2940</v>
      </c>
      <c r="Y19" s="136">
        <v>3750</v>
      </c>
      <c r="Z19" s="53">
        <v>3</v>
      </c>
      <c r="AA19" s="53">
        <v>56</v>
      </c>
    </row>
    <row r="20" spans="1:27">
      <c r="A20" s="86" t="s">
        <v>205</v>
      </c>
      <c r="B20" s="60">
        <v>13</v>
      </c>
      <c r="C20" s="181" t="str">
        <f t="shared" si="0"/>
        <v>{1,160},{3,1240},{56,50}</v>
      </c>
      <c r="D20" s="182" t="str">
        <f t="shared" si="1"/>
        <v>{1,202},{3,1712},{56,50}</v>
      </c>
      <c r="E20" s="122" t="str">
        <f t="shared" si="2"/>
        <v>{1,254},{3,2284},{56,50}</v>
      </c>
      <c r="F20" s="183" t="str">
        <f t="shared" si="3"/>
        <v>{1,322},{3,2980},{56,50}</v>
      </c>
      <c r="G20" s="184" t="str">
        <f t="shared" si="4"/>
        <v>{1,406},{3,3800},{56,50}</v>
      </c>
      <c r="J20" s="55" t="s">
        <v>2120</v>
      </c>
      <c r="K20" s="55" t="str">
        <f t="shared" si="5"/>
        <v>{1,440},{3,2640},{56,50}</v>
      </c>
      <c r="N20" s="60">
        <v>13</v>
      </c>
      <c r="O20" s="180">
        <v>160</v>
      </c>
      <c r="P20" s="172">
        <v>202</v>
      </c>
      <c r="Q20" s="174">
        <v>254</v>
      </c>
      <c r="R20" s="176">
        <v>322</v>
      </c>
      <c r="S20" s="178">
        <v>406</v>
      </c>
      <c r="T20" s="53">
        <v>1</v>
      </c>
      <c r="U20" s="139">
        <v>1240</v>
      </c>
      <c r="V20" s="141">
        <v>1712</v>
      </c>
      <c r="W20" s="157">
        <v>2284</v>
      </c>
      <c r="X20" s="158">
        <v>2980</v>
      </c>
      <c r="Y20" s="136">
        <v>3800</v>
      </c>
      <c r="Z20" s="53">
        <v>3</v>
      </c>
      <c r="AA20" s="53">
        <v>56</v>
      </c>
    </row>
    <row r="21" spans="1:27">
      <c r="A21" s="86" t="s">
        <v>206</v>
      </c>
      <c r="B21" s="60">
        <v>14</v>
      </c>
      <c r="C21" s="181" t="str">
        <f t="shared" si="0"/>
        <v>{1,165},{3,1260},{56,50}</v>
      </c>
      <c r="D21" s="182" t="str">
        <f t="shared" si="1"/>
        <v>{1,208},{3,1738},{56,50}</v>
      </c>
      <c r="E21" s="122" t="str">
        <f t="shared" si="2"/>
        <v>{1,261},{3,2316},{56,50}</v>
      </c>
      <c r="F21" s="183" t="str">
        <f t="shared" si="3"/>
        <v>{1,331},{3,3020},{56,50}</v>
      </c>
      <c r="G21" s="184" t="str">
        <f t="shared" si="4"/>
        <v>{1,417},{3,3850},{56,50}</v>
      </c>
      <c r="J21" s="55" t="s">
        <v>2120</v>
      </c>
      <c r="K21" s="55" t="str">
        <f t="shared" si="5"/>
        <v>{1,460},{3,2760},{56,50}</v>
      </c>
      <c r="N21" s="60">
        <v>14</v>
      </c>
      <c r="O21" s="180">
        <v>165</v>
      </c>
      <c r="P21" s="172">
        <v>208</v>
      </c>
      <c r="Q21" s="174">
        <v>261</v>
      </c>
      <c r="R21" s="176">
        <v>331</v>
      </c>
      <c r="S21" s="178">
        <v>417</v>
      </c>
      <c r="T21" s="53">
        <v>1</v>
      </c>
      <c r="U21" s="139">
        <v>1260</v>
      </c>
      <c r="V21" s="141">
        <v>1738</v>
      </c>
      <c r="W21" s="157">
        <v>2316</v>
      </c>
      <c r="X21" s="158">
        <v>3020</v>
      </c>
      <c r="Y21" s="136">
        <v>3850</v>
      </c>
      <c r="Z21" s="53">
        <v>3</v>
      </c>
      <c r="AA21" s="53">
        <v>56</v>
      </c>
    </row>
    <row r="22" spans="1:27">
      <c r="A22" s="86" t="s">
        <v>207</v>
      </c>
      <c r="B22" s="60">
        <v>15</v>
      </c>
      <c r="C22" s="181" t="str">
        <f t="shared" si="0"/>
        <v>{1,170},{3,1280},{56,50}</v>
      </c>
      <c r="D22" s="182" t="str">
        <f t="shared" si="1"/>
        <v>{1,214},{3,1764},{56,50}</v>
      </c>
      <c r="E22" s="122" t="str">
        <f t="shared" si="2"/>
        <v>{1,268},{3,2348},{56,50}</v>
      </c>
      <c r="F22" s="183" t="str">
        <f t="shared" si="3"/>
        <v>{1,339},{3,3060},{56,50}</v>
      </c>
      <c r="G22" s="184" t="str">
        <f t="shared" si="4"/>
        <v>{1,427},{3,3900},{56,50}</v>
      </c>
      <c r="J22" s="55" t="s">
        <v>2120</v>
      </c>
      <c r="K22" s="55" t="str">
        <f t="shared" si="5"/>
        <v>{1,480},{3,2880},{56,50}</v>
      </c>
      <c r="N22" s="60">
        <v>15</v>
      </c>
      <c r="O22" s="180">
        <v>170</v>
      </c>
      <c r="P22" s="172">
        <v>214</v>
      </c>
      <c r="Q22" s="174">
        <v>268</v>
      </c>
      <c r="R22" s="176">
        <v>339</v>
      </c>
      <c r="S22" s="178">
        <v>427</v>
      </c>
      <c r="T22" s="53">
        <v>1</v>
      </c>
      <c r="U22" s="139">
        <v>1280</v>
      </c>
      <c r="V22" s="141">
        <v>1764</v>
      </c>
      <c r="W22" s="157">
        <v>2348</v>
      </c>
      <c r="X22" s="158">
        <v>3060</v>
      </c>
      <c r="Y22" s="136">
        <v>3900</v>
      </c>
      <c r="Z22" s="53">
        <v>3</v>
      </c>
      <c r="AA22" s="53">
        <v>56</v>
      </c>
    </row>
    <row r="23" spans="1:27">
      <c r="A23" s="86" t="s">
        <v>208</v>
      </c>
      <c r="B23" s="60">
        <v>16</v>
      </c>
      <c r="C23" s="181" t="str">
        <f t="shared" si="0"/>
        <v>{1,175},{3,1300},{56,50}</v>
      </c>
      <c r="D23" s="182" t="str">
        <f t="shared" si="1"/>
        <v>{1,220},{3,1790},{56,50}</v>
      </c>
      <c r="E23" s="122" t="str">
        <f t="shared" si="2"/>
        <v>{1,275},{3,2380},{56,50}</v>
      </c>
      <c r="F23" s="183" t="str">
        <f t="shared" si="3"/>
        <v>{1,348},{3,3100},{56,50}</v>
      </c>
      <c r="G23" s="184" t="str">
        <f t="shared" si="4"/>
        <v>{1,438},{3,3950},{56,50}</v>
      </c>
      <c r="J23" s="55" t="s">
        <v>2120</v>
      </c>
      <c r="K23" s="55" t="str">
        <f t="shared" si="5"/>
        <v>{1,500},{3,3000},{56,50}</v>
      </c>
      <c r="N23" s="60">
        <v>16</v>
      </c>
      <c r="O23" s="180">
        <v>175</v>
      </c>
      <c r="P23" s="172">
        <v>220</v>
      </c>
      <c r="Q23" s="174">
        <v>275</v>
      </c>
      <c r="R23" s="176">
        <v>348</v>
      </c>
      <c r="S23" s="178">
        <v>438</v>
      </c>
      <c r="T23" s="53">
        <v>1</v>
      </c>
      <c r="U23" s="139">
        <v>1300</v>
      </c>
      <c r="V23" s="141">
        <v>1790</v>
      </c>
      <c r="W23" s="157">
        <v>2380</v>
      </c>
      <c r="X23" s="158">
        <v>3100</v>
      </c>
      <c r="Y23" s="136">
        <v>3950</v>
      </c>
      <c r="Z23" s="53">
        <v>3</v>
      </c>
      <c r="AA23" s="53">
        <v>56</v>
      </c>
    </row>
    <row r="24" spans="1:27">
      <c r="A24" s="86" t="s">
        <v>209</v>
      </c>
      <c r="B24" s="60">
        <v>17</v>
      </c>
      <c r="C24" s="181" t="str">
        <f t="shared" si="0"/>
        <v>{1,180},{3,1320},{56,50}</v>
      </c>
      <c r="D24" s="182" t="str">
        <f t="shared" si="1"/>
        <v>{1,226},{3,1816},{56,50}</v>
      </c>
      <c r="E24" s="122" t="str">
        <f t="shared" si="2"/>
        <v>{1,282},{3,2412},{56,50}</v>
      </c>
      <c r="F24" s="183" t="str">
        <f t="shared" si="3"/>
        <v>{1,356},{3,3140},{56,50}</v>
      </c>
      <c r="G24" s="184" t="str">
        <f t="shared" si="4"/>
        <v>{1,448},{3,4000},{56,50}</v>
      </c>
      <c r="J24" s="55" t="s">
        <v>2120</v>
      </c>
      <c r="K24" s="55" t="str">
        <f t="shared" si="5"/>
        <v>{1,520},{3,3120},{56,50}</v>
      </c>
      <c r="N24" s="60">
        <v>17</v>
      </c>
      <c r="O24" s="180">
        <v>180</v>
      </c>
      <c r="P24" s="172">
        <v>226</v>
      </c>
      <c r="Q24" s="174">
        <v>282</v>
      </c>
      <c r="R24" s="176">
        <v>356</v>
      </c>
      <c r="S24" s="178">
        <v>448</v>
      </c>
      <c r="T24" s="53">
        <v>1</v>
      </c>
      <c r="U24" s="139">
        <v>1320</v>
      </c>
      <c r="V24" s="141">
        <v>1816</v>
      </c>
      <c r="W24" s="157">
        <v>2412</v>
      </c>
      <c r="X24" s="158">
        <v>3140</v>
      </c>
      <c r="Y24" s="136">
        <v>4000</v>
      </c>
      <c r="Z24" s="53">
        <v>3</v>
      </c>
      <c r="AA24" s="53">
        <v>56</v>
      </c>
    </row>
    <row r="25" spans="1:27">
      <c r="A25" s="86" t="s">
        <v>210</v>
      </c>
      <c r="B25" s="60">
        <v>18</v>
      </c>
      <c r="C25" s="181" t="str">
        <f t="shared" si="0"/>
        <v>{1,185},{3,1340},{56,50}</v>
      </c>
      <c r="D25" s="182" t="str">
        <f t="shared" si="1"/>
        <v>{1,232},{3,1842},{56,50}</v>
      </c>
      <c r="E25" s="122" t="str">
        <f t="shared" si="2"/>
        <v>{1,289},{3,2444},{56,50}</v>
      </c>
      <c r="F25" s="183" t="str">
        <f t="shared" si="3"/>
        <v>{1,365},{3,3180},{56,50}</v>
      </c>
      <c r="G25" s="184" t="str">
        <f t="shared" si="4"/>
        <v>{1,459},{3,4050},{56,50}</v>
      </c>
      <c r="J25" s="55" t="s">
        <v>2120</v>
      </c>
      <c r="K25" s="55" t="str">
        <f t="shared" si="5"/>
        <v>{1,540},{3,3240},{56,50}</v>
      </c>
      <c r="N25" s="60">
        <v>18</v>
      </c>
      <c r="O25" s="180">
        <v>185</v>
      </c>
      <c r="P25" s="172">
        <v>232</v>
      </c>
      <c r="Q25" s="174">
        <v>289</v>
      </c>
      <c r="R25" s="176">
        <v>365</v>
      </c>
      <c r="S25" s="178">
        <v>459</v>
      </c>
      <c r="T25" s="53">
        <v>1</v>
      </c>
      <c r="U25" s="139">
        <v>1340</v>
      </c>
      <c r="V25" s="141">
        <v>1842</v>
      </c>
      <c r="W25" s="157">
        <v>2444</v>
      </c>
      <c r="X25" s="158">
        <v>3180</v>
      </c>
      <c r="Y25" s="136">
        <v>4050</v>
      </c>
      <c r="Z25" s="53">
        <v>3</v>
      </c>
      <c r="AA25" s="53">
        <v>56</v>
      </c>
    </row>
    <row r="26" spans="1:27">
      <c r="A26" s="86" t="s">
        <v>211</v>
      </c>
      <c r="B26" s="60">
        <v>19</v>
      </c>
      <c r="C26" s="181" t="str">
        <f t="shared" si="0"/>
        <v>{1,190},{3,1360},{56,50}</v>
      </c>
      <c r="D26" s="182" t="str">
        <f t="shared" si="1"/>
        <v>{1,238},{3,1868},{56,50}</v>
      </c>
      <c r="E26" s="122" t="str">
        <f t="shared" si="2"/>
        <v>{1,296},{3,2476},{56,50}</v>
      </c>
      <c r="F26" s="183" t="str">
        <f t="shared" si="3"/>
        <v>{1,373},{3,3220},{56,50}</v>
      </c>
      <c r="G26" s="184" t="str">
        <f t="shared" si="4"/>
        <v>{1,469},{3,4100},{56,50}</v>
      </c>
      <c r="J26" s="55" t="s">
        <v>2120</v>
      </c>
      <c r="K26" s="55" t="str">
        <f t="shared" si="5"/>
        <v>{1,560},{3,3360},{56,50}</v>
      </c>
      <c r="N26" s="60">
        <v>19</v>
      </c>
      <c r="O26" s="180">
        <v>190</v>
      </c>
      <c r="P26" s="172">
        <v>238</v>
      </c>
      <c r="Q26" s="174">
        <v>296</v>
      </c>
      <c r="R26" s="176">
        <v>373</v>
      </c>
      <c r="S26" s="178">
        <v>469</v>
      </c>
      <c r="T26" s="53">
        <v>1</v>
      </c>
      <c r="U26" s="139">
        <v>1360</v>
      </c>
      <c r="V26" s="141">
        <v>1868</v>
      </c>
      <c r="W26" s="157">
        <v>2476</v>
      </c>
      <c r="X26" s="158">
        <v>3220</v>
      </c>
      <c r="Y26" s="136">
        <v>4100</v>
      </c>
      <c r="Z26" s="53">
        <v>3</v>
      </c>
      <c r="AA26" s="53">
        <v>56</v>
      </c>
    </row>
    <row r="27" spans="1:27">
      <c r="A27" s="87" t="s">
        <v>212</v>
      </c>
      <c r="B27" s="60">
        <v>20</v>
      </c>
      <c r="C27" s="181" t="str">
        <f t="shared" si="0"/>
        <v>{1,210},{3,1560},{56,100}</v>
      </c>
      <c r="D27" s="182" t="str">
        <f t="shared" si="1"/>
        <v>{1,262},{3,2128},{56,100}</v>
      </c>
      <c r="E27" s="122" t="str">
        <f t="shared" si="2"/>
        <v>{1,324},{3,2796},{56,100}</v>
      </c>
      <c r="F27" s="183" t="str">
        <f t="shared" si="3"/>
        <v>{1,407},{3,3620},{56,100}</v>
      </c>
      <c r="G27" s="184" t="str">
        <f t="shared" si="4"/>
        <v>{1,511},{3,4600},{56,100}</v>
      </c>
      <c r="J27" s="55" t="s">
        <v>2121</v>
      </c>
      <c r="K27" s="55" t="str">
        <f t="shared" si="5"/>
        <v>{1,860},{3,5160},{56,100}</v>
      </c>
      <c r="N27" s="60">
        <v>20</v>
      </c>
      <c r="O27" s="180">
        <v>210</v>
      </c>
      <c r="P27" s="172">
        <v>262</v>
      </c>
      <c r="Q27" s="174">
        <v>324</v>
      </c>
      <c r="R27" s="176">
        <v>407</v>
      </c>
      <c r="S27" s="178">
        <v>511</v>
      </c>
      <c r="T27" s="53">
        <v>1</v>
      </c>
      <c r="U27" s="139">
        <v>1560</v>
      </c>
      <c r="V27" s="141">
        <v>2128</v>
      </c>
      <c r="W27" s="157">
        <v>2796</v>
      </c>
      <c r="X27" s="158">
        <v>3620</v>
      </c>
      <c r="Y27" s="136">
        <v>4600</v>
      </c>
      <c r="Z27" s="53">
        <v>3</v>
      </c>
      <c r="AA27" s="53">
        <v>56</v>
      </c>
    </row>
    <row r="28" spans="1:27">
      <c r="A28" s="86" t="s">
        <v>213</v>
      </c>
      <c r="B28" s="60">
        <v>21</v>
      </c>
      <c r="C28" s="181" t="str">
        <f t="shared" si="0"/>
        <v>{1,216},{3,1590},{56,100}</v>
      </c>
      <c r="D28" s="182" t="str">
        <f t="shared" si="1"/>
        <v>{1,269},{3,2167},{56,100}</v>
      </c>
      <c r="E28" s="122" t="str">
        <f t="shared" si="2"/>
        <v>{1,332},{3,2844},{56,100}</v>
      </c>
      <c r="F28" s="183" t="str">
        <f t="shared" si="3"/>
        <v>{1,417},{3,3680},{56,100}</v>
      </c>
      <c r="G28" s="184" t="str">
        <f t="shared" si="4"/>
        <v>{1,524},{3,4675},{56,100}</v>
      </c>
      <c r="J28" s="55" t="s">
        <v>2121</v>
      </c>
      <c r="K28" s="55" t="str">
        <f t="shared" si="5"/>
        <v>{1,900},{3,5400},{56,100}</v>
      </c>
      <c r="N28" s="60">
        <v>21</v>
      </c>
      <c r="O28" s="180">
        <v>216</v>
      </c>
      <c r="P28" s="172">
        <v>269</v>
      </c>
      <c r="Q28" s="174">
        <v>332</v>
      </c>
      <c r="R28" s="176">
        <v>417</v>
      </c>
      <c r="S28" s="178">
        <v>524</v>
      </c>
      <c r="T28" s="53">
        <v>1</v>
      </c>
      <c r="U28" s="139">
        <v>1590</v>
      </c>
      <c r="V28" s="141">
        <v>2167</v>
      </c>
      <c r="W28" s="157">
        <v>2844</v>
      </c>
      <c r="X28" s="158">
        <v>3680</v>
      </c>
      <c r="Y28" s="136">
        <v>4675</v>
      </c>
      <c r="Z28" s="53">
        <v>3</v>
      </c>
      <c r="AA28" s="53">
        <v>56</v>
      </c>
    </row>
    <row r="29" spans="1:27">
      <c r="A29" s="86" t="s">
        <v>214</v>
      </c>
      <c r="B29" s="60">
        <v>22</v>
      </c>
      <c r="C29" s="181" t="str">
        <f t="shared" si="0"/>
        <v>{1,222},{3,1620},{56,100}</v>
      </c>
      <c r="D29" s="182" t="str">
        <f t="shared" si="1"/>
        <v>{1,276},{3,2206},{56,100}</v>
      </c>
      <c r="E29" s="122" t="str">
        <f t="shared" si="2"/>
        <v>{1,341},{3,2892},{56,100}</v>
      </c>
      <c r="F29" s="183" t="str">
        <f t="shared" si="3"/>
        <v>{1,427},{3,3740},{56,100}</v>
      </c>
      <c r="G29" s="184" t="str">
        <f t="shared" si="4"/>
        <v>{1,536},{3,4750},{56,100}</v>
      </c>
      <c r="J29" s="55" t="s">
        <v>2121</v>
      </c>
      <c r="K29" s="55" t="str">
        <f t="shared" si="5"/>
        <v>{1,940},{3,5640},{56,100}</v>
      </c>
      <c r="N29" s="60">
        <v>22</v>
      </c>
      <c r="O29" s="180">
        <v>222</v>
      </c>
      <c r="P29" s="172">
        <v>276</v>
      </c>
      <c r="Q29" s="174">
        <v>341</v>
      </c>
      <c r="R29" s="176">
        <v>427</v>
      </c>
      <c r="S29" s="178">
        <v>536</v>
      </c>
      <c r="T29" s="53">
        <v>1</v>
      </c>
      <c r="U29" s="139">
        <v>1620</v>
      </c>
      <c r="V29" s="141">
        <v>2206</v>
      </c>
      <c r="W29" s="157">
        <v>2892</v>
      </c>
      <c r="X29" s="158">
        <v>3740</v>
      </c>
      <c r="Y29" s="136">
        <v>4750</v>
      </c>
      <c r="Z29" s="53">
        <v>3</v>
      </c>
      <c r="AA29" s="53">
        <v>56</v>
      </c>
    </row>
    <row r="30" spans="1:27">
      <c r="A30" s="86" t="s">
        <v>215</v>
      </c>
      <c r="B30" s="60">
        <v>23</v>
      </c>
      <c r="C30" s="181" t="str">
        <f t="shared" si="0"/>
        <v>{1,228},{3,1650},{56,100}</v>
      </c>
      <c r="D30" s="182" t="str">
        <f t="shared" si="1"/>
        <v>{1,284},{3,2245},{56,100}</v>
      </c>
      <c r="E30" s="122" t="str">
        <f t="shared" si="2"/>
        <v>{1,349},{3,2940},{56,100}</v>
      </c>
      <c r="F30" s="183" t="str">
        <f t="shared" si="3"/>
        <v>{1,438},{3,3800},{56,100}</v>
      </c>
      <c r="G30" s="184" t="str">
        <f t="shared" si="4"/>
        <v>{1,549},{3,4825},{56,100}</v>
      </c>
      <c r="J30" s="55" t="s">
        <v>2121</v>
      </c>
      <c r="K30" s="55" t="str">
        <f t="shared" si="5"/>
        <v>{1,980},{3,5880},{56,100}</v>
      </c>
      <c r="N30" s="60">
        <v>23</v>
      </c>
      <c r="O30" s="180">
        <v>228</v>
      </c>
      <c r="P30" s="172">
        <v>284</v>
      </c>
      <c r="Q30" s="174">
        <v>349</v>
      </c>
      <c r="R30" s="176">
        <v>438</v>
      </c>
      <c r="S30" s="178">
        <v>549</v>
      </c>
      <c r="T30" s="53">
        <v>1</v>
      </c>
      <c r="U30" s="139">
        <v>1650</v>
      </c>
      <c r="V30" s="141">
        <v>2245</v>
      </c>
      <c r="W30" s="157">
        <v>2940</v>
      </c>
      <c r="X30" s="158">
        <v>3800</v>
      </c>
      <c r="Y30" s="136">
        <v>4825</v>
      </c>
      <c r="Z30" s="53">
        <v>3</v>
      </c>
      <c r="AA30" s="53">
        <v>56</v>
      </c>
    </row>
    <row r="31" spans="1:27">
      <c r="A31" s="86" t="s">
        <v>216</v>
      </c>
      <c r="B31" s="60">
        <v>24</v>
      </c>
      <c r="C31" s="181" t="str">
        <f t="shared" si="0"/>
        <v>{1,234},{3,1680},{56,100}</v>
      </c>
      <c r="D31" s="182" t="str">
        <f t="shared" si="1"/>
        <v>{1,291},{3,2284},{56,100}</v>
      </c>
      <c r="E31" s="122" t="str">
        <f t="shared" si="2"/>
        <v>{1,358},{3,2988},{56,100}</v>
      </c>
      <c r="F31" s="183" t="str">
        <f t="shared" si="3"/>
        <v>{1,448},{3,3860},{56,100}</v>
      </c>
      <c r="G31" s="184" t="str">
        <f t="shared" si="4"/>
        <v>{1,561},{3,4900},{56,100}</v>
      </c>
      <c r="J31" s="55" t="s">
        <v>2121</v>
      </c>
      <c r="K31" s="55" t="str">
        <f t="shared" si="5"/>
        <v>{1,1020},{3,6120},{56,100}</v>
      </c>
      <c r="N31" s="60">
        <v>24</v>
      </c>
      <c r="O31" s="180">
        <v>234</v>
      </c>
      <c r="P31" s="172">
        <v>291</v>
      </c>
      <c r="Q31" s="174">
        <v>358</v>
      </c>
      <c r="R31" s="176">
        <v>448</v>
      </c>
      <c r="S31" s="178">
        <v>561</v>
      </c>
      <c r="T31" s="53">
        <v>1</v>
      </c>
      <c r="U31" s="139">
        <v>1680</v>
      </c>
      <c r="V31" s="141">
        <v>2284</v>
      </c>
      <c r="W31" s="157">
        <v>2988</v>
      </c>
      <c r="X31" s="158">
        <v>3860</v>
      </c>
      <c r="Y31" s="136">
        <v>4900</v>
      </c>
      <c r="Z31" s="53">
        <v>3</v>
      </c>
      <c r="AA31" s="53">
        <v>56</v>
      </c>
    </row>
    <row r="32" spans="1:27">
      <c r="A32" s="86" t="s">
        <v>217</v>
      </c>
      <c r="B32" s="60">
        <v>25</v>
      </c>
      <c r="C32" s="181" t="str">
        <f t="shared" si="0"/>
        <v>{1,240},{3,1710},{56,100}</v>
      </c>
      <c r="D32" s="182" t="str">
        <f t="shared" si="1"/>
        <v>{1,298},{3,2323},{56,100}</v>
      </c>
      <c r="E32" s="122" t="str">
        <f t="shared" si="2"/>
        <v>{1,366},{3,3036},{56,100}</v>
      </c>
      <c r="F32" s="183" t="str">
        <f t="shared" si="3"/>
        <v>{1,458},{3,3920},{56,100}</v>
      </c>
      <c r="G32" s="184" t="str">
        <f t="shared" si="4"/>
        <v>{1,574},{3,4975},{56,100}</v>
      </c>
      <c r="J32" s="55" t="s">
        <v>2121</v>
      </c>
      <c r="K32" s="55" t="str">
        <f t="shared" si="5"/>
        <v>{1,1060},{3,6360},{56,100}</v>
      </c>
      <c r="N32" s="60">
        <v>25</v>
      </c>
      <c r="O32" s="180">
        <v>240</v>
      </c>
      <c r="P32" s="172">
        <v>298</v>
      </c>
      <c r="Q32" s="174">
        <v>366</v>
      </c>
      <c r="R32" s="176">
        <v>458</v>
      </c>
      <c r="S32" s="178">
        <v>574</v>
      </c>
      <c r="T32" s="53">
        <v>1</v>
      </c>
      <c r="U32" s="139">
        <v>1710</v>
      </c>
      <c r="V32" s="141">
        <v>2323</v>
      </c>
      <c r="W32" s="157">
        <v>3036</v>
      </c>
      <c r="X32" s="158">
        <v>3920</v>
      </c>
      <c r="Y32" s="136">
        <v>4975</v>
      </c>
      <c r="Z32" s="53">
        <v>3</v>
      </c>
      <c r="AA32" s="53">
        <v>56</v>
      </c>
    </row>
    <row r="33" spans="1:27">
      <c r="A33" s="86" t="s">
        <v>218</v>
      </c>
      <c r="B33" s="60">
        <v>26</v>
      </c>
      <c r="C33" s="181" t="str">
        <f t="shared" si="0"/>
        <v>{1,246},{3,1740},{56,100}</v>
      </c>
      <c r="D33" s="182" t="str">
        <f t="shared" si="1"/>
        <v>{1,305},{3,2362},{56,100}</v>
      </c>
      <c r="E33" s="122" t="str">
        <f t="shared" si="2"/>
        <v>{1,374},{3,3084},{56,100}</v>
      </c>
      <c r="F33" s="183" t="str">
        <f t="shared" si="3"/>
        <v>{1,468},{3,3980},{56,100}</v>
      </c>
      <c r="G33" s="184" t="str">
        <f t="shared" si="4"/>
        <v>{1,587},{3,5050},{56,100}</v>
      </c>
      <c r="J33" s="55" t="s">
        <v>2121</v>
      </c>
      <c r="K33" s="55" t="str">
        <f t="shared" si="5"/>
        <v>{1,1100},{3,6600},{56,100}</v>
      </c>
      <c r="N33" s="60">
        <v>26</v>
      </c>
      <c r="O33" s="180">
        <v>246</v>
      </c>
      <c r="P33" s="172">
        <v>305</v>
      </c>
      <c r="Q33" s="174">
        <v>374</v>
      </c>
      <c r="R33" s="176">
        <v>468</v>
      </c>
      <c r="S33" s="178">
        <v>587</v>
      </c>
      <c r="T33" s="53">
        <v>1</v>
      </c>
      <c r="U33" s="139">
        <v>1740</v>
      </c>
      <c r="V33" s="141">
        <v>2362</v>
      </c>
      <c r="W33" s="157">
        <v>3084</v>
      </c>
      <c r="X33" s="158">
        <v>3980</v>
      </c>
      <c r="Y33" s="136">
        <v>5050</v>
      </c>
      <c r="Z33" s="53">
        <v>3</v>
      </c>
      <c r="AA33" s="53">
        <v>56</v>
      </c>
    </row>
    <row r="34" spans="1:27">
      <c r="A34" s="86" t="s">
        <v>219</v>
      </c>
      <c r="B34" s="60">
        <v>27</v>
      </c>
      <c r="C34" s="181" t="str">
        <f t="shared" si="0"/>
        <v>{1,252},{3,1770},{56,100}</v>
      </c>
      <c r="D34" s="182" t="str">
        <f t="shared" si="1"/>
        <v>{1,312},{3,2401},{56,100}</v>
      </c>
      <c r="E34" s="122" t="str">
        <f t="shared" si="2"/>
        <v>{1,383},{3,3132},{56,100}</v>
      </c>
      <c r="F34" s="183" t="str">
        <f t="shared" si="3"/>
        <v>{1,478},{3,4040},{56,100}</v>
      </c>
      <c r="G34" s="184" t="str">
        <f t="shared" si="4"/>
        <v>{1,599},{3,5125},{56,100}</v>
      </c>
      <c r="J34" s="55" t="s">
        <v>2121</v>
      </c>
      <c r="K34" s="55" t="str">
        <f t="shared" si="5"/>
        <v>{1,1140},{3,6840},{56,100}</v>
      </c>
      <c r="N34" s="60">
        <v>27</v>
      </c>
      <c r="O34" s="180">
        <v>252</v>
      </c>
      <c r="P34" s="172">
        <v>312</v>
      </c>
      <c r="Q34" s="174">
        <v>383</v>
      </c>
      <c r="R34" s="176">
        <v>478</v>
      </c>
      <c r="S34" s="178">
        <v>599</v>
      </c>
      <c r="T34" s="53">
        <v>1</v>
      </c>
      <c r="U34" s="139">
        <v>1770</v>
      </c>
      <c r="V34" s="141">
        <v>2401</v>
      </c>
      <c r="W34" s="157">
        <v>3132</v>
      </c>
      <c r="X34" s="158">
        <v>4040</v>
      </c>
      <c r="Y34" s="136">
        <v>5125</v>
      </c>
      <c r="Z34" s="53">
        <v>3</v>
      </c>
      <c r="AA34" s="53">
        <v>56</v>
      </c>
    </row>
    <row r="35" spans="1:27">
      <c r="A35" s="86" t="s">
        <v>220</v>
      </c>
      <c r="B35" s="60">
        <v>28</v>
      </c>
      <c r="C35" s="181" t="str">
        <f t="shared" si="0"/>
        <v>{1,258},{3,1800},{56,100}</v>
      </c>
      <c r="D35" s="182" t="str">
        <f t="shared" si="1"/>
        <v>{1,320},{3,2440},{56,100}</v>
      </c>
      <c r="E35" s="122" t="str">
        <f t="shared" si="2"/>
        <v>{1,391},{3,3180},{56,100}</v>
      </c>
      <c r="F35" s="183" t="str">
        <f t="shared" si="3"/>
        <v>{1,489},{3,4100},{56,100}</v>
      </c>
      <c r="G35" s="184" t="str">
        <f t="shared" si="4"/>
        <v>{1,612},{3,5200},{56,100}</v>
      </c>
      <c r="J35" s="55" t="s">
        <v>2121</v>
      </c>
      <c r="K35" s="55" t="str">
        <f t="shared" si="5"/>
        <v>{1,1180},{3,7080},{56,100}</v>
      </c>
      <c r="N35" s="60">
        <v>28</v>
      </c>
      <c r="O35" s="180">
        <v>258</v>
      </c>
      <c r="P35" s="172">
        <v>320</v>
      </c>
      <c r="Q35" s="174">
        <v>391</v>
      </c>
      <c r="R35" s="176">
        <v>489</v>
      </c>
      <c r="S35" s="178">
        <v>612</v>
      </c>
      <c r="T35" s="53">
        <v>1</v>
      </c>
      <c r="U35" s="139">
        <v>1800</v>
      </c>
      <c r="V35" s="141">
        <v>2440</v>
      </c>
      <c r="W35" s="157">
        <v>3180</v>
      </c>
      <c r="X35" s="158">
        <v>4100</v>
      </c>
      <c r="Y35" s="136">
        <v>5200</v>
      </c>
      <c r="Z35" s="53">
        <v>3</v>
      </c>
      <c r="AA35" s="53">
        <v>56</v>
      </c>
    </row>
    <row r="36" spans="1:27">
      <c r="A36" s="86" t="s">
        <v>221</v>
      </c>
      <c r="B36" s="60">
        <v>29</v>
      </c>
      <c r="C36" s="181" t="str">
        <f t="shared" si="0"/>
        <v>{1,264},{3,1830},{56,100}</v>
      </c>
      <c r="D36" s="182" t="str">
        <f t="shared" si="1"/>
        <v>{1,327},{3,2479},{56,100}</v>
      </c>
      <c r="E36" s="122" t="str">
        <f t="shared" si="2"/>
        <v>{1,400},{3,3228},{56,100}</v>
      </c>
      <c r="F36" s="183" t="str">
        <f t="shared" si="3"/>
        <v>{1,499},{3,4160},{56,100}</v>
      </c>
      <c r="G36" s="184" t="str">
        <f t="shared" si="4"/>
        <v>{1,624},{3,5275},{56,100}</v>
      </c>
      <c r="J36" s="55" t="s">
        <v>2121</v>
      </c>
      <c r="K36" s="55" t="str">
        <f t="shared" si="5"/>
        <v>{1,1220},{3,7320},{56,100}</v>
      </c>
      <c r="N36" s="60">
        <v>29</v>
      </c>
      <c r="O36" s="180">
        <v>264</v>
      </c>
      <c r="P36" s="172">
        <v>327</v>
      </c>
      <c r="Q36" s="174">
        <v>400</v>
      </c>
      <c r="R36" s="176">
        <v>499</v>
      </c>
      <c r="S36" s="178">
        <v>624</v>
      </c>
      <c r="T36" s="53">
        <v>1</v>
      </c>
      <c r="U36" s="139">
        <v>1830</v>
      </c>
      <c r="V36" s="141">
        <v>2479</v>
      </c>
      <c r="W36" s="157">
        <v>3228</v>
      </c>
      <c r="X36" s="158">
        <v>4160</v>
      </c>
      <c r="Y36" s="136">
        <v>5275</v>
      </c>
      <c r="Z36" s="53">
        <v>3</v>
      </c>
      <c r="AA36" s="53">
        <v>56</v>
      </c>
    </row>
    <row r="37" spans="1:27">
      <c r="A37" s="86" t="s">
        <v>222</v>
      </c>
      <c r="B37" s="60">
        <v>30</v>
      </c>
      <c r="C37" s="181" t="str">
        <f t="shared" si="0"/>
        <v>{1,270},{3,1860},{56,100}</v>
      </c>
      <c r="D37" s="182" t="str">
        <f t="shared" si="1"/>
        <v>{1,334},{3,2518},{56,100}</v>
      </c>
      <c r="E37" s="122" t="str">
        <f t="shared" si="2"/>
        <v>{1,408},{3,3276},{56,100}</v>
      </c>
      <c r="F37" s="183" t="str">
        <f t="shared" si="3"/>
        <v>{1,509},{3,4220},{56,100}</v>
      </c>
      <c r="G37" s="184" t="str">
        <f t="shared" si="4"/>
        <v>{1,637},{3,5350},{56,100}</v>
      </c>
      <c r="J37" s="55" t="s">
        <v>2121</v>
      </c>
      <c r="K37" s="55" t="str">
        <f t="shared" si="5"/>
        <v>{1,1260},{3,7560},{56,100}</v>
      </c>
      <c r="N37" s="60">
        <v>30</v>
      </c>
      <c r="O37" s="180">
        <v>270</v>
      </c>
      <c r="P37" s="172">
        <v>334</v>
      </c>
      <c r="Q37" s="174">
        <v>408</v>
      </c>
      <c r="R37" s="176">
        <v>509</v>
      </c>
      <c r="S37" s="178">
        <v>637</v>
      </c>
      <c r="T37" s="53">
        <v>1</v>
      </c>
      <c r="U37" s="139">
        <v>1860</v>
      </c>
      <c r="V37" s="141">
        <v>2518</v>
      </c>
      <c r="W37" s="157">
        <v>3276</v>
      </c>
      <c r="X37" s="158">
        <v>4220</v>
      </c>
      <c r="Y37" s="136">
        <v>5350</v>
      </c>
      <c r="Z37" s="53">
        <v>3</v>
      </c>
      <c r="AA37" s="53">
        <v>56</v>
      </c>
    </row>
    <row r="38" spans="1:27">
      <c r="A38" s="86" t="s">
        <v>223</v>
      </c>
      <c r="B38" s="60">
        <v>31</v>
      </c>
      <c r="C38" s="181" t="str">
        <f t="shared" si="0"/>
        <v>{1,276},{3,1890},{56,100}</v>
      </c>
      <c r="D38" s="182" t="str">
        <f t="shared" si="1"/>
        <v>{1,341},{3,2557},{56,100}</v>
      </c>
      <c r="E38" s="122" t="str">
        <f t="shared" si="2"/>
        <v>{1,416},{3,3324},{56,100}</v>
      </c>
      <c r="F38" s="183" t="str">
        <f t="shared" si="3"/>
        <v>{1,519},{3,4280},{56,100}</v>
      </c>
      <c r="G38" s="184" t="str">
        <f t="shared" si="4"/>
        <v>{1,650},{3,5425},{56,100}</v>
      </c>
      <c r="J38" s="55" t="s">
        <v>2121</v>
      </c>
      <c r="K38" s="55" t="str">
        <f t="shared" si="5"/>
        <v>{1,1300},{3,7800},{56,100}</v>
      </c>
      <c r="N38" s="60">
        <v>31</v>
      </c>
      <c r="O38" s="180">
        <v>276</v>
      </c>
      <c r="P38" s="172">
        <v>341</v>
      </c>
      <c r="Q38" s="174">
        <v>416</v>
      </c>
      <c r="R38" s="176">
        <v>519</v>
      </c>
      <c r="S38" s="178">
        <v>650</v>
      </c>
      <c r="T38" s="53">
        <v>1</v>
      </c>
      <c r="U38" s="139">
        <v>1890</v>
      </c>
      <c r="V38" s="141">
        <v>2557</v>
      </c>
      <c r="W38" s="157">
        <v>3324</v>
      </c>
      <c r="X38" s="158">
        <v>4280</v>
      </c>
      <c r="Y38" s="136">
        <v>5425</v>
      </c>
      <c r="Z38" s="53">
        <v>3</v>
      </c>
      <c r="AA38" s="53">
        <v>56</v>
      </c>
    </row>
    <row r="39" spans="1:27">
      <c r="A39" s="86" t="s">
        <v>224</v>
      </c>
      <c r="B39" s="60">
        <v>32</v>
      </c>
      <c r="C39" s="181" t="str">
        <f t="shared" si="0"/>
        <v>{1,282},{3,1920},{56,100}</v>
      </c>
      <c r="D39" s="182" t="str">
        <f t="shared" si="1"/>
        <v>{1,348},{3,2596},{56,100}</v>
      </c>
      <c r="E39" s="122" t="str">
        <f t="shared" si="2"/>
        <v>{1,425},{3,3372},{56,100}</v>
      </c>
      <c r="F39" s="183" t="str">
        <f t="shared" si="3"/>
        <v>{1,529},{3,4340},{56,100}</v>
      </c>
      <c r="G39" s="184" t="str">
        <f t="shared" si="4"/>
        <v>{1,662},{3,5500},{56,100}</v>
      </c>
      <c r="J39" s="55" t="s">
        <v>2121</v>
      </c>
      <c r="K39" s="55" t="str">
        <f t="shared" si="5"/>
        <v>{1,1340},{3,8040},{56,100}</v>
      </c>
      <c r="N39" s="60">
        <v>32</v>
      </c>
      <c r="O39" s="180">
        <v>282</v>
      </c>
      <c r="P39" s="172">
        <v>348</v>
      </c>
      <c r="Q39" s="174">
        <v>425</v>
      </c>
      <c r="R39" s="176">
        <v>529</v>
      </c>
      <c r="S39" s="178">
        <v>662</v>
      </c>
      <c r="T39" s="53">
        <v>1</v>
      </c>
      <c r="U39" s="139">
        <v>1920</v>
      </c>
      <c r="V39" s="141">
        <v>2596</v>
      </c>
      <c r="W39" s="157">
        <v>3372</v>
      </c>
      <c r="X39" s="158">
        <v>4340</v>
      </c>
      <c r="Y39" s="136">
        <v>5500</v>
      </c>
      <c r="Z39" s="53">
        <v>3</v>
      </c>
      <c r="AA39" s="53">
        <v>56</v>
      </c>
    </row>
    <row r="40" spans="1:27">
      <c r="A40" s="86" t="s">
        <v>225</v>
      </c>
      <c r="B40" s="60">
        <v>33</v>
      </c>
      <c r="C40" s="181" t="str">
        <f t="shared" si="0"/>
        <v>{1,288},{3,1950},{56,100}</v>
      </c>
      <c r="D40" s="182" t="str">
        <f t="shared" si="1"/>
        <v>{1,356},{3,2635},{56,100}</v>
      </c>
      <c r="E40" s="122" t="str">
        <f t="shared" si="2"/>
        <v>{1,433},{3,3420},{56,100}</v>
      </c>
      <c r="F40" s="183" t="str">
        <f t="shared" si="3"/>
        <v>{1,540},{3,4400},{56,100}</v>
      </c>
      <c r="G40" s="184" t="str">
        <f t="shared" si="4"/>
        <v>{1,675},{3,5575},{56,100}</v>
      </c>
      <c r="J40" s="55" t="s">
        <v>2121</v>
      </c>
      <c r="K40" s="55" t="str">
        <f t="shared" si="5"/>
        <v>{1,1380},{3,8280},{56,100}</v>
      </c>
      <c r="N40" s="60">
        <v>33</v>
      </c>
      <c r="O40" s="180">
        <v>288</v>
      </c>
      <c r="P40" s="172">
        <v>356</v>
      </c>
      <c r="Q40" s="174">
        <v>433</v>
      </c>
      <c r="R40" s="176">
        <v>540</v>
      </c>
      <c r="S40" s="178">
        <v>675</v>
      </c>
      <c r="T40" s="53">
        <v>1</v>
      </c>
      <c r="U40" s="139">
        <v>1950</v>
      </c>
      <c r="V40" s="141">
        <v>2635</v>
      </c>
      <c r="W40" s="157">
        <v>3420</v>
      </c>
      <c r="X40" s="158">
        <v>4400</v>
      </c>
      <c r="Y40" s="136">
        <v>5575</v>
      </c>
      <c r="Z40" s="53">
        <v>3</v>
      </c>
      <c r="AA40" s="53">
        <v>56</v>
      </c>
    </row>
    <row r="41" spans="1:27">
      <c r="A41" s="86" t="s">
        <v>226</v>
      </c>
      <c r="B41" s="60">
        <v>34</v>
      </c>
      <c r="C41" s="181" t="str">
        <f t="shared" si="0"/>
        <v>{1,294},{3,1980},{56,100}</v>
      </c>
      <c r="D41" s="182" t="str">
        <f t="shared" si="1"/>
        <v>{1,363},{3,2674},{56,100}</v>
      </c>
      <c r="E41" s="122" t="str">
        <f t="shared" si="2"/>
        <v>{1,442},{3,3468},{56,100}</v>
      </c>
      <c r="F41" s="183" t="str">
        <f t="shared" si="3"/>
        <v>{1,550},{3,4460},{56,100}</v>
      </c>
      <c r="G41" s="184" t="str">
        <f t="shared" si="4"/>
        <v>{1,687},{3,5650},{56,100}</v>
      </c>
      <c r="J41" s="55" t="s">
        <v>2121</v>
      </c>
      <c r="K41" s="55" t="str">
        <f t="shared" si="5"/>
        <v>{1,1420},{3,8520},{56,100}</v>
      </c>
      <c r="N41" s="60">
        <v>34</v>
      </c>
      <c r="O41" s="180">
        <v>294</v>
      </c>
      <c r="P41" s="172">
        <v>363</v>
      </c>
      <c r="Q41" s="174">
        <v>442</v>
      </c>
      <c r="R41" s="176">
        <v>550</v>
      </c>
      <c r="S41" s="178">
        <v>687</v>
      </c>
      <c r="T41" s="53">
        <v>1</v>
      </c>
      <c r="U41" s="139">
        <v>1980</v>
      </c>
      <c r="V41" s="141">
        <v>2674</v>
      </c>
      <c r="W41" s="157">
        <v>3468</v>
      </c>
      <c r="X41" s="158">
        <v>4460</v>
      </c>
      <c r="Y41" s="136">
        <v>5650</v>
      </c>
      <c r="Z41" s="53">
        <v>3</v>
      </c>
      <c r="AA41" s="53">
        <v>56</v>
      </c>
    </row>
    <row r="42" spans="1:27">
      <c r="A42" s="86" t="s">
        <v>227</v>
      </c>
      <c r="B42" s="60">
        <v>35</v>
      </c>
      <c r="C42" s="181" t="str">
        <f t="shared" si="0"/>
        <v>{1,300},{3,2010},{56,100}</v>
      </c>
      <c r="D42" s="182" t="str">
        <f t="shared" si="1"/>
        <v>{1,370},{3,2713},{56,100}</v>
      </c>
      <c r="E42" s="122" t="str">
        <f t="shared" si="2"/>
        <v>{1,450},{3,3516},{56,100}</v>
      </c>
      <c r="F42" s="183" t="str">
        <f t="shared" si="3"/>
        <v>{1,560},{3,4520},{56,100}</v>
      </c>
      <c r="G42" s="184" t="str">
        <f t="shared" si="4"/>
        <v>{1,700},{3,5725},{56,100}</v>
      </c>
      <c r="J42" s="55" t="s">
        <v>2121</v>
      </c>
      <c r="K42" s="55" t="str">
        <f t="shared" si="5"/>
        <v>{1,1460},{3,8760},{56,100}</v>
      </c>
      <c r="N42" s="60">
        <v>35</v>
      </c>
      <c r="O42" s="180">
        <v>300</v>
      </c>
      <c r="P42" s="172">
        <v>370</v>
      </c>
      <c r="Q42" s="174">
        <v>450</v>
      </c>
      <c r="R42" s="176">
        <v>560</v>
      </c>
      <c r="S42" s="178">
        <v>700</v>
      </c>
      <c r="T42" s="53">
        <v>1</v>
      </c>
      <c r="U42" s="139">
        <v>2010</v>
      </c>
      <c r="V42" s="141">
        <v>2713</v>
      </c>
      <c r="W42" s="157">
        <v>3516</v>
      </c>
      <c r="X42" s="158">
        <v>4520</v>
      </c>
      <c r="Y42" s="136">
        <v>5725</v>
      </c>
      <c r="Z42" s="53">
        <v>3</v>
      </c>
      <c r="AA42" s="53">
        <v>56</v>
      </c>
    </row>
    <row r="43" spans="1:27">
      <c r="A43" s="86" t="s">
        <v>228</v>
      </c>
      <c r="B43" s="60">
        <v>36</v>
      </c>
      <c r="C43" s="181" t="str">
        <f t="shared" si="0"/>
        <v>{1,306},{3,2040},{56,100}</v>
      </c>
      <c r="D43" s="182" t="str">
        <f t="shared" si="1"/>
        <v>{1,377},{3,2752},{56,100}</v>
      </c>
      <c r="E43" s="122" t="str">
        <f t="shared" si="2"/>
        <v>{1,458},{3,3564},{56,100}</v>
      </c>
      <c r="F43" s="183" t="str">
        <f t="shared" si="3"/>
        <v>{1,570},{3,4580},{56,100}</v>
      </c>
      <c r="G43" s="184" t="str">
        <f t="shared" si="4"/>
        <v>{1,713},{3,5800},{56,100}</v>
      </c>
      <c r="J43" s="55" t="s">
        <v>2121</v>
      </c>
      <c r="K43" s="55" t="str">
        <f t="shared" si="5"/>
        <v>{1,1500},{3,9000},{56,100}</v>
      </c>
      <c r="N43" s="60">
        <v>36</v>
      </c>
      <c r="O43" s="180">
        <v>306</v>
      </c>
      <c r="P43" s="172">
        <v>377</v>
      </c>
      <c r="Q43" s="174">
        <v>458</v>
      </c>
      <c r="R43" s="176">
        <v>570</v>
      </c>
      <c r="S43" s="178">
        <v>713</v>
      </c>
      <c r="T43" s="53">
        <v>1</v>
      </c>
      <c r="U43" s="139">
        <v>2040</v>
      </c>
      <c r="V43" s="141">
        <v>2752</v>
      </c>
      <c r="W43" s="157">
        <v>3564</v>
      </c>
      <c r="X43" s="158">
        <v>4580</v>
      </c>
      <c r="Y43" s="136">
        <v>5800</v>
      </c>
      <c r="Z43" s="53">
        <v>3</v>
      </c>
      <c r="AA43" s="53">
        <v>56</v>
      </c>
    </row>
    <row r="44" spans="1:27">
      <c r="A44" s="86" t="s">
        <v>229</v>
      </c>
      <c r="B44" s="60">
        <v>37</v>
      </c>
      <c r="C44" s="181" t="str">
        <f t="shared" si="0"/>
        <v>{1,312},{3,2070},{56,100}</v>
      </c>
      <c r="D44" s="182" t="str">
        <f t="shared" si="1"/>
        <v>{1,384},{3,2791},{56,100}</v>
      </c>
      <c r="E44" s="122" t="str">
        <f t="shared" si="2"/>
        <v>{1,467},{3,3612},{56,100}</v>
      </c>
      <c r="F44" s="183" t="str">
        <f t="shared" si="3"/>
        <v>{1,580},{3,4640},{56,100}</v>
      </c>
      <c r="G44" s="184" t="str">
        <f t="shared" si="4"/>
        <v>{1,725},{3,5875},{56,100}</v>
      </c>
      <c r="J44" s="55" t="s">
        <v>2121</v>
      </c>
      <c r="K44" s="55" t="str">
        <f t="shared" si="5"/>
        <v>{1,1540},{3,9240},{56,100}</v>
      </c>
      <c r="N44" s="60">
        <v>37</v>
      </c>
      <c r="O44" s="180">
        <v>312</v>
      </c>
      <c r="P44" s="172">
        <v>384</v>
      </c>
      <c r="Q44" s="174">
        <v>467</v>
      </c>
      <c r="R44" s="176">
        <v>580</v>
      </c>
      <c r="S44" s="178">
        <v>725</v>
      </c>
      <c r="T44" s="53">
        <v>1</v>
      </c>
      <c r="U44" s="139">
        <v>2070</v>
      </c>
      <c r="V44" s="141">
        <v>2791</v>
      </c>
      <c r="W44" s="157">
        <v>3612</v>
      </c>
      <c r="X44" s="158">
        <v>4640</v>
      </c>
      <c r="Y44" s="136">
        <v>5875</v>
      </c>
      <c r="Z44" s="53">
        <v>3</v>
      </c>
      <c r="AA44" s="53">
        <v>56</v>
      </c>
    </row>
    <row r="45" spans="1:27">
      <c r="A45" s="86" t="s">
        <v>230</v>
      </c>
      <c r="B45" s="60">
        <v>38</v>
      </c>
      <c r="C45" s="181" t="str">
        <f t="shared" si="0"/>
        <v>{1,318},{3,2100},{56,100}</v>
      </c>
      <c r="D45" s="182" t="str">
        <f t="shared" si="1"/>
        <v>{1,392},{3,2830},{56,100}</v>
      </c>
      <c r="E45" s="122" t="str">
        <f t="shared" si="2"/>
        <v>{1,475},{3,3660},{56,100}</v>
      </c>
      <c r="F45" s="183" t="str">
        <f t="shared" si="3"/>
        <v>{1,591},{3,4700},{56,100}</v>
      </c>
      <c r="G45" s="184" t="str">
        <f t="shared" si="4"/>
        <v>{1,738},{3,5950},{56,100}</v>
      </c>
      <c r="J45" s="55" t="s">
        <v>2121</v>
      </c>
      <c r="K45" s="55" t="str">
        <f t="shared" si="5"/>
        <v>{1,1580},{3,9480},{56,100}</v>
      </c>
      <c r="N45" s="60">
        <v>38</v>
      </c>
      <c r="O45" s="180">
        <v>318</v>
      </c>
      <c r="P45" s="172">
        <v>392</v>
      </c>
      <c r="Q45" s="174">
        <v>475</v>
      </c>
      <c r="R45" s="176">
        <v>591</v>
      </c>
      <c r="S45" s="178">
        <v>738</v>
      </c>
      <c r="T45" s="53">
        <v>1</v>
      </c>
      <c r="U45" s="139">
        <v>2100</v>
      </c>
      <c r="V45" s="141">
        <v>2830</v>
      </c>
      <c r="W45" s="157">
        <v>3660</v>
      </c>
      <c r="X45" s="158">
        <v>4700</v>
      </c>
      <c r="Y45" s="136">
        <v>5950</v>
      </c>
      <c r="Z45" s="53">
        <v>3</v>
      </c>
      <c r="AA45" s="53">
        <v>56</v>
      </c>
    </row>
    <row r="46" spans="1:27">
      <c r="A46" s="86" t="s">
        <v>231</v>
      </c>
      <c r="B46" s="60">
        <v>39</v>
      </c>
      <c r="C46" s="181" t="str">
        <f t="shared" si="0"/>
        <v>{1,324},{3,2130},{56,100}</v>
      </c>
      <c r="D46" s="182" t="str">
        <f t="shared" si="1"/>
        <v>{1,399},{3,2869},{56,100}</v>
      </c>
      <c r="E46" s="122" t="str">
        <f t="shared" si="2"/>
        <v>{1,484},{3,3708},{56,100}</v>
      </c>
      <c r="F46" s="183" t="str">
        <f t="shared" si="3"/>
        <v>{1,601},{3,4760},{56,100}</v>
      </c>
      <c r="G46" s="184" t="str">
        <f t="shared" si="4"/>
        <v>{1,750},{3,6025},{56,100}</v>
      </c>
      <c r="J46" s="55" t="s">
        <v>2121</v>
      </c>
      <c r="K46" s="55" t="str">
        <f t="shared" si="5"/>
        <v>{1,1620},{3,9720},{56,100}</v>
      </c>
      <c r="N46" s="60">
        <v>39</v>
      </c>
      <c r="O46" s="180">
        <v>324</v>
      </c>
      <c r="P46" s="172">
        <v>399</v>
      </c>
      <c r="Q46" s="174">
        <v>484</v>
      </c>
      <c r="R46" s="176">
        <v>601</v>
      </c>
      <c r="S46" s="178">
        <v>750</v>
      </c>
      <c r="T46" s="53">
        <v>1</v>
      </c>
      <c r="U46" s="139">
        <v>2130</v>
      </c>
      <c r="V46" s="141">
        <v>2869</v>
      </c>
      <c r="W46" s="157">
        <v>3708</v>
      </c>
      <c r="X46" s="158">
        <v>4760</v>
      </c>
      <c r="Y46" s="136">
        <v>6025</v>
      </c>
      <c r="Z46" s="53">
        <v>3</v>
      </c>
      <c r="AA46" s="53">
        <v>56</v>
      </c>
    </row>
    <row r="47" spans="1:27">
      <c r="A47" s="87" t="s">
        <v>232</v>
      </c>
      <c r="B47" s="60">
        <v>40</v>
      </c>
      <c r="C47" s="181" t="str">
        <f t="shared" si="0"/>
        <v>{1,354},{3,2430},{56,150}</v>
      </c>
      <c r="D47" s="182" t="str">
        <f t="shared" si="1"/>
        <v>{1,435},{3,3259},{56,150}</v>
      </c>
      <c r="E47" s="122" t="str">
        <f t="shared" si="2"/>
        <v>{1,526},{3,4188},{56,150}</v>
      </c>
      <c r="F47" s="183" t="str">
        <f t="shared" si="3"/>
        <v>{1,652},{3,5360},{56,150}</v>
      </c>
      <c r="G47" s="184" t="str">
        <f t="shared" si="4"/>
        <v>{1,813},{3,6775},{56,150}</v>
      </c>
      <c r="J47" s="55" t="s">
        <v>2122</v>
      </c>
      <c r="K47" s="55" t="str">
        <f t="shared" si="5"/>
        <v>{1,2070},{3,12420},{56,150}</v>
      </c>
      <c r="N47" s="60">
        <v>40</v>
      </c>
      <c r="O47" s="180">
        <v>354</v>
      </c>
      <c r="P47" s="172">
        <v>435</v>
      </c>
      <c r="Q47" s="174">
        <v>526</v>
      </c>
      <c r="R47" s="176">
        <v>652</v>
      </c>
      <c r="S47" s="178">
        <v>813</v>
      </c>
      <c r="T47" s="53">
        <v>1</v>
      </c>
      <c r="U47" s="139">
        <v>2430</v>
      </c>
      <c r="V47" s="141">
        <v>3259</v>
      </c>
      <c r="W47" s="157">
        <v>4188</v>
      </c>
      <c r="X47" s="158">
        <v>5360</v>
      </c>
      <c r="Y47" s="136">
        <v>6775</v>
      </c>
      <c r="Z47" s="53">
        <v>3</v>
      </c>
      <c r="AA47" s="53">
        <v>56</v>
      </c>
    </row>
    <row r="48" spans="1:27">
      <c r="A48" s="86" t="s">
        <v>233</v>
      </c>
      <c r="B48" s="60">
        <v>41</v>
      </c>
      <c r="C48" s="181" t="str">
        <f t="shared" si="0"/>
        <v>{1,361},{3,2470},{56,150}</v>
      </c>
      <c r="D48" s="182" t="str">
        <f t="shared" si="1"/>
        <v>{1,443},{3,3311},{56,150}</v>
      </c>
      <c r="E48" s="122" t="str">
        <f t="shared" si="2"/>
        <v>{1,535},{3,4252},{56,150}</v>
      </c>
      <c r="F48" s="183" t="str">
        <f t="shared" si="3"/>
        <v>{1,664},{3,5440},{56,150}</v>
      </c>
      <c r="G48" s="184" t="str">
        <f t="shared" si="4"/>
        <v>{1,828},{3,6875},{56,150}</v>
      </c>
      <c r="J48" s="55" t="s">
        <v>2122</v>
      </c>
      <c r="K48" s="55" t="str">
        <f t="shared" si="5"/>
        <v>{1,2130},{3,12780},{56,150}</v>
      </c>
      <c r="N48" s="60">
        <v>41</v>
      </c>
      <c r="O48" s="180">
        <v>361</v>
      </c>
      <c r="P48" s="172">
        <v>443</v>
      </c>
      <c r="Q48" s="174">
        <v>535</v>
      </c>
      <c r="R48" s="176">
        <v>664</v>
      </c>
      <c r="S48" s="178">
        <v>828</v>
      </c>
      <c r="T48" s="53">
        <v>1</v>
      </c>
      <c r="U48" s="139">
        <v>2470</v>
      </c>
      <c r="V48" s="141">
        <v>3311</v>
      </c>
      <c r="W48" s="157">
        <v>4252</v>
      </c>
      <c r="X48" s="158">
        <v>5440</v>
      </c>
      <c r="Y48" s="136">
        <v>6875</v>
      </c>
      <c r="Z48" s="53">
        <v>3</v>
      </c>
      <c r="AA48" s="53">
        <v>56</v>
      </c>
    </row>
    <row r="49" spans="1:27">
      <c r="A49" s="86" t="s">
        <v>234</v>
      </c>
      <c r="B49" s="60">
        <v>42</v>
      </c>
      <c r="C49" s="181" t="str">
        <f t="shared" si="0"/>
        <v>{1,368},{3,2510},{56,150}</v>
      </c>
      <c r="D49" s="182" t="str">
        <f t="shared" si="1"/>
        <v>{1,452},{3,3363},{56,150}</v>
      </c>
      <c r="E49" s="122" t="str">
        <f t="shared" si="2"/>
        <v>{1,545},{3,4316},{56,150}</v>
      </c>
      <c r="F49" s="183" t="str">
        <f t="shared" si="3"/>
        <v>{1,676},{3,5520},{56,150}</v>
      </c>
      <c r="G49" s="184" t="str">
        <f t="shared" si="4"/>
        <v>{1,843},{3,6975},{56,150}</v>
      </c>
      <c r="J49" s="55" t="s">
        <v>2122</v>
      </c>
      <c r="K49" s="55" t="str">
        <f t="shared" si="5"/>
        <v>{1,2190},{3,13140},{56,150}</v>
      </c>
      <c r="N49" s="60">
        <v>42</v>
      </c>
      <c r="O49" s="180">
        <v>368</v>
      </c>
      <c r="P49" s="172">
        <v>452</v>
      </c>
      <c r="Q49" s="174">
        <v>545</v>
      </c>
      <c r="R49" s="176">
        <v>676</v>
      </c>
      <c r="S49" s="178">
        <v>843</v>
      </c>
      <c r="T49" s="53">
        <v>1</v>
      </c>
      <c r="U49" s="139">
        <v>2510</v>
      </c>
      <c r="V49" s="141">
        <v>3363</v>
      </c>
      <c r="W49" s="157">
        <v>4316</v>
      </c>
      <c r="X49" s="158">
        <v>5520</v>
      </c>
      <c r="Y49" s="136">
        <v>6975</v>
      </c>
      <c r="Z49" s="53">
        <v>3</v>
      </c>
      <c r="AA49" s="53">
        <v>56</v>
      </c>
    </row>
    <row r="50" spans="1:27">
      <c r="A50" s="86" t="s">
        <v>235</v>
      </c>
      <c r="B50" s="60">
        <v>43</v>
      </c>
      <c r="C50" s="181" t="str">
        <f t="shared" si="0"/>
        <v>{1,375},{3,2550},{56,150}</v>
      </c>
      <c r="D50" s="182" t="str">
        <f t="shared" si="1"/>
        <v>{1,460},{3,3415},{56,150}</v>
      </c>
      <c r="E50" s="122" t="str">
        <f t="shared" si="2"/>
        <v>{1,555},{3,4380},{56,150}</v>
      </c>
      <c r="F50" s="183" t="str">
        <f t="shared" si="3"/>
        <v>{1,688},{3,5600},{56,150}</v>
      </c>
      <c r="G50" s="184" t="str">
        <f t="shared" si="4"/>
        <v>{1,858},{3,7075},{56,150}</v>
      </c>
      <c r="J50" s="55" t="s">
        <v>2122</v>
      </c>
      <c r="K50" s="55" t="str">
        <f t="shared" si="5"/>
        <v>{1,2250},{3,13500},{56,150}</v>
      </c>
      <c r="N50" s="60">
        <v>43</v>
      </c>
      <c r="O50" s="180">
        <v>375</v>
      </c>
      <c r="P50" s="172">
        <v>460</v>
      </c>
      <c r="Q50" s="174">
        <v>555</v>
      </c>
      <c r="R50" s="176">
        <v>688</v>
      </c>
      <c r="S50" s="178">
        <v>858</v>
      </c>
      <c r="T50" s="53">
        <v>1</v>
      </c>
      <c r="U50" s="139">
        <v>2550</v>
      </c>
      <c r="V50" s="141">
        <v>3415</v>
      </c>
      <c r="W50" s="157">
        <v>4380</v>
      </c>
      <c r="X50" s="158">
        <v>5600</v>
      </c>
      <c r="Y50" s="136">
        <v>7075</v>
      </c>
      <c r="Z50" s="53">
        <v>3</v>
      </c>
      <c r="AA50" s="53">
        <v>56</v>
      </c>
    </row>
    <row r="51" spans="1:27">
      <c r="A51" s="86" t="s">
        <v>236</v>
      </c>
      <c r="B51" s="60">
        <v>44</v>
      </c>
      <c r="C51" s="181" t="str">
        <f t="shared" si="0"/>
        <v>{1,382},{3,2590},{56,150}</v>
      </c>
      <c r="D51" s="182" t="str">
        <f t="shared" si="1"/>
        <v>{1,468},{3,3467},{56,150}</v>
      </c>
      <c r="E51" s="122" t="str">
        <f t="shared" si="2"/>
        <v>{1,565},{3,4444},{56,150}</v>
      </c>
      <c r="F51" s="183" t="str">
        <f t="shared" si="3"/>
        <v>{1,699},{3,5680},{56,150}</v>
      </c>
      <c r="G51" s="184" t="str">
        <f t="shared" si="4"/>
        <v>{1,872},{3,7175},{56,150}</v>
      </c>
      <c r="J51" s="55" t="s">
        <v>2122</v>
      </c>
      <c r="K51" s="55" t="str">
        <f t="shared" si="5"/>
        <v>{1,2310},{3,13860},{56,150}</v>
      </c>
      <c r="N51" s="60">
        <v>44</v>
      </c>
      <c r="O51" s="180">
        <v>382</v>
      </c>
      <c r="P51" s="172">
        <v>468</v>
      </c>
      <c r="Q51" s="174">
        <v>565</v>
      </c>
      <c r="R51" s="176">
        <v>699</v>
      </c>
      <c r="S51" s="178">
        <v>872</v>
      </c>
      <c r="T51" s="53">
        <v>1</v>
      </c>
      <c r="U51" s="139">
        <v>2590</v>
      </c>
      <c r="V51" s="141">
        <v>3467</v>
      </c>
      <c r="W51" s="157">
        <v>4444</v>
      </c>
      <c r="X51" s="158">
        <v>5680</v>
      </c>
      <c r="Y51" s="136">
        <v>7175</v>
      </c>
      <c r="Z51" s="53">
        <v>3</v>
      </c>
      <c r="AA51" s="53">
        <v>56</v>
      </c>
    </row>
    <row r="52" spans="1:27">
      <c r="A52" s="86" t="s">
        <v>237</v>
      </c>
      <c r="B52" s="60">
        <v>45</v>
      </c>
      <c r="C52" s="181" t="str">
        <f t="shared" si="0"/>
        <v>{1,389},{3,2630},{56,150}</v>
      </c>
      <c r="D52" s="182" t="str">
        <f t="shared" si="1"/>
        <v>{1,477},{3,3519},{56,150}</v>
      </c>
      <c r="E52" s="122" t="str">
        <f t="shared" si="2"/>
        <v>{1,575},{3,4508},{56,150}</v>
      </c>
      <c r="F52" s="183" t="str">
        <f t="shared" si="3"/>
        <v>{1,711},{3,5760},{56,150}</v>
      </c>
      <c r="G52" s="184" t="str">
        <f t="shared" si="4"/>
        <v>{1,887},{3,7275},{56,150}</v>
      </c>
      <c r="J52" s="55" t="s">
        <v>2122</v>
      </c>
      <c r="K52" s="55" t="str">
        <f t="shared" si="5"/>
        <v>{1,2370},{3,14220},{56,150}</v>
      </c>
      <c r="N52" s="60">
        <v>45</v>
      </c>
      <c r="O52" s="180">
        <v>389</v>
      </c>
      <c r="P52" s="172">
        <v>477</v>
      </c>
      <c r="Q52" s="174">
        <v>575</v>
      </c>
      <c r="R52" s="176">
        <v>711</v>
      </c>
      <c r="S52" s="178">
        <v>887</v>
      </c>
      <c r="T52" s="53">
        <v>1</v>
      </c>
      <c r="U52" s="139">
        <v>2630</v>
      </c>
      <c r="V52" s="141">
        <v>3519</v>
      </c>
      <c r="W52" s="157">
        <v>4508</v>
      </c>
      <c r="X52" s="158">
        <v>5760</v>
      </c>
      <c r="Y52" s="136">
        <v>7275</v>
      </c>
      <c r="Z52" s="53">
        <v>3</v>
      </c>
      <c r="AA52" s="53">
        <v>56</v>
      </c>
    </row>
    <row r="53" spans="1:27">
      <c r="A53" s="86" t="s">
        <v>238</v>
      </c>
      <c r="B53" s="60">
        <v>46</v>
      </c>
      <c r="C53" s="181" t="str">
        <f t="shared" si="0"/>
        <v>{1,396},{3,2670},{56,150}</v>
      </c>
      <c r="D53" s="182" t="str">
        <f t="shared" si="1"/>
        <v>{1,485},{3,3571},{56,150}</v>
      </c>
      <c r="E53" s="122" t="str">
        <f t="shared" si="2"/>
        <v>{1,584},{3,4572},{56,150}</v>
      </c>
      <c r="F53" s="183" t="str">
        <f t="shared" si="3"/>
        <v>{1,723},{3,5840},{56,150}</v>
      </c>
      <c r="G53" s="184" t="str">
        <f t="shared" si="4"/>
        <v>{1,902},{3,7375},{56,150}</v>
      </c>
      <c r="J53" s="55" t="s">
        <v>2122</v>
      </c>
      <c r="K53" s="55" t="str">
        <f t="shared" si="5"/>
        <v>{1,2430},{3,14580},{56,150}</v>
      </c>
      <c r="N53" s="60">
        <v>46</v>
      </c>
      <c r="O53" s="180">
        <v>396</v>
      </c>
      <c r="P53" s="172">
        <v>485</v>
      </c>
      <c r="Q53" s="174">
        <v>584</v>
      </c>
      <c r="R53" s="176">
        <v>723</v>
      </c>
      <c r="S53" s="178">
        <v>902</v>
      </c>
      <c r="T53" s="53">
        <v>1</v>
      </c>
      <c r="U53" s="139">
        <v>2670</v>
      </c>
      <c r="V53" s="141">
        <v>3571</v>
      </c>
      <c r="W53" s="157">
        <v>4572</v>
      </c>
      <c r="X53" s="158">
        <v>5840</v>
      </c>
      <c r="Y53" s="136">
        <v>7375</v>
      </c>
      <c r="Z53" s="53">
        <v>3</v>
      </c>
      <c r="AA53" s="53">
        <v>56</v>
      </c>
    </row>
    <row r="54" spans="1:27">
      <c r="A54" s="86" t="s">
        <v>239</v>
      </c>
      <c r="B54" s="60">
        <v>47</v>
      </c>
      <c r="C54" s="181" t="str">
        <f t="shared" si="0"/>
        <v>{1,403},{3,2710},{56,150}</v>
      </c>
      <c r="D54" s="182" t="str">
        <f t="shared" si="1"/>
        <v>{1,494},{3,3623},{56,150}</v>
      </c>
      <c r="E54" s="122" t="str">
        <f t="shared" si="2"/>
        <v>{1,594},{3,4636},{56,150}</v>
      </c>
      <c r="F54" s="183" t="str">
        <f t="shared" si="3"/>
        <v>{1,735},{3,5920},{56,150}</v>
      </c>
      <c r="G54" s="184" t="str">
        <f t="shared" si="4"/>
        <v>{1,916},{3,7475},{56,150}</v>
      </c>
      <c r="J54" s="55" t="s">
        <v>2122</v>
      </c>
      <c r="K54" s="55" t="str">
        <f t="shared" si="5"/>
        <v>{1,2490},{3,14940},{56,150}</v>
      </c>
      <c r="N54" s="60">
        <v>47</v>
      </c>
      <c r="O54" s="180">
        <v>403</v>
      </c>
      <c r="P54" s="172">
        <v>494</v>
      </c>
      <c r="Q54" s="174">
        <v>594</v>
      </c>
      <c r="R54" s="176">
        <v>735</v>
      </c>
      <c r="S54" s="178">
        <v>916</v>
      </c>
      <c r="T54" s="53">
        <v>1</v>
      </c>
      <c r="U54" s="139">
        <v>2710</v>
      </c>
      <c r="V54" s="141">
        <v>3623</v>
      </c>
      <c r="W54" s="157">
        <v>4636</v>
      </c>
      <c r="X54" s="158">
        <v>5920</v>
      </c>
      <c r="Y54" s="136">
        <v>7475</v>
      </c>
      <c r="Z54" s="53">
        <v>3</v>
      </c>
      <c r="AA54" s="53">
        <v>56</v>
      </c>
    </row>
    <row r="55" spans="1:27">
      <c r="A55" s="86" t="s">
        <v>240</v>
      </c>
      <c r="B55" s="60">
        <v>48</v>
      </c>
      <c r="C55" s="181" t="str">
        <f t="shared" si="0"/>
        <v>{1,410},{3,2750},{56,150}</v>
      </c>
      <c r="D55" s="182" t="str">
        <f t="shared" si="1"/>
        <v>{1,502},{3,3675},{56,150}</v>
      </c>
      <c r="E55" s="122" t="str">
        <f t="shared" si="2"/>
        <v>{1,604},{3,4700},{56,150}</v>
      </c>
      <c r="F55" s="183" t="str">
        <f t="shared" si="3"/>
        <v>{1,747},{3,6000},{56,150}</v>
      </c>
      <c r="G55" s="184" t="str">
        <f t="shared" si="4"/>
        <v>{1,931},{3,7575},{56,150}</v>
      </c>
      <c r="J55" s="55" t="s">
        <v>2122</v>
      </c>
      <c r="K55" s="55" t="str">
        <f t="shared" si="5"/>
        <v>{1,2550},{3,15300},{56,150}</v>
      </c>
      <c r="N55" s="60">
        <v>48</v>
      </c>
      <c r="O55" s="180">
        <v>410</v>
      </c>
      <c r="P55" s="172">
        <v>502</v>
      </c>
      <c r="Q55" s="174">
        <v>604</v>
      </c>
      <c r="R55" s="176">
        <v>747</v>
      </c>
      <c r="S55" s="178">
        <v>931</v>
      </c>
      <c r="T55" s="53">
        <v>1</v>
      </c>
      <c r="U55" s="139">
        <v>2750</v>
      </c>
      <c r="V55" s="141">
        <v>3675</v>
      </c>
      <c r="W55" s="157">
        <v>4700</v>
      </c>
      <c r="X55" s="158">
        <v>6000</v>
      </c>
      <c r="Y55" s="136">
        <v>7575</v>
      </c>
      <c r="Z55" s="53">
        <v>3</v>
      </c>
      <c r="AA55" s="53">
        <v>56</v>
      </c>
    </row>
    <row r="56" spans="1:27">
      <c r="A56" s="86" t="s">
        <v>241</v>
      </c>
      <c r="B56" s="60">
        <v>49</v>
      </c>
      <c r="C56" s="181" t="str">
        <f t="shared" si="0"/>
        <v>{1,417},{3,2790},{56,150}</v>
      </c>
      <c r="D56" s="182" t="str">
        <f t="shared" si="1"/>
        <v>{1,510},{3,3727},{56,150}</v>
      </c>
      <c r="E56" s="122" t="str">
        <f t="shared" si="2"/>
        <v>{1,614},{3,4764},{56,150}</v>
      </c>
      <c r="F56" s="183" t="str">
        <f t="shared" si="3"/>
        <v>{1,759},{3,6080},{56,150}</v>
      </c>
      <c r="G56" s="184" t="str">
        <f t="shared" si="4"/>
        <v>{1,946},{3,7675},{56,150}</v>
      </c>
      <c r="J56" s="55" t="s">
        <v>2122</v>
      </c>
      <c r="K56" s="55" t="str">
        <f t="shared" si="5"/>
        <v>{1,2610},{3,15660},{56,150}</v>
      </c>
      <c r="N56" s="60">
        <v>49</v>
      </c>
      <c r="O56" s="180">
        <v>417</v>
      </c>
      <c r="P56" s="172">
        <v>510</v>
      </c>
      <c r="Q56" s="174">
        <v>614</v>
      </c>
      <c r="R56" s="176">
        <v>759</v>
      </c>
      <c r="S56" s="178">
        <v>946</v>
      </c>
      <c r="T56" s="53">
        <v>1</v>
      </c>
      <c r="U56" s="139">
        <v>2790</v>
      </c>
      <c r="V56" s="141">
        <v>3727</v>
      </c>
      <c r="W56" s="157">
        <v>4764</v>
      </c>
      <c r="X56" s="158">
        <v>6080</v>
      </c>
      <c r="Y56" s="136">
        <v>7675</v>
      </c>
      <c r="Z56" s="53">
        <v>3</v>
      </c>
      <c r="AA56" s="53">
        <v>56</v>
      </c>
    </row>
    <row r="57" spans="1:27">
      <c r="A57" s="86" t="s">
        <v>242</v>
      </c>
      <c r="B57" s="60">
        <v>50</v>
      </c>
      <c r="C57" s="181" t="str">
        <f t="shared" si="0"/>
        <v>{1,424},{3,2830},{56,150}</v>
      </c>
      <c r="D57" s="182" t="str">
        <f t="shared" si="1"/>
        <v>{1,519},{3,3779},{56,150}</v>
      </c>
      <c r="E57" s="122" t="str">
        <f t="shared" si="2"/>
        <v>{1,624},{3,4828},{56,150}</v>
      </c>
      <c r="F57" s="183" t="str">
        <f t="shared" si="3"/>
        <v>{1,771},{3,6160},{56,150}</v>
      </c>
      <c r="G57" s="184" t="str">
        <f t="shared" si="4"/>
        <v>{1,960},{3,7775},{56,150}</v>
      </c>
      <c r="J57" s="55" t="s">
        <v>2122</v>
      </c>
      <c r="K57" s="55" t="str">
        <f t="shared" si="5"/>
        <v>{1,2670},{3,16020},{56,150}</v>
      </c>
      <c r="N57" s="60">
        <v>50</v>
      </c>
      <c r="O57" s="180">
        <v>424</v>
      </c>
      <c r="P57" s="172">
        <v>519</v>
      </c>
      <c r="Q57" s="174">
        <v>624</v>
      </c>
      <c r="R57" s="176">
        <v>771</v>
      </c>
      <c r="S57" s="178">
        <v>960</v>
      </c>
      <c r="T57" s="53">
        <v>1</v>
      </c>
      <c r="U57" s="139">
        <v>2830</v>
      </c>
      <c r="V57" s="141">
        <v>3779</v>
      </c>
      <c r="W57" s="157">
        <v>4828</v>
      </c>
      <c r="X57" s="158">
        <v>6160</v>
      </c>
      <c r="Y57" s="136">
        <v>7775</v>
      </c>
      <c r="Z57" s="53">
        <v>3</v>
      </c>
      <c r="AA57" s="53">
        <v>56</v>
      </c>
    </row>
    <row r="58" spans="1:27">
      <c r="A58" s="86" t="s">
        <v>243</v>
      </c>
      <c r="B58" s="60">
        <v>51</v>
      </c>
      <c r="C58" s="181" t="str">
        <f t="shared" si="0"/>
        <v>{1,431},{3,2870},{56,150}</v>
      </c>
      <c r="D58" s="182" t="str">
        <f t="shared" si="1"/>
        <v>{1,527},{3,3831},{56,150}</v>
      </c>
      <c r="E58" s="122" t="str">
        <f t="shared" si="2"/>
        <v>{1,633},{3,4892},{56,150}</v>
      </c>
      <c r="F58" s="183" t="str">
        <f t="shared" si="3"/>
        <v>{1,783},{3,6240},{56,150}</v>
      </c>
      <c r="G58" s="184" t="str">
        <f t="shared" si="4"/>
        <v>{1,975},{3,7875},{56,150}</v>
      </c>
      <c r="J58" s="55" t="s">
        <v>2122</v>
      </c>
      <c r="K58" s="55" t="str">
        <f t="shared" si="5"/>
        <v>{1,2730},{3,16380},{56,150}</v>
      </c>
      <c r="N58" s="60">
        <v>51</v>
      </c>
      <c r="O58" s="180">
        <v>431</v>
      </c>
      <c r="P58" s="172">
        <v>527</v>
      </c>
      <c r="Q58" s="174">
        <v>633</v>
      </c>
      <c r="R58" s="176">
        <v>783</v>
      </c>
      <c r="S58" s="178">
        <v>975</v>
      </c>
      <c r="T58" s="53">
        <v>1</v>
      </c>
      <c r="U58" s="139">
        <v>2870</v>
      </c>
      <c r="V58" s="141">
        <v>3831</v>
      </c>
      <c r="W58" s="157">
        <v>4892</v>
      </c>
      <c r="X58" s="158">
        <v>6240</v>
      </c>
      <c r="Y58" s="136">
        <v>7875</v>
      </c>
      <c r="Z58" s="53">
        <v>3</v>
      </c>
      <c r="AA58" s="53">
        <v>56</v>
      </c>
    </row>
    <row r="59" spans="1:27">
      <c r="A59" s="86" t="s">
        <v>244</v>
      </c>
      <c r="B59" s="60">
        <v>52</v>
      </c>
      <c r="C59" s="181" t="str">
        <f t="shared" si="0"/>
        <v>{1,438},{3,2910},{56,150}</v>
      </c>
      <c r="D59" s="182" t="str">
        <f t="shared" si="1"/>
        <v>{1,536},{3,3883},{56,150}</v>
      </c>
      <c r="E59" s="122" t="str">
        <f t="shared" si="2"/>
        <v>{1,643},{3,4956},{56,150}</v>
      </c>
      <c r="F59" s="183" t="str">
        <f t="shared" si="3"/>
        <v>{1,795},{3,6320},{56,150}</v>
      </c>
      <c r="G59" s="184" t="str">
        <f t="shared" si="4"/>
        <v>{1,990},{3,7975},{56,150}</v>
      </c>
      <c r="J59" s="55" t="s">
        <v>2122</v>
      </c>
      <c r="K59" s="55" t="str">
        <f t="shared" si="5"/>
        <v>{1,2790},{3,16740},{56,150}</v>
      </c>
      <c r="N59" s="60">
        <v>52</v>
      </c>
      <c r="O59" s="180">
        <v>438</v>
      </c>
      <c r="P59" s="172">
        <v>536</v>
      </c>
      <c r="Q59" s="174">
        <v>643</v>
      </c>
      <c r="R59" s="176">
        <v>795</v>
      </c>
      <c r="S59" s="178">
        <v>990</v>
      </c>
      <c r="T59" s="53">
        <v>1</v>
      </c>
      <c r="U59" s="139">
        <v>2910</v>
      </c>
      <c r="V59" s="141">
        <v>3883</v>
      </c>
      <c r="W59" s="157">
        <v>4956</v>
      </c>
      <c r="X59" s="158">
        <v>6320</v>
      </c>
      <c r="Y59" s="136">
        <v>7975</v>
      </c>
      <c r="Z59" s="53">
        <v>3</v>
      </c>
      <c r="AA59" s="53">
        <v>56</v>
      </c>
    </row>
    <row r="60" spans="1:27">
      <c r="A60" s="86" t="s">
        <v>245</v>
      </c>
      <c r="B60" s="60">
        <v>53</v>
      </c>
      <c r="C60" s="181" t="str">
        <f t="shared" si="0"/>
        <v>{1,445},{3,2950},{56,150}</v>
      </c>
      <c r="D60" s="182" t="str">
        <f t="shared" si="1"/>
        <v>{1,544},{3,3935},{56,150}</v>
      </c>
      <c r="E60" s="122" t="str">
        <f t="shared" si="2"/>
        <v>{1,653},{3,5020},{56,150}</v>
      </c>
      <c r="F60" s="183" t="str">
        <f t="shared" si="3"/>
        <v>{1,807},{3,6400},{56,150}</v>
      </c>
      <c r="G60" s="184" t="str">
        <f t="shared" si="4"/>
        <v>{1,1005},{3,8075},{56,150}</v>
      </c>
      <c r="J60" s="55" t="s">
        <v>2122</v>
      </c>
      <c r="K60" s="55" t="str">
        <f t="shared" si="5"/>
        <v>{1,2850},{3,17100},{56,150}</v>
      </c>
      <c r="N60" s="60">
        <v>53</v>
      </c>
      <c r="O60" s="180">
        <v>445</v>
      </c>
      <c r="P60" s="172">
        <v>544</v>
      </c>
      <c r="Q60" s="174">
        <v>653</v>
      </c>
      <c r="R60" s="176">
        <v>807</v>
      </c>
      <c r="S60" s="178">
        <v>1005</v>
      </c>
      <c r="T60" s="53">
        <v>1</v>
      </c>
      <c r="U60" s="139">
        <v>2950</v>
      </c>
      <c r="V60" s="141">
        <v>3935</v>
      </c>
      <c r="W60" s="157">
        <v>5020</v>
      </c>
      <c r="X60" s="158">
        <v>6400</v>
      </c>
      <c r="Y60" s="136">
        <v>8075</v>
      </c>
      <c r="Z60" s="53">
        <v>3</v>
      </c>
      <c r="AA60" s="53">
        <v>56</v>
      </c>
    </row>
    <row r="61" spans="1:27">
      <c r="A61" s="86" t="s">
        <v>246</v>
      </c>
      <c r="B61" s="60">
        <v>54</v>
      </c>
      <c r="C61" s="181" t="str">
        <f t="shared" si="0"/>
        <v>{1,452},{3,2990},{56,150}</v>
      </c>
      <c r="D61" s="182" t="str">
        <f t="shared" si="1"/>
        <v>{1,552},{3,3987},{56,150}</v>
      </c>
      <c r="E61" s="122" t="str">
        <f t="shared" si="2"/>
        <v>{1,663},{3,5084},{56,150}</v>
      </c>
      <c r="F61" s="183" t="str">
        <f t="shared" si="3"/>
        <v>{1,818},{3,6480},{56,150}</v>
      </c>
      <c r="G61" s="184" t="str">
        <f t="shared" si="4"/>
        <v>{1,1019},{3,8175},{56,150}</v>
      </c>
      <c r="J61" s="55" t="s">
        <v>2122</v>
      </c>
      <c r="K61" s="55" t="str">
        <f t="shared" si="5"/>
        <v>{1,2910},{3,17460},{56,150}</v>
      </c>
      <c r="N61" s="60">
        <v>54</v>
      </c>
      <c r="O61" s="180">
        <v>452</v>
      </c>
      <c r="P61" s="172">
        <v>552</v>
      </c>
      <c r="Q61" s="174">
        <v>663</v>
      </c>
      <c r="R61" s="176">
        <v>818</v>
      </c>
      <c r="S61" s="178">
        <v>1019</v>
      </c>
      <c r="T61" s="53">
        <v>1</v>
      </c>
      <c r="U61" s="139">
        <v>2990</v>
      </c>
      <c r="V61" s="141">
        <v>3987</v>
      </c>
      <c r="W61" s="157">
        <v>5084</v>
      </c>
      <c r="X61" s="158">
        <v>6480</v>
      </c>
      <c r="Y61" s="136">
        <v>8175</v>
      </c>
      <c r="Z61" s="53">
        <v>3</v>
      </c>
      <c r="AA61" s="53">
        <v>56</v>
      </c>
    </row>
    <row r="62" spans="1:27">
      <c r="A62" s="86" t="s">
        <v>247</v>
      </c>
      <c r="B62" s="60">
        <v>55</v>
      </c>
      <c r="C62" s="181" t="str">
        <f t="shared" si="0"/>
        <v>{1,459},{3,3030},{56,150}</v>
      </c>
      <c r="D62" s="182" t="str">
        <f t="shared" si="1"/>
        <v>{1,561},{3,4039},{56,150}</v>
      </c>
      <c r="E62" s="122" t="str">
        <f t="shared" si="2"/>
        <v>{1,673},{3,5148},{56,150}</v>
      </c>
      <c r="F62" s="183" t="str">
        <f t="shared" si="3"/>
        <v>{1,830},{3,6560},{56,150}</v>
      </c>
      <c r="G62" s="184" t="str">
        <f t="shared" si="4"/>
        <v>{1,1034},{3,8275},{56,150}</v>
      </c>
      <c r="J62" s="55" t="s">
        <v>2122</v>
      </c>
      <c r="K62" s="55" t="str">
        <f t="shared" si="5"/>
        <v>{1,2970},{3,17820},{56,150}</v>
      </c>
      <c r="N62" s="60">
        <v>55</v>
      </c>
      <c r="O62" s="180">
        <v>459</v>
      </c>
      <c r="P62" s="172">
        <v>561</v>
      </c>
      <c r="Q62" s="174">
        <v>673</v>
      </c>
      <c r="R62" s="176">
        <v>830</v>
      </c>
      <c r="S62" s="178">
        <v>1034</v>
      </c>
      <c r="T62" s="53">
        <v>1</v>
      </c>
      <c r="U62" s="139">
        <v>3030</v>
      </c>
      <c r="V62" s="141">
        <v>4039</v>
      </c>
      <c r="W62" s="157">
        <v>5148</v>
      </c>
      <c r="X62" s="158">
        <v>6560</v>
      </c>
      <c r="Y62" s="136">
        <v>8275</v>
      </c>
      <c r="Z62" s="53">
        <v>3</v>
      </c>
      <c r="AA62" s="53">
        <v>56</v>
      </c>
    </row>
    <row r="63" spans="1:27">
      <c r="A63" s="86" t="s">
        <v>248</v>
      </c>
      <c r="B63" s="60">
        <v>56</v>
      </c>
      <c r="C63" s="181" t="str">
        <f t="shared" si="0"/>
        <v>{1,466},{3,3070},{56,150}</v>
      </c>
      <c r="D63" s="182" t="str">
        <f t="shared" si="1"/>
        <v>{1,569},{3,4091},{56,150}</v>
      </c>
      <c r="E63" s="122" t="str">
        <f t="shared" si="2"/>
        <v>{1,682},{3,5212},{56,150}</v>
      </c>
      <c r="F63" s="183" t="str">
        <f t="shared" si="3"/>
        <v>{1,842},{3,6640},{56,150}</v>
      </c>
      <c r="G63" s="184" t="str">
        <f t="shared" si="4"/>
        <v>{1,1049},{3,8375},{56,150}</v>
      </c>
      <c r="J63" s="55" t="s">
        <v>2122</v>
      </c>
      <c r="K63" s="55" t="str">
        <f t="shared" si="5"/>
        <v>{1,3030},{3,18180},{56,150}</v>
      </c>
      <c r="N63" s="60">
        <v>56</v>
      </c>
      <c r="O63" s="180">
        <v>466</v>
      </c>
      <c r="P63" s="172">
        <v>569</v>
      </c>
      <c r="Q63" s="174">
        <v>682</v>
      </c>
      <c r="R63" s="176">
        <v>842</v>
      </c>
      <c r="S63" s="178">
        <v>1049</v>
      </c>
      <c r="T63" s="53">
        <v>1</v>
      </c>
      <c r="U63" s="139">
        <v>3070</v>
      </c>
      <c r="V63" s="141">
        <v>4091</v>
      </c>
      <c r="W63" s="157">
        <v>5212</v>
      </c>
      <c r="X63" s="158">
        <v>6640</v>
      </c>
      <c r="Y63" s="136">
        <v>8375</v>
      </c>
      <c r="Z63" s="53">
        <v>3</v>
      </c>
      <c r="AA63" s="53">
        <v>56</v>
      </c>
    </row>
    <row r="64" spans="1:27">
      <c r="A64" s="86" t="s">
        <v>249</v>
      </c>
      <c r="B64" s="60">
        <v>57</v>
      </c>
      <c r="C64" s="181" t="str">
        <f t="shared" si="0"/>
        <v>{1,473},{3,3110},{56,150}</v>
      </c>
      <c r="D64" s="182" t="str">
        <f t="shared" si="1"/>
        <v>{1,578},{3,4143},{56,150}</v>
      </c>
      <c r="E64" s="122" t="str">
        <f t="shared" si="2"/>
        <v>{1,692},{3,5276},{56,150}</v>
      </c>
      <c r="F64" s="183" t="str">
        <f t="shared" si="3"/>
        <v>{1,854},{3,6720},{56,150}</v>
      </c>
      <c r="G64" s="184" t="str">
        <f t="shared" si="4"/>
        <v>{1,1063},{3,8475},{56,150}</v>
      </c>
      <c r="J64" s="55" t="s">
        <v>2122</v>
      </c>
      <c r="K64" s="55" t="str">
        <f t="shared" si="5"/>
        <v>{1,3090},{3,18540},{56,150}</v>
      </c>
      <c r="N64" s="60">
        <v>57</v>
      </c>
      <c r="O64" s="180">
        <v>473</v>
      </c>
      <c r="P64" s="172">
        <v>578</v>
      </c>
      <c r="Q64" s="174">
        <v>692</v>
      </c>
      <c r="R64" s="176">
        <v>854</v>
      </c>
      <c r="S64" s="178">
        <v>1063</v>
      </c>
      <c r="T64" s="53">
        <v>1</v>
      </c>
      <c r="U64" s="139">
        <v>3110</v>
      </c>
      <c r="V64" s="141">
        <v>4143</v>
      </c>
      <c r="W64" s="157">
        <v>5276</v>
      </c>
      <c r="X64" s="158">
        <v>6720</v>
      </c>
      <c r="Y64" s="136">
        <v>8475</v>
      </c>
      <c r="Z64" s="53">
        <v>3</v>
      </c>
      <c r="AA64" s="53">
        <v>56</v>
      </c>
    </row>
    <row r="65" spans="1:27">
      <c r="A65" s="86" t="s">
        <v>250</v>
      </c>
      <c r="B65" s="60">
        <v>58</v>
      </c>
      <c r="C65" s="181" t="str">
        <f t="shared" si="0"/>
        <v>{1,480},{3,3150},{56,150}</v>
      </c>
      <c r="D65" s="182" t="str">
        <f t="shared" si="1"/>
        <v>{1,586},{3,4195},{56,150}</v>
      </c>
      <c r="E65" s="122" t="str">
        <f t="shared" si="2"/>
        <v>{1,702},{3,5340},{56,150}</v>
      </c>
      <c r="F65" s="183" t="str">
        <f t="shared" si="3"/>
        <v>{1,866},{3,6800},{56,150}</v>
      </c>
      <c r="G65" s="184" t="str">
        <f t="shared" si="4"/>
        <v>{1,1078},{3,8575},{56,150}</v>
      </c>
      <c r="J65" s="55" t="s">
        <v>2122</v>
      </c>
      <c r="K65" s="55" t="str">
        <f t="shared" si="5"/>
        <v>{1,3150},{3,18900},{56,150}</v>
      </c>
      <c r="N65" s="60">
        <v>58</v>
      </c>
      <c r="O65" s="180">
        <v>480</v>
      </c>
      <c r="P65" s="172">
        <v>586</v>
      </c>
      <c r="Q65" s="174">
        <v>702</v>
      </c>
      <c r="R65" s="176">
        <v>866</v>
      </c>
      <c r="S65" s="178">
        <v>1078</v>
      </c>
      <c r="T65" s="53">
        <v>1</v>
      </c>
      <c r="U65" s="139">
        <v>3150</v>
      </c>
      <c r="V65" s="141">
        <v>4195</v>
      </c>
      <c r="W65" s="157">
        <v>5340</v>
      </c>
      <c r="X65" s="158">
        <v>6800</v>
      </c>
      <c r="Y65" s="136">
        <v>8575</v>
      </c>
      <c r="Z65" s="53">
        <v>3</v>
      </c>
      <c r="AA65" s="53">
        <v>56</v>
      </c>
    </row>
    <row r="66" spans="1:27">
      <c r="A66" s="86" t="s">
        <v>251</v>
      </c>
      <c r="B66" s="60">
        <v>59</v>
      </c>
      <c r="C66" s="181" t="str">
        <f t="shared" si="0"/>
        <v>{1,487},{3,3190},{56,150}</v>
      </c>
      <c r="D66" s="182" t="str">
        <f t="shared" si="1"/>
        <v>{1,594},{3,4247},{56,150}</v>
      </c>
      <c r="E66" s="122" t="str">
        <f t="shared" si="2"/>
        <v>{1,712},{3,5404},{56,150}</v>
      </c>
      <c r="F66" s="183" t="str">
        <f t="shared" si="3"/>
        <v>{1,878},{3,6880},{56,150}</v>
      </c>
      <c r="G66" s="184" t="str">
        <f t="shared" si="4"/>
        <v>{1,1093},{3,8675},{56,150}</v>
      </c>
      <c r="J66" s="55" t="s">
        <v>2122</v>
      </c>
      <c r="K66" s="55" t="str">
        <f t="shared" si="5"/>
        <v>{1,3210},{3,19260},{56,150}</v>
      </c>
      <c r="N66" s="60">
        <v>59</v>
      </c>
      <c r="O66" s="180">
        <v>487</v>
      </c>
      <c r="P66" s="172">
        <v>594</v>
      </c>
      <c r="Q66" s="174">
        <v>712</v>
      </c>
      <c r="R66" s="176">
        <v>878</v>
      </c>
      <c r="S66" s="178">
        <v>1093</v>
      </c>
      <c r="T66" s="53">
        <v>1</v>
      </c>
      <c r="U66" s="139">
        <v>3190</v>
      </c>
      <c r="V66" s="141">
        <v>4247</v>
      </c>
      <c r="W66" s="157">
        <v>5404</v>
      </c>
      <c r="X66" s="158">
        <v>6880</v>
      </c>
      <c r="Y66" s="136">
        <v>8675</v>
      </c>
      <c r="Z66" s="53">
        <v>3</v>
      </c>
      <c r="AA66" s="53">
        <v>56</v>
      </c>
    </row>
    <row r="67" spans="1:27">
      <c r="A67" s="87" t="s">
        <v>252</v>
      </c>
      <c r="B67" s="60">
        <v>60</v>
      </c>
      <c r="C67" s="181" t="str">
        <f t="shared" si="0"/>
        <v>{1,527},{3,3590},{56,200}</v>
      </c>
      <c r="D67" s="182" t="str">
        <f t="shared" si="1"/>
        <v>{1,642},{3,4767},{56,200}</v>
      </c>
      <c r="E67" s="122" t="str">
        <f t="shared" si="2"/>
        <v>{1,768},{3,6044},{56,200}</v>
      </c>
      <c r="F67" s="183" t="str">
        <f t="shared" si="3"/>
        <v>{1,946},{3,7680},{56,200}</v>
      </c>
      <c r="G67" s="184" t="str">
        <f t="shared" si="4"/>
        <v>{1,1177},{3,9675},{56,200}</v>
      </c>
      <c r="J67" s="55" t="s">
        <v>2123</v>
      </c>
      <c r="K67" s="55" t="str">
        <f t="shared" si="5"/>
        <v>{1,3884},{3,23304},{56,200}</v>
      </c>
      <c r="N67" s="60">
        <v>60</v>
      </c>
      <c r="O67" s="180">
        <v>527</v>
      </c>
      <c r="P67" s="172">
        <v>642</v>
      </c>
      <c r="Q67" s="174">
        <v>768</v>
      </c>
      <c r="R67" s="176">
        <v>946</v>
      </c>
      <c r="S67" s="178">
        <v>1177</v>
      </c>
      <c r="T67" s="53">
        <v>1</v>
      </c>
      <c r="U67" s="139">
        <v>3590</v>
      </c>
      <c r="V67" s="141">
        <v>4767</v>
      </c>
      <c r="W67" s="157">
        <v>6044</v>
      </c>
      <c r="X67" s="158">
        <v>7680</v>
      </c>
      <c r="Y67" s="136">
        <v>9675</v>
      </c>
      <c r="Z67" s="53">
        <v>3</v>
      </c>
      <c r="AA67" s="53">
        <v>56</v>
      </c>
    </row>
    <row r="68" spans="1:27">
      <c r="A68" s="86" t="s">
        <v>253</v>
      </c>
      <c r="B68" s="60">
        <v>61</v>
      </c>
      <c r="C68" s="181" t="str">
        <f t="shared" si="0"/>
        <v>{1,535},{3,3640},{56,200}</v>
      </c>
      <c r="D68" s="182" t="str">
        <f t="shared" si="1"/>
        <v>{1,652},{3,4832},{56,200}</v>
      </c>
      <c r="E68" s="122" t="str">
        <f t="shared" si="2"/>
        <v>{1,779},{3,6124},{56,200}</v>
      </c>
      <c r="F68" s="183" t="str">
        <f t="shared" si="3"/>
        <v>{1,960},{3,7780},{56,200}</v>
      </c>
      <c r="G68" s="184" t="str">
        <f t="shared" si="4"/>
        <v>{1,1194},{3,9800},{56,200}</v>
      </c>
      <c r="J68" s="55" t="s">
        <v>2123</v>
      </c>
      <c r="K68" s="55" t="str">
        <f t="shared" si="5"/>
        <v>{1,3964},{3,23784},{56,200}</v>
      </c>
      <c r="N68" s="60">
        <v>61</v>
      </c>
      <c r="O68" s="180">
        <v>535</v>
      </c>
      <c r="P68" s="172">
        <v>652</v>
      </c>
      <c r="Q68" s="174">
        <v>779</v>
      </c>
      <c r="R68" s="176">
        <v>960</v>
      </c>
      <c r="S68" s="178">
        <v>1194</v>
      </c>
      <c r="T68" s="53">
        <v>1</v>
      </c>
      <c r="U68" s="139">
        <v>3640</v>
      </c>
      <c r="V68" s="141">
        <v>4832</v>
      </c>
      <c r="W68" s="157">
        <v>6124</v>
      </c>
      <c r="X68" s="158">
        <v>7780</v>
      </c>
      <c r="Y68" s="136">
        <v>9800</v>
      </c>
      <c r="Z68" s="53">
        <v>3</v>
      </c>
      <c r="AA68" s="53">
        <v>56</v>
      </c>
    </row>
    <row r="69" spans="1:27">
      <c r="A69" s="86" t="s">
        <v>254</v>
      </c>
      <c r="B69" s="60">
        <v>62</v>
      </c>
      <c r="C69" s="181" t="str">
        <f t="shared" si="0"/>
        <v>{1,543},{3,3690},{56,200}</v>
      </c>
      <c r="D69" s="182" t="str">
        <f t="shared" si="1"/>
        <v>{1,662},{3,4897},{56,200}</v>
      </c>
      <c r="E69" s="122" t="str">
        <f t="shared" si="2"/>
        <v>{1,790},{3,6204},{56,200}</v>
      </c>
      <c r="F69" s="183" t="str">
        <f t="shared" si="3"/>
        <v>{1,973},{3,7880},{56,200}</v>
      </c>
      <c r="G69" s="184" t="str">
        <f t="shared" si="4"/>
        <v>{1,1210},{3,9925},{56,200}</v>
      </c>
      <c r="J69" s="55" t="s">
        <v>2123</v>
      </c>
      <c r="K69" s="55" t="str">
        <f t="shared" si="5"/>
        <v>{1,4044},{3,24264},{56,200}</v>
      </c>
      <c r="N69" s="60">
        <v>62</v>
      </c>
      <c r="O69" s="180">
        <v>543</v>
      </c>
      <c r="P69" s="172">
        <v>662</v>
      </c>
      <c r="Q69" s="174">
        <v>790</v>
      </c>
      <c r="R69" s="176">
        <v>973</v>
      </c>
      <c r="S69" s="178">
        <v>1210</v>
      </c>
      <c r="T69" s="53">
        <v>1</v>
      </c>
      <c r="U69" s="139">
        <v>3690</v>
      </c>
      <c r="V69" s="141">
        <v>4897</v>
      </c>
      <c r="W69" s="157">
        <v>6204</v>
      </c>
      <c r="X69" s="158">
        <v>7880</v>
      </c>
      <c r="Y69" s="136">
        <v>9925</v>
      </c>
      <c r="Z69" s="53">
        <v>3</v>
      </c>
      <c r="AA69" s="53">
        <v>56</v>
      </c>
    </row>
    <row r="70" spans="1:27">
      <c r="A70" s="86" t="s">
        <v>255</v>
      </c>
      <c r="B70" s="60">
        <v>63</v>
      </c>
      <c r="C70" s="181" t="str">
        <f t="shared" si="0"/>
        <v>{1,551},{3,3740},{56,200}</v>
      </c>
      <c r="D70" s="182" t="str">
        <f t="shared" si="1"/>
        <v>{1,671},{3,4962},{56,200}</v>
      </c>
      <c r="E70" s="122" t="str">
        <f t="shared" si="2"/>
        <v>{1,801},{3,6284},{56,200}</v>
      </c>
      <c r="F70" s="183" t="str">
        <f t="shared" si="3"/>
        <v>{1,987},{3,7980},{56,200}</v>
      </c>
      <c r="G70" s="184" t="str">
        <f t="shared" si="4"/>
        <v>{1,1227},{3,10050},{56,200}</v>
      </c>
      <c r="J70" s="55" t="s">
        <v>2123</v>
      </c>
      <c r="K70" s="55" t="str">
        <f t="shared" si="5"/>
        <v>{1,4124},{3,24744},{56,200}</v>
      </c>
      <c r="N70" s="60">
        <v>63</v>
      </c>
      <c r="O70" s="180">
        <v>551</v>
      </c>
      <c r="P70" s="172">
        <v>671</v>
      </c>
      <c r="Q70" s="174">
        <v>801</v>
      </c>
      <c r="R70" s="176">
        <v>987</v>
      </c>
      <c r="S70" s="178">
        <v>1227</v>
      </c>
      <c r="T70" s="53">
        <v>1</v>
      </c>
      <c r="U70" s="139">
        <v>3740</v>
      </c>
      <c r="V70" s="141">
        <v>4962</v>
      </c>
      <c r="W70" s="157">
        <v>6284</v>
      </c>
      <c r="X70" s="158">
        <v>7980</v>
      </c>
      <c r="Y70" s="136">
        <v>10050</v>
      </c>
      <c r="Z70" s="53">
        <v>3</v>
      </c>
      <c r="AA70" s="53">
        <v>56</v>
      </c>
    </row>
    <row r="71" spans="1:27">
      <c r="A71" s="86" t="s">
        <v>256</v>
      </c>
      <c r="B71" s="60">
        <v>64</v>
      </c>
      <c r="C71" s="181" t="str">
        <f t="shared" si="0"/>
        <v>{1,559},{3,3790},{56,200}</v>
      </c>
      <c r="D71" s="182" t="str">
        <f t="shared" si="1"/>
        <v>{1,681},{3,5027},{56,200}</v>
      </c>
      <c r="E71" s="122" t="str">
        <f t="shared" si="2"/>
        <v>{1,813},{3,6364},{56,200}</v>
      </c>
      <c r="F71" s="183" t="str">
        <f t="shared" si="3"/>
        <v>{1,1000},{3,8080},{56,200}</v>
      </c>
      <c r="G71" s="184" t="str">
        <f t="shared" si="4"/>
        <v>{1,1244},{3,10175},{56,200}</v>
      </c>
      <c r="J71" s="55" t="s">
        <v>2123</v>
      </c>
      <c r="K71" s="55" t="str">
        <f t="shared" si="5"/>
        <v>{1,4204},{3,25224},{56,200}</v>
      </c>
      <c r="N71" s="60">
        <v>64</v>
      </c>
      <c r="O71" s="180">
        <v>559</v>
      </c>
      <c r="P71" s="172">
        <v>681</v>
      </c>
      <c r="Q71" s="174">
        <v>813</v>
      </c>
      <c r="R71" s="176">
        <v>1000</v>
      </c>
      <c r="S71" s="178">
        <v>1244</v>
      </c>
      <c r="T71" s="53">
        <v>1</v>
      </c>
      <c r="U71" s="139">
        <v>3790</v>
      </c>
      <c r="V71" s="141">
        <v>5027</v>
      </c>
      <c r="W71" s="157">
        <v>6364</v>
      </c>
      <c r="X71" s="158">
        <v>8080</v>
      </c>
      <c r="Y71" s="136">
        <v>10175</v>
      </c>
      <c r="Z71" s="53">
        <v>3</v>
      </c>
      <c r="AA71" s="53">
        <v>56</v>
      </c>
    </row>
    <row r="72" spans="1:27">
      <c r="A72" s="86" t="s">
        <v>257</v>
      </c>
      <c r="B72" s="60">
        <v>65</v>
      </c>
      <c r="C72" s="181" t="str">
        <f t="shared" si="0"/>
        <v>{1,567},{3,3840},{56,200}</v>
      </c>
      <c r="D72" s="182" t="str">
        <f t="shared" si="1"/>
        <v>{1,690},{3,5092},{56,200}</v>
      </c>
      <c r="E72" s="122" t="str">
        <f t="shared" si="2"/>
        <v>{1,824},{3,6444},{56,200}</v>
      </c>
      <c r="F72" s="183" t="str">
        <f t="shared" si="3"/>
        <v>{1,1014},{3,8180},{56,200}</v>
      </c>
      <c r="G72" s="184" t="str">
        <f t="shared" si="4"/>
        <v>{1,1261},{3,10300},{56,200}</v>
      </c>
      <c r="J72" s="55" t="s">
        <v>2123</v>
      </c>
      <c r="K72" s="55" t="str">
        <f t="shared" si="5"/>
        <v>{1,4284},{3,25704},{56,200}</v>
      </c>
      <c r="N72" s="60">
        <v>65</v>
      </c>
      <c r="O72" s="180">
        <v>567</v>
      </c>
      <c r="P72" s="172">
        <v>690</v>
      </c>
      <c r="Q72" s="174">
        <v>824</v>
      </c>
      <c r="R72" s="176">
        <v>1014</v>
      </c>
      <c r="S72" s="178">
        <v>1261</v>
      </c>
      <c r="T72" s="53">
        <v>1</v>
      </c>
      <c r="U72" s="139">
        <v>3840</v>
      </c>
      <c r="V72" s="141">
        <v>5092</v>
      </c>
      <c r="W72" s="157">
        <v>6444</v>
      </c>
      <c r="X72" s="158">
        <v>8180</v>
      </c>
      <c r="Y72" s="136">
        <v>10300</v>
      </c>
      <c r="Z72" s="53">
        <v>3</v>
      </c>
      <c r="AA72" s="53">
        <v>56</v>
      </c>
    </row>
    <row r="73" spans="1:27">
      <c r="A73" s="86" t="s">
        <v>258</v>
      </c>
      <c r="B73" s="60">
        <v>66</v>
      </c>
      <c r="C73" s="181" t="str">
        <f t="shared" ref="C73:C107" si="6">"{"&amp;T73&amp;","&amp;O73&amp;"}"&amp;","&amp;"{"&amp;Z73&amp;","&amp;U73&amp;"}"&amp;","&amp;J73</f>
        <v>{1,575},{3,3890},{56,200}</v>
      </c>
      <c r="D73" s="182" t="str">
        <f t="shared" ref="D73:D107" si="7">"{"&amp;T73&amp;","&amp;P73&amp;"}"&amp;","&amp;"{"&amp;Z73&amp;","&amp;V73&amp;"}"&amp;","&amp;J73</f>
        <v>{1,700},{3,5157},{56,200}</v>
      </c>
      <c r="E73" s="122" t="str">
        <f t="shared" ref="E73:E107" si="8">"{"&amp;T73&amp;","&amp;Q73&amp;"}"&amp;","&amp;"{"&amp;Z73&amp;","&amp;W73&amp;"}"&amp;","&amp;J73</f>
        <v>{1,835},{3,6524},{56,200}</v>
      </c>
      <c r="F73" s="183" t="str">
        <f t="shared" ref="F73:F107" si="9">"{"&amp;T73&amp;","&amp;R73&amp;"}"&amp;","&amp;"{"&amp;Z73&amp;","&amp;X73&amp;"}"&amp;","&amp;J73</f>
        <v>{1,1028},{3,8280},{56,200}</v>
      </c>
      <c r="G73" s="184" t="str">
        <f t="shared" ref="G73:G107" si="10">"{"&amp;T73&amp;","&amp;S73&amp;"}"&amp;","&amp;"{"&amp;Z73&amp;","&amp;Y73&amp;"}"&amp;","&amp;J73</f>
        <v>{1,1278},{3,10425},{56,200}</v>
      </c>
      <c r="J73" s="55" t="s">
        <v>2123</v>
      </c>
      <c r="K73" s="55" t="str">
        <f t="shared" ref="K73:K107" si="11">A73&amp;","&amp;J73</f>
        <v>{1,4364},{3,26184},{56,200}</v>
      </c>
      <c r="N73" s="60">
        <v>66</v>
      </c>
      <c r="O73" s="180">
        <v>575</v>
      </c>
      <c r="P73" s="172">
        <v>700</v>
      </c>
      <c r="Q73" s="174">
        <v>835</v>
      </c>
      <c r="R73" s="176">
        <v>1028</v>
      </c>
      <c r="S73" s="178">
        <v>1278</v>
      </c>
      <c r="T73" s="53">
        <v>1</v>
      </c>
      <c r="U73" s="139">
        <v>3890</v>
      </c>
      <c r="V73" s="141">
        <v>5157</v>
      </c>
      <c r="W73" s="157">
        <v>6524</v>
      </c>
      <c r="X73" s="158">
        <v>8280</v>
      </c>
      <c r="Y73" s="136">
        <v>10425</v>
      </c>
      <c r="Z73" s="53">
        <v>3</v>
      </c>
      <c r="AA73" s="53">
        <v>56</v>
      </c>
    </row>
    <row r="74" spans="1:27">
      <c r="A74" s="86" t="s">
        <v>259</v>
      </c>
      <c r="B74" s="60">
        <v>67</v>
      </c>
      <c r="C74" s="181" t="str">
        <f t="shared" si="6"/>
        <v>{1,583},{3,3940},{56,200}</v>
      </c>
      <c r="D74" s="182" t="str">
        <f t="shared" si="7"/>
        <v>{1,710},{3,5222},{56,200}</v>
      </c>
      <c r="E74" s="122" t="str">
        <f t="shared" si="8"/>
        <v>{1,846},{3,6604},{56,200}</v>
      </c>
      <c r="F74" s="183" t="str">
        <f t="shared" si="9"/>
        <v>{1,1041},{3,8380},{56,200}</v>
      </c>
      <c r="G74" s="184" t="str">
        <f t="shared" si="10"/>
        <v>{1,1294},{3,10550},{56,200}</v>
      </c>
      <c r="J74" s="55" t="s">
        <v>2123</v>
      </c>
      <c r="K74" s="55" t="str">
        <f t="shared" si="11"/>
        <v>{1,4444},{3,26664},{56,200}</v>
      </c>
      <c r="N74" s="60">
        <v>67</v>
      </c>
      <c r="O74" s="180">
        <v>583</v>
      </c>
      <c r="P74" s="172">
        <v>710</v>
      </c>
      <c r="Q74" s="174">
        <v>846</v>
      </c>
      <c r="R74" s="176">
        <v>1041</v>
      </c>
      <c r="S74" s="178">
        <v>1294</v>
      </c>
      <c r="T74" s="53">
        <v>1</v>
      </c>
      <c r="U74" s="139">
        <v>3940</v>
      </c>
      <c r="V74" s="141">
        <v>5222</v>
      </c>
      <c r="W74" s="157">
        <v>6604</v>
      </c>
      <c r="X74" s="158">
        <v>8380</v>
      </c>
      <c r="Y74" s="136">
        <v>10550</v>
      </c>
      <c r="Z74" s="53">
        <v>3</v>
      </c>
      <c r="AA74" s="53">
        <v>56</v>
      </c>
    </row>
    <row r="75" spans="1:27">
      <c r="A75" s="86" t="s">
        <v>260</v>
      </c>
      <c r="B75" s="60">
        <v>68</v>
      </c>
      <c r="C75" s="181" t="str">
        <f t="shared" si="6"/>
        <v>{1,591},{3,3990},{56,200}</v>
      </c>
      <c r="D75" s="182" t="str">
        <f t="shared" si="7"/>
        <v>{1,719},{3,5287},{56,200}</v>
      </c>
      <c r="E75" s="122" t="str">
        <f t="shared" si="8"/>
        <v>{1,857},{3,6684},{56,200}</v>
      </c>
      <c r="F75" s="183" t="str">
        <f t="shared" si="9"/>
        <v>{1,1055},{3,8480},{56,200}</v>
      </c>
      <c r="G75" s="184" t="str">
        <f t="shared" si="10"/>
        <v>{1,1311},{3,10675},{56,200}</v>
      </c>
      <c r="J75" s="55" t="s">
        <v>2123</v>
      </c>
      <c r="K75" s="55" t="str">
        <f t="shared" si="11"/>
        <v>{1,4524},{3,27144},{56,200}</v>
      </c>
      <c r="N75" s="60">
        <v>68</v>
      </c>
      <c r="O75" s="180">
        <v>591</v>
      </c>
      <c r="P75" s="172">
        <v>719</v>
      </c>
      <c r="Q75" s="174">
        <v>857</v>
      </c>
      <c r="R75" s="176">
        <v>1055</v>
      </c>
      <c r="S75" s="178">
        <v>1311</v>
      </c>
      <c r="T75" s="53">
        <v>1</v>
      </c>
      <c r="U75" s="139">
        <v>3990</v>
      </c>
      <c r="V75" s="141">
        <v>5287</v>
      </c>
      <c r="W75" s="157">
        <v>6684</v>
      </c>
      <c r="X75" s="158">
        <v>8480</v>
      </c>
      <c r="Y75" s="136">
        <v>10675</v>
      </c>
      <c r="Z75" s="53">
        <v>3</v>
      </c>
      <c r="AA75" s="53">
        <v>56</v>
      </c>
    </row>
    <row r="76" spans="1:27">
      <c r="A76" s="86" t="s">
        <v>261</v>
      </c>
      <c r="B76" s="60">
        <v>69</v>
      </c>
      <c r="C76" s="181" t="str">
        <f t="shared" si="6"/>
        <v>{1,599},{3,4040},{56,200}</v>
      </c>
      <c r="D76" s="182" t="str">
        <f t="shared" si="7"/>
        <v>{1,729},{3,5352},{56,200}</v>
      </c>
      <c r="E76" s="122" t="str">
        <f t="shared" si="8"/>
        <v>{1,869},{3,6764},{56,200}</v>
      </c>
      <c r="F76" s="183" t="str">
        <f t="shared" si="9"/>
        <v>{1,1068},{3,8580},{56,200}</v>
      </c>
      <c r="G76" s="184" t="str">
        <f t="shared" si="10"/>
        <v>{1,1328},{3,10800},{56,200}</v>
      </c>
      <c r="J76" s="55" t="s">
        <v>2123</v>
      </c>
      <c r="K76" s="55" t="str">
        <f t="shared" si="11"/>
        <v>{1,4604},{3,27624},{56,200}</v>
      </c>
      <c r="N76" s="60">
        <v>69</v>
      </c>
      <c r="O76" s="180">
        <v>599</v>
      </c>
      <c r="P76" s="172">
        <v>729</v>
      </c>
      <c r="Q76" s="174">
        <v>869</v>
      </c>
      <c r="R76" s="176">
        <v>1068</v>
      </c>
      <c r="S76" s="178">
        <v>1328</v>
      </c>
      <c r="T76" s="53">
        <v>1</v>
      </c>
      <c r="U76" s="139">
        <v>4040</v>
      </c>
      <c r="V76" s="141">
        <v>5352</v>
      </c>
      <c r="W76" s="157">
        <v>6764</v>
      </c>
      <c r="X76" s="158">
        <v>8580</v>
      </c>
      <c r="Y76" s="136">
        <v>10800</v>
      </c>
      <c r="Z76" s="53">
        <v>3</v>
      </c>
      <c r="AA76" s="53">
        <v>56</v>
      </c>
    </row>
    <row r="77" spans="1:27">
      <c r="A77" s="86" t="s">
        <v>262</v>
      </c>
      <c r="B77" s="60">
        <v>70</v>
      </c>
      <c r="C77" s="181" t="str">
        <f t="shared" si="6"/>
        <v>{1,607},{3,4090},{56,200}</v>
      </c>
      <c r="D77" s="182" t="str">
        <f t="shared" si="7"/>
        <v>{1,738},{3,5417},{56,200}</v>
      </c>
      <c r="E77" s="122" t="str">
        <f t="shared" si="8"/>
        <v>{1,880},{3,6844},{56,200}</v>
      </c>
      <c r="F77" s="183" t="str">
        <f t="shared" si="9"/>
        <v>{1,1082},{3,8680},{56,200}</v>
      </c>
      <c r="G77" s="184" t="str">
        <f t="shared" si="10"/>
        <v>{1,1345},{3,10925},{56,200}</v>
      </c>
      <c r="J77" s="55" t="s">
        <v>2123</v>
      </c>
      <c r="K77" s="55" t="str">
        <f t="shared" si="11"/>
        <v>{1,4684},{3,28104},{56,200}</v>
      </c>
      <c r="N77" s="60">
        <v>70</v>
      </c>
      <c r="O77" s="180">
        <v>607</v>
      </c>
      <c r="P77" s="172">
        <v>738</v>
      </c>
      <c r="Q77" s="174">
        <v>880</v>
      </c>
      <c r="R77" s="176">
        <v>1082</v>
      </c>
      <c r="S77" s="178">
        <v>1345</v>
      </c>
      <c r="T77" s="53">
        <v>1</v>
      </c>
      <c r="U77" s="139">
        <v>4090</v>
      </c>
      <c r="V77" s="141">
        <v>5417</v>
      </c>
      <c r="W77" s="157">
        <v>6844</v>
      </c>
      <c r="X77" s="158">
        <v>8680</v>
      </c>
      <c r="Y77" s="136">
        <v>10925</v>
      </c>
      <c r="Z77" s="53">
        <v>3</v>
      </c>
      <c r="AA77" s="53">
        <v>56</v>
      </c>
    </row>
    <row r="78" spans="1:27">
      <c r="A78" s="86" t="s">
        <v>263</v>
      </c>
      <c r="B78" s="60">
        <v>71</v>
      </c>
      <c r="C78" s="181" t="str">
        <f t="shared" si="6"/>
        <v>{1,615},{3,4140},{56,200}</v>
      </c>
      <c r="D78" s="182" t="str">
        <f t="shared" si="7"/>
        <v>{1,748},{3,5482},{56,200}</v>
      </c>
      <c r="E78" s="122" t="str">
        <f t="shared" si="8"/>
        <v>{1,891},{3,6924},{56,200}</v>
      </c>
      <c r="F78" s="183" t="str">
        <f t="shared" si="9"/>
        <v>{1,1096},{3,8780},{56,200}</v>
      </c>
      <c r="G78" s="184" t="str">
        <f t="shared" si="10"/>
        <v>{1,1362},{3,11050},{56,200}</v>
      </c>
      <c r="J78" s="55" t="s">
        <v>2123</v>
      </c>
      <c r="K78" s="55" t="str">
        <f t="shared" si="11"/>
        <v>{1,4764},{3,28584},{56,200}</v>
      </c>
      <c r="N78" s="60">
        <v>71</v>
      </c>
      <c r="O78" s="180">
        <v>615</v>
      </c>
      <c r="P78" s="172">
        <v>748</v>
      </c>
      <c r="Q78" s="174">
        <v>891</v>
      </c>
      <c r="R78" s="176">
        <v>1096</v>
      </c>
      <c r="S78" s="178">
        <v>1362</v>
      </c>
      <c r="T78" s="53">
        <v>1</v>
      </c>
      <c r="U78" s="139">
        <v>4140</v>
      </c>
      <c r="V78" s="141">
        <v>5482</v>
      </c>
      <c r="W78" s="157">
        <v>6924</v>
      </c>
      <c r="X78" s="158">
        <v>8780</v>
      </c>
      <c r="Y78" s="136">
        <v>11050</v>
      </c>
      <c r="Z78" s="53">
        <v>3</v>
      </c>
      <c r="AA78" s="53">
        <v>56</v>
      </c>
    </row>
    <row r="79" spans="1:27">
      <c r="A79" s="86" t="s">
        <v>264</v>
      </c>
      <c r="B79" s="60">
        <v>72</v>
      </c>
      <c r="C79" s="181" t="str">
        <f t="shared" si="6"/>
        <v>{1,623},{3,4190},{56,200}</v>
      </c>
      <c r="D79" s="182" t="str">
        <f t="shared" si="7"/>
        <v>{1,758},{3,5547},{56,200}</v>
      </c>
      <c r="E79" s="122" t="str">
        <f t="shared" si="8"/>
        <v>{1,902},{3,7004},{56,200}</v>
      </c>
      <c r="F79" s="183" t="str">
        <f t="shared" si="9"/>
        <v>{1,1109},{3,8880},{56,200}</v>
      </c>
      <c r="G79" s="184" t="str">
        <f t="shared" si="10"/>
        <v>{1,1378},{3,11175},{56,200}</v>
      </c>
      <c r="J79" s="55" t="s">
        <v>2123</v>
      </c>
      <c r="K79" s="55" t="str">
        <f t="shared" si="11"/>
        <v>{1,4844},{3,29064},{56,200}</v>
      </c>
      <c r="N79" s="60">
        <v>72</v>
      </c>
      <c r="O79" s="180">
        <v>623</v>
      </c>
      <c r="P79" s="172">
        <v>758</v>
      </c>
      <c r="Q79" s="174">
        <v>902</v>
      </c>
      <c r="R79" s="176">
        <v>1109</v>
      </c>
      <c r="S79" s="178">
        <v>1378</v>
      </c>
      <c r="T79" s="53">
        <v>1</v>
      </c>
      <c r="U79" s="139">
        <v>4190</v>
      </c>
      <c r="V79" s="141">
        <v>5547</v>
      </c>
      <c r="W79" s="157">
        <v>7004</v>
      </c>
      <c r="X79" s="158">
        <v>8880</v>
      </c>
      <c r="Y79" s="136">
        <v>11175</v>
      </c>
      <c r="Z79" s="53">
        <v>3</v>
      </c>
      <c r="AA79" s="53">
        <v>56</v>
      </c>
    </row>
    <row r="80" spans="1:27">
      <c r="A80" s="86" t="s">
        <v>265</v>
      </c>
      <c r="B80" s="60">
        <v>73</v>
      </c>
      <c r="C80" s="181" t="str">
        <f t="shared" si="6"/>
        <v>{1,631},{3,4240},{56,200}</v>
      </c>
      <c r="D80" s="182" t="str">
        <f t="shared" si="7"/>
        <v>{1,767},{3,5612},{56,200}</v>
      </c>
      <c r="E80" s="122" t="str">
        <f t="shared" si="8"/>
        <v>{1,913},{3,7084},{56,200}</v>
      </c>
      <c r="F80" s="183" t="str">
        <f t="shared" si="9"/>
        <v>{1,1123},{3,8980},{56,200}</v>
      </c>
      <c r="G80" s="184" t="str">
        <f t="shared" si="10"/>
        <v>{1,1395},{3,11300},{56,200}</v>
      </c>
      <c r="J80" s="55" t="s">
        <v>2123</v>
      </c>
      <c r="K80" s="55" t="str">
        <f t="shared" si="11"/>
        <v>{1,4924},{3,29544},{56,200}</v>
      </c>
      <c r="N80" s="60">
        <v>73</v>
      </c>
      <c r="O80" s="180">
        <v>631</v>
      </c>
      <c r="P80" s="172">
        <v>767</v>
      </c>
      <c r="Q80" s="174">
        <v>913</v>
      </c>
      <c r="R80" s="176">
        <v>1123</v>
      </c>
      <c r="S80" s="178">
        <v>1395</v>
      </c>
      <c r="T80" s="53">
        <v>1</v>
      </c>
      <c r="U80" s="139">
        <v>4240</v>
      </c>
      <c r="V80" s="141">
        <v>5612</v>
      </c>
      <c r="W80" s="157">
        <v>7084</v>
      </c>
      <c r="X80" s="158">
        <v>8980</v>
      </c>
      <c r="Y80" s="136">
        <v>11300</v>
      </c>
      <c r="Z80" s="53">
        <v>3</v>
      </c>
      <c r="AA80" s="53">
        <v>56</v>
      </c>
    </row>
    <row r="81" spans="1:27">
      <c r="A81" s="86" t="s">
        <v>266</v>
      </c>
      <c r="B81" s="60">
        <v>74</v>
      </c>
      <c r="C81" s="181" t="str">
        <f t="shared" si="6"/>
        <v>{1,639},{3,4290},{56,200}</v>
      </c>
      <c r="D81" s="182" t="str">
        <f t="shared" si="7"/>
        <v>{1,777},{3,5677},{56,200}</v>
      </c>
      <c r="E81" s="122" t="str">
        <f t="shared" si="8"/>
        <v>{1,925},{3,7164},{56,200}</v>
      </c>
      <c r="F81" s="183" t="str">
        <f t="shared" si="9"/>
        <v>{1,1136},{3,9080},{56,200}</v>
      </c>
      <c r="G81" s="184" t="str">
        <f t="shared" si="10"/>
        <v>{1,1412},{3,11425},{56,200}</v>
      </c>
      <c r="J81" s="55" t="s">
        <v>2123</v>
      </c>
      <c r="K81" s="55" t="str">
        <f t="shared" si="11"/>
        <v>{1,5004},{3,30024},{56,200}</v>
      </c>
      <c r="N81" s="60">
        <v>74</v>
      </c>
      <c r="O81" s="180">
        <v>639</v>
      </c>
      <c r="P81" s="172">
        <v>777</v>
      </c>
      <c r="Q81" s="174">
        <v>925</v>
      </c>
      <c r="R81" s="176">
        <v>1136</v>
      </c>
      <c r="S81" s="178">
        <v>1412</v>
      </c>
      <c r="T81" s="53">
        <v>1</v>
      </c>
      <c r="U81" s="139">
        <v>4290</v>
      </c>
      <c r="V81" s="141">
        <v>5677</v>
      </c>
      <c r="W81" s="157">
        <v>7164</v>
      </c>
      <c r="X81" s="158">
        <v>9080</v>
      </c>
      <c r="Y81" s="136">
        <v>11425</v>
      </c>
      <c r="Z81" s="53">
        <v>3</v>
      </c>
      <c r="AA81" s="53">
        <v>56</v>
      </c>
    </row>
    <row r="82" spans="1:27">
      <c r="A82" s="86" t="s">
        <v>267</v>
      </c>
      <c r="B82" s="60">
        <v>75</v>
      </c>
      <c r="C82" s="181" t="str">
        <f t="shared" si="6"/>
        <v>{1,647},{3,4340},{56,200}</v>
      </c>
      <c r="D82" s="182" t="str">
        <f t="shared" si="7"/>
        <v>{1,786},{3,5742},{56,200}</v>
      </c>
      <c r="E82" s="122" t="str">
        <f t="shared" si="8"/>
        <v>{1,936},{3,7244},{56,200}</v>
      </c>
      <c r="F82" s="183" t="str">
        <f t="shared" si="9"/>
        <v>{1,1150},{3,9180},{56,200}</v>
      </c>
      <c r="G82" s="184" t="str">
        <f t="shared" si="10"/>
        <v>{1,1429},{3,11550},{56,200}</v>
      </c>
      <c r="J82" s="55" t="s">
        <v>2123</v>
      </c>
      <c r="K82" s="55" t="str">
        <f t="shared" si="11"/>
        <v>{1,5084},{3,30504},{56,200}</v>
      </c>
      <c r="N82" s="60">
        <v>75</v>
      </c>
      <c r="O82" s="180">
        <v>647</v>
      </c>
      <c r="P82" s="172">
        <v>786</v>
      </c>
      <c r="Q82" s="174">
        <v>936</v>
      </c>
      <c r="R82" s="176">
        <v>1150</v>
      </c>
      <c r="S82" s="178">
        <v>1429</v>
      </c>
      <c r="T82" s="53">
        <v>1</v>
      </c>
      <c r="U82" s="139">
        <v>4340</v>
      </c>
      <c r="V82" s="141">
        <v>5742</v>
      </c>
      <c r="W82" s="157">
        <v>7244</v>
      </c>
      <c r="X82" s="158">
        <v>9180</v>
      </c>
      <c r="Y82" s="136">
        <v>11550</v>
      </c>
      <c r="Z82" s="53">
        <v>3</v>
      </c>
      <c r="AA82" s="53">
        <v>56</v>
      </c>
    </row>
    <row r="83" spans="1:27">
      <c r="A83" s="86" t="s">
        <v>268</v>
      </c>
      <c r="B83" s="60">
        <v>76</v>
      </c>
      <c r="C83" s="181" t="str">
        <f t="shared" si="6"/>
        <v>{1,655},{3,4390},{56,200}</v>
      </c>
      <c r="D83" s="182" t="str">
        <f t="shared" si="7"/>
        <v>{1,796},{3,5807},{56,200}</v>
      </c>
      <c r="E83" s="122" t="str">
        <f t="shared" si="8"/>
        <v>{1,947},{3,7324},{56,200}</v>
      </c>
      <c r="F83" s="183" t="str">
        <f t="shared" si="9"/>
        <v>{1,1164},{3,9280},{56,200}</v>
      </c>
      <c r="G83" s="184" t="str">
        <f t="shared" si="10"/>
        <v>{1,1446},{3,11675},{56,200}</v>
      </c>
      <c r="J83" s="55" t="s">
        <v>2123</v>
      </c>
      <c r="K83" s="55" t="str">
        <f t="shared" si="11"/>
        <v>{1,5164},{3,30984},{56,200}</v>
      </c>
      <c r="N83" s="60">
        <v>76</v>
      </c>
      <c r="O83" s="180">
        <v>655</v>
      </c>
      <c r="P83" s="172">
        <v>796</v>
      </c>
      <c r="Q83" s="174">
        <v>947</v>
      </c>
      <c r="R83" s="176">
        <v>1164</v>
      </c>
      <c r="S83" s="178">
        <v>1446</v>
      </c>
      <c r="T83" s="53">
        <v>1</v>
      </c>
      <c r="U83" s="139">
        <v>4390</v>
      </c>
      <c r="V83" s="141">
        <v>5807</v>
      </c>
      <c r="W83" s="157">
        <v>7324</v>
      </c>
      <c r="X83" s="158">
        <v>9280</v>
      </c>
      <c r="Y83" s="136">
        <v>11675</v>
      </c>
      <c r="Z83" s="53">
        <v>3</v>
      </c>
      <c r="AA83" s="53">
        <v>56</v>
      </c>
    </row>
    <row r="84" spans="1:27">
      <c r="A84" s="86" t="s">
        <v>269</v>
      </c>
      <c r="B84" s="60">
        <v>77</v>
      </c>
      <c r="C84" s="181" t="str">
        <f t="shared" si="6"/>
        <v>{1,663},{3,4440},{56,200}</v>
      </c>
      <c r="D84" s="182" t="str">
        <f t="shared" si="7"/>
        <v>{1,806},{3,5872},{56,200}</v>
      </c>
      <c r="E84" s="122" t="str">
        <f t="shared" si="8"/>
        <v>{1,958},{3,7404},{56,200}</v>
      </c>
      <c r="F84" s="183" t="str">
        <f t="shared" si="9"/>
        <v>{1,1177},{3,9380},{56,200}</v>
      </c>
      <c r="G84" s="184" t="str">
        <f t="shared" si="10"/>
        <v>{1,1462},{3,11800},{56,200}</v>
      </c>
      <c r="J84" s="55" t="s">
        <v>2123</v>
      </c>
      <c r="K84" s="55" t="str">
        <f t="shared" si="11"/>
        <v>{1,5244},{3,31464},{56,200}</v>
      </c>
      <c r="N84" s="60">
        <v>77</v>
      </c>
      <c r="O84" s="180">
        <v>663</v>
      </c>
      <c r="P84" s="172">
        <v>806</v>
      </c>
      <c r="Q84" s="174">
        <v>958</v>
      </c>
      <c r="R84" s="176">
        <v>1177</v>
      </c>
      <c r="S84" s="178">
        <v>1462</v>
      </c>
      <c r="T84" s="53">
        <v>1</v>
      </c>
      <c r="U84" s="139">
        <v>4440</v>
      </c>
      <c r="V84" s="141">
        <v>5872</v>
      </c>
      <c r="W84" s="157">
        <v>7404</v>
      </c>
      <c r="X84" s="158">
        <v>9380</v>
      </c>
      <c r="Y84" s="136">
        <v>11800</v>
      </c>
      <c r="Z84" s="53">
        <v>3</v>
      </c>
      <c r="AA84" s="53">
        <v>56</v>
      </c>
    </row>
    <row r="85" spans="1:27">
      <c r="A85" s="86" t="s">
        <v>270</v>
      </c>
      <c r="B85" s="60">
        <v>78</v>
      </c>
      <c r="C85" s="181" t="str">
        <f t="shared" si="6"/>
        <v>{1,671},{3,4490},{56,200}</v>
      </c>
      <c r="D85" s="182" t="str">
        <f t="shared" si="7"/>
        <v>{1,815},{3,5937},{56,200}</v>
      </c>
      <c r="E85" s="122" t="str">
        <f t="shared" si="8"/>
        <v>{1,969},{3,7484},{56,200}</v>
      </c>
      <c r="F85" s="183" t="str">
        <f t="shared" si="9"/>
        <v>{1,1191},{3,9480},{56,200}</v>
      </c>
      <c r="G85" s="184" t="str">
        <f t="shared" si="10"/>
        <v>{1,1479},{3,11925},{56,200}</v>
      </c>
      <c r="J85" s="55" t="s">
        <v>2123</v>
      </c>
      <c r="K85" s="55" t="str">
        <f t="shared" si="11"/>
        <v>{1,5324},{3,31944},{56,200}</v>
      </c>
      <c r="N85" s="60">
        <v>78</v>
      </c>
      <c r="O85" s="180">
        <v>671</v>
      </c>
      <c r="P85" s="172">
        <v>815</v>
      </c>
      <c r="Q85" s="174">
        <v>969</v>
      </c>
      <c r="R85" s="176">
        <v>1191</v>
      </c>
      <c r="S85" s="178">
        <v>1479</v>
      </c>
      <c r="T85" s="53">
        <v>1</v>
      </c>
      <c r="U85" s="139">
        <v>4490</v>
      </c>
      <c r="V85" s="141">
        <v>5937</v>
      </c>
      <c r="W85" s="157">
        <v>7484</v>
      </c>
      <c r="X85" s="158">
        <v>9480</v>
      </c>
      <c r="Y85" s="136">
        <v>11925</v>
      </c>
      <c r="Z85" s="53">
        <v>3</v>
      </c>
      <c r="AA85" s="53">
        <v>56</v>
      </c>
    </row>
    <row r="86" spans="1:27">
      <c r="A86" s="86" t="s">
        <v>271</v>
      </c>
      <c r="B86" s="60">
        <v>79</v>
      </c>
      <c r="C86" s="181" t="str">
        <f t="shared" si="6"/>
        <v>{1,679},{3,4540},{56,200}</v>
      </c>
      <c r="D86" s="182" t="str">
        <f t="shared" si="7"/>
        <v>{1,825},{3,6002},{56,200}</v>
      </c>
      <c r="E86" s="122" t="str">
        <f t="shared" si="8"/>
        <v>{1,981},{3,7564},{56,200}</v>
      </c>
      <c r="F86" s="183" t="str">
        <f t="shared" si="9"/>
        <v>{1,1204},{3,9580},{56,200}</v>
      </c>
      <c r="G86" s="184" t="str">
        <f t="shared" si="10"/>
        <v>{1,1496},{3,12050},{56,200}</v>
      </c>
      <c r="J86" s="55" t="s">
        <v>2123</v>
      </c>
      <c r="K86" s="55" t="str">
        <f t="shared" si="11"/>
        <v>{1,5404},{3,32424},{56,200}</v>
      </c>
      <c r="N86" s="60">
        <v>79</v>
      </c>
      <c r="O86" s="180">
        <v>679</v>
      </c>
      <c r="P86" s="172">
        <v>825</v>
      </c>
      <c r="Q86" s="174">
        <v>981</v>
      </c>
      <c r="R86" s="176">
        <v>1204</v>
      </c>
      <c r="S86" s="178">
        <v>1496</v>
      </c>
      <c r="T86" s="53">
        <v>1</v>
      </c>
      <c r="U86" s="139">
        <v>4540</v>
      </c>
      <c r="V86" s="141">
        <v>6002</v>
      </c>
      <c r="W86" s="157">
        <v>7564</v>
      </c>
      <c r="X86" s="158">
        <v>9580</v>
      </c>
      <c r="Y86" s="136">
        <v>12050</v>
      </c>
      <c r="Z86" s="53">
        <v>3</v>
      </c>
      <c r="AA86" s="53">
        <v>56</v>
      </c>
    </row>
    <row r="87" spans="1:27">
      <c r="A87" s="87" t="s">
        <v>272</v>
      </c>
      <c r="B87" s="60">
        <v>80</v>
      </c>
      <c r="C87" s="181" t="str">
        <f t="shared" si="6"/>
        <v>{1,729},{3,5040},{56,250}</v>
      </c>
      <c r="D87" s="182" t="str">
        <f t="shared" si="7"/>
        <v>{1,885},{3,6652},{56,250}</v>
      </c>
      <c r="E87" s="122" t="str">
        <f t="shared" si="8"/>
        <v>{1,1051},{3,8364},{56,250}</v>
      </c>
      <c r="F87" s="183" t="str">
        <f t="shared" si="9"/>
        <v>{1,1289},{3,10580},{56,250}</v>
      </c>
      <c r="G87" s="184" t="str">
        <f t="shared" si="10"/>
        <v>{1,1601},{3,13300},{56,250}</v>
      </c>
      <c r="J87" s="55" t="s">
        <v>2124</v>
      </c>
      <c r="K87" s="55" t="str">
        <f t="shared" si="11"/>
        <v>{1,6414},{3,38484},{56,250}</v>
      </c>
      <c r="N87" s="60">
        <v>80</v>
      </c>
      <c r="O87" s="180">
        <v>729</v>
      </c>
      <c r="P87" s="172">
        <v>885</v>
      </c>
      <c r="Q87" s="174">
        <v>1051</v>
      </c>
      <c r="R87" s="176">
        <v>1289</v>
      </c>
      <c r="S87" s="178">
        <v>1601</v>
      </c>
      <c r="T87" s="53">
        <v>1</v>
      </c>
      <c r="U87" s="139">
        <v>5040</v>
      </c>
      <c r="V87" s="141">
        <v>6652</v>
      </c>
      <c r="W87" s="157">
        <v>8364</v>
      </c>
      <c r="X87" s="158">
        <v>10580</v>
      </c>
      <c r="Y87" s="136">
        <v>13300</v>
      </c>
      <c r="Z87" s="53">
        <v>3</v>
      </c>
      <c r="AA87" s="53">
        <v>56</v>
      </c>
    </row>
    <row r="88" spans="1:27">
      <c r="A88" s="86" t="s">
        <v>273</v>
      </c>
      <c r="B88" s="60">
        <v>81</v>
      </c>
      <c r="C88" s="181" t="str">
        <f t="shared" si="6"/>
        <v>{1,738},{3,5100},{56,250}</v>
      </c>
      <c r="D88" s="182" t="str">
        <f t="shared" si="7"/>
        <v>{1,896},{3,6730},{56,250}</v>
      </c>
      <c r="E88" s="122" t="str">
        <f t="shared" si="8"/>
        <v>{1,1063},{3,8460},{56,250}</v>
      </c>
      <c r="F88" s="183" t="str">
        <f t="shared" si="9"/>
        <v>{1,1305},{3,10700},{56,250}</v>
      </c>
      <c r="G88" s="184" t="str">
        <f t="shared" si="10"/>
        <v>{1,1620},{3,13450},{56,250}</v>
      </c>
      <c r="J88" s="55" t="s">
        <v>2124</v>
      </c>
      <c r="K88" s="55" t="str">
        <f t="shared" si="11"/>
        <v>{1,6514},{3,39084},{56,250}</v>
      </c>
      <c r="N88" s="60">
        <v>81</v>
      </c>
      <c r="O88" s="180">
        <v>738</v>
      </c>
      <c r="P88" s="172">
        <v>896</v>
      </c>
      <c r="Q88" s="174">
        <v>1063</v>
      </c>
      <c r="R88" s="176">
        <v>1305</v>
      </c>
      <c r="S88" s="178">
        <v>1620</v>
      </c>
      <c r="T88" s="53">
        <v>1</v>
      </c>
      <c r="U88" s="139">
        <v>5100</v>
      </c>
      <c r="V88" s="141">
        <v>6730</v>
      </c>
      <c r="W88" s="157">
        <v>8460</v>
      </c>
      <c r="X88" s="158">
        <v>10700</v>
      </c>
      <c r="Y88" s="136">
        <v>13450</v>
      </c>
      <c r="Z88" s="53">
        <v>3</v>
      </c>
      <c r="AA88" s="53">
        <v>56</v>
      </c>
    </row>
    <row r="89" spans="1:27">
      <c r="A89" s="86" t="s">
        <v>274</v>
      </c>
      <c r="B89" s="60">
        <v>82</v>
      </c>
      <c r="C89" s="181" t="str">
        <f t="shared" si="6"/>
        <v>{1,747},{3,5160},{56,250}</v>
      </c>
      <c r="D89" s="182" t="str">
        <f t="shared" si="7"/>
        <v>{1,906},{3,6808},{56,250}</v>
      </c>
      <c r="E89" s="122" t="str">
        <f t="shared" si="8"/>
        <v>{1,1076},{3,8556},{56,250}</v>
      </c>
      <c r="F89" s="183" t="str">
        <f t="shared" si="9"/>
        <v>{1,1320},{3,10820},{56,250}</v>
      </c>
      <c r="G89" s="184" t="str">
        <f t="shared" si="10"/>
        <v>{1,1639},{3,13600},{56,250}</v>
      </c>
      <c r="J89" s="55" t="s">
        <v>2124</v>
      </c>
      <c r="K89" s="55" t="str">
        <f t="shared" si="11"/>
        <v>{1,6614},{3,39684},{56,250}</v>
      </c>
      <c r="N89" s="60">
        <v>82</v>
      </c>
      <c r="O89" s="180">
        <v>747</v>
      </c>
      <c r="P89" s="172">
        <v>906</v>
      </c>
      <c r="Q89" s="174">
        <v>1076</v>
      </c>
      <c r="R89" s="176">
        <v>1320</v>
      </c>
      <c r="S89" s="178">
        <v>1639</v>
      </c>
      <c r="T89" s="53">
        <v>1</v>
      </c>
      <c r="U89" s="139">
        <v>5160</v>
      </c>
      <c r="V89" s="141">
        <v>6808</v>
      </c>
      <c r="W89" s="157">
        <v>8556</v>
      </c>
      <c r="X89" s="158">
        <v>10820</v>
      </c>
      <c r="Y89" s="136">
        <v>13600</v>
      </c>
      <c r="Z89" s="53">
        <v>3</v>
      </c>
      <c r="AA89" s="53">
        <v>56</v>
      </c>
    </row>
    <row r="90" spans="1:27">
      <c r="A90" s="86" t="s">
        <v>275</v>
      </c>
      <c r="B90" s="60">
        <v>83</v>
      </c>
      <c r="C90" s="181" t="str">
        <f t="shared" si="6"/>
        <v>{1,756},{3,5220},{56,250}</v>
      </c>
      <c r="D90" s="182" t="str">
        <f t="shared" si="7"/>
        <v>{1,917},{3,6886},{56,250}</v>
      </c>
      <c r="E90" s="122" t="str">
        <f t="shared" si="8"/>
        <v>{1,1088},{3,8652},{56,250}</v>
      </c>
      <c r="F90" s="183" t="str">
        <f t="shared" si="9"/>
        <v>{1,1335},{3,10940},{56,250}</v>
      </c>
      <c r="G90" s="184" t="str">
        <f t="shared" si="10"/>
        <v>{1,1658},{3,13750},{56,250}</v>
      </c>
      <c r="J90" s="55" t="s">
        <v>2124</v>
      </c>
      <c r="K90" s="55" t="str">
        <f t="shared" si="11"/>
        <v>{1,6714},{3,40284},{56,250}</v>
      </c>
      <c r="N90" s="60">
        <v>83</v>
      </c>
      <c r="O90" s="180">
        <v>756</v>
      </c>
      <c r="P90" s="172">
        <v>917</v>
      </c>
      <c r="Q90" s="174">
        <v>1088</v>
      </c>
      <c r="R90" s="176">
        <v>1335</v>
      </c>
      <c r="S90" s="178">
        <v>1658</v>
      </c>
      <c r="T90" s="53">
        <v>1</v>
      </c>
      <c r="U90" s="139">
        <v>5220</v>
      </c>
      <c r="V90" s="141">
        <v>6886</v>
      </c>
      <c r="W90" s="157">
        <v>8652</v>
      </c>
      <c r="X90" s="158">
        <v>10940</v>
      </c>
      <c r="Y90" s="136">
        <v>13750</v>
      </c>
      <c r="Z90" s="53">
        <v>3</v>
      </c>
      <c r="AA90" s="53">
        <v>56</v>
      </c>
    </row>
    <row r="91" spans="1:27">
      <c r="A91" s="86" t="s">
        <v>276</v>
      </c>
      <c r="B91" s="60">
        <v>84</v>
      </c>
      <c r="C91" s="181" t="str">
        <f t="shared" si="6"/>
        <v>{1,765},{3,5280},{56,250}</v>
      </c>
      <c r="D91" s="182" t="str">
        <f t="shared" si="7"/>
        <v>{1,928},{3,6964},{56,250}</v>
      </c>
      <c r="E91" s="122" t="str">
        <f t="shared" si="8"/>
        <v>{1,1101},{3,8748},{56,250}</v>
      </c>
      <c r="F91" s="183" t="str">
        <f t="shared" si="9"/>
        <v>{1,1351},{3,11060},{56,250}</v>
      </c>
      <c r="G91" s="184" t="str">
        <f t="shared" si="10"/>
        <v>{1,1677},{3,13900},{56,250}</v>
      </c>
      <c r="J91" s="55" t="s">
        <v>2124</v>
      </c>
      <c r="K91" s="55" t="str">
        <f t="shared" si="11"/>
        <v>{1,6814},{3,40884},{56,250}</v>
      </c>
      <c r="N91" s="60">
        <v>84</v>
      </c>
      <c r="O91" s="180">
        <v>765</v>
      </c>
      <c r="P91" s="172">
        <v>928</v>
      </c>
      <c r="Q91" s="174">
        <v>1101</v>
      </c>
      <c r="R91" s="176">
        <v>1351</v>
      </c>
      <c r="S91" s="178">
        <v>1677</v>
      </c>
      <c r="T91" s="53">
        <v>1</v>
      </c>
      <c r="U91" s="139">
        <v>5280</v>
      </c>
      <c r="V91" s="141">
        <v>6964</v>
      </c>
      <c r="W91" s="157">
        <v>8748</v>
      </c>
      <c r="X91" s="158">
        <v>11060</v>
      </c>
      <c r="Y91" s="136">
        <v>13900</v>
      </c>
      <c r="Z91" s="53">
        <v>3</v>
      </c>
      <c r="AA91" s="53">
        <v>56</v>
      </c>
    </row>
    <row r="92" spans="1:27">
      <c r="A92" s="86" t="s">
        <v>277</v>
      </c>
      <c r="B92" s="60">
        <v>85</v>
      </c>
      <c r="C92" s="181" t="str">
        <f t="shared" si="6"/>
        <v>{1,774},{3,5340},{56,250}</v>
      </c>
      <c r="D92" s="182" t="str">
        <f t="shared" si="7"/>
        <v>{1,939},{3,7042},{56,250}</v>
      </c>
      <c r="E92" s="122" t="str">
        <f t="shared" si="8"/>
        <v>{1,1114},{3,8844},{56,250}</v>
      </c>
      <c r="F92" s="183" t="str">
        <f t="shared" si="9"/>
        <v>{1,1366},{3,11180},{56,250}</v>
      </c>
      <c r="G92" s="184" t="str">
        <f t="shared" si="10"/>
        <v>{1,1695},{3,14050},{56,250}</v>
      </c>
      <c r="J92" s="55" t="s">
        <v>2124</v>
      </c>
      <c r="K92" s="55" t="str">
        <f t="shared" si="11"/>
        <v>{1,6914},{3,41484},{56,250}</v>
      </c>
      <c r="N92" s="60">
        <v>85</v>
      </c>
      <c r="O92" s="180">
        <v>774</v>
      </c>
      <c r="P92" s="172">
        <v>939</v>
      </c>
      <c r="Q92" s="174">
        <v>1114</v>
      </c>
      <c r="R92" s="176">
        <v>1366</v>
      </c>
      <c r="S92" s="178">
        <v>1695</v>
      </c>
      <c r="T92" s="53">
        <v>1</v>
      </c>
      <c r="U92" s="139">
        <v>5340</v>
      </c>
      <c r="V92" s="141">
        <v>7042</v>
      </c>
      <c r="W92" s="157">
        <v>8844</v>
      </c>
      <c r="X92" s="158">
        <v>11180</v>
      </c>
      <c r="Y92" s="136">
        <v>14050</v>
      </c>
      <c r="Z92" s="53">
        <v>3</v>
      </c>
      <c r="AA92" s="53">
        <v>56</v>
      </c>
    </row>
    <row r="93" spans="1:27">
      <c r="A93" s="86" t="s">
        <v>278</v>
      </c>
      <c r="B93" s="60">
        <v>86</v>
      </c>
      <c r="C93" s="181" t="str">
        <f t="shared" si="6"/>
        <v>{1,783},{3,5400},{56,250}</v>
      </c>
      <c r="D93" s="182" t="str">
        <f t="shared" si="7"/>
        <v>{1,950},{3,7120},{56,250}</v>
      </c>
      <c r="E93" s="122" t="str">
        <f t="shared" si="8"/>
        <v>{1,1126},{3,8940},{56,250}</v>
      </c>
      <c r="F93" s="183" t="str">
        <f t="shared" si="9"/>
        <v>{1,1381},{3,11300},{56,250}</v>
      </c>
      <c r="G93" s="184" t="str">
        <f t="shared" si="10"/>
        <v>{1,1714},{3,14200},{56,250}</v>
      </c>
      <c r="J93" s="55" t="s">
        <v>2124</v>
      </c>
      <c r="K93" s="55" t="str">
        <f t="shared" si="11"/>
        <v>{1,7014},{3,42084},{56,250}</v>
      </c>
      <c r="N93" s="60">
        <v>86</v>
      </c>
      <c r="O93" s="180">
        <v>783</v>
      </c>
      <c r="P93" s="172">
        <v>950</v>
      </c>
      <c r="Q93" s="174">
        <v>1126</v>
      </c>
      <c r="R93" s="176">
        <v>1381</v>
      </c>
      <c r="S93" s="178">
        <v>1714</v>
      </c>
      <c r="T93" s="53">
        <v>1</v>
      </c>
      <c r="U93" s="139">
        <v>5400</v>
      </c>
      <c r="V93" s="141">
        <v>7120</v>
      </c>
      <c r="W93" s="157">
        <v>8940</v>
      </c>
      <c r="X93" s="158">
        <v>11300</v>
      </c>
      <c r="Y93" s="136">
        <v>14200</v>
      </c>
      <c r="Z93" s="53">
        <v>3</v>
      </c>
      <c r="AA93" s="53">
        <v>56</v>
      </c>
    </row>
    <row r="94" spans="1:27">
      <c r="A94" s="86" t="s">
        <v>279</v>
      </c>
      <c r="B94" s="60">
        <v>87</v>
      </c>
      <c r="C94" s="181" t="str">
        <f t="shared" si="6"/>
        <v>{1,792},{3,5460},{56,250}</v>
      </c>
      <c r="D94" s="182" t="str">
        <f t="shared" si="7"/>
        <v>{1,960},{3,7198},{56,250}</v>
      </c>
      <c r="E94" s="122" t="str">
        <f t="shared" si="8"/>
        <v>{1,1139},{3,9036},{56,250}</v>
      </c>
      <c r="F94" s="183" t="str">
        <f t="shared" si="9"/>
        <v>{1,1396},{3,11420},{56,250}</v>
      </c>
      <c r="G94" s="184" t="str">
        <f t="shared" si="10"/>
        <v>{1,1733},{3,14350},{56,250}</v>
      </c>
      <c r="J94" s="55" t="s">
        <v>2124</v>
      </c>
      <c r="K94" s="55" t="str">
        <f t="shared" si="11"/>
        <v>{1,7114},{3,42684},{56,250}</v>
      </c>
      <c r="N94" s="60">
        <v>87</v>
      </c>
      <c r="O94" s="180">
        <v>792</v>
      </c>
      <c r="P94" s="172">
        <v>960</v>
      </c>
      <c r="Q94" s="174">
        <v>1139</v>
      </c>
      <c r="R94" s="176">
        <v>1396</v>
      </c>
      <c r="S94" s="178">
        <v>1733</v>
      </c>
      <c r="T94" s="53">
        <v>1</v>
      </c>
      <c r="U94" s="139">
        <v>5460</v>
      </c>
      <c r="V94" s="141">
        <v>7198</v>
      </c>
      <c r="W94" s="157">
        <v>9036</v>
      </c>
      <c r="X94" s="158">
        <v>11420</v>
      </c>
      <c r="Y94" s="136">
        <v>14350</v>
      </c>
      <c r="Z94" s="53">
        <v>3</v>
      </c>
      <c r="AA94" s="53">
        <v>56</v>
      </c>
    </row>
    <row r="95" spans="1:27">
      <c r="A95" s="86" t="s">
        <v>280</v>
      </c>
      <c r="B95" s="60">
        <v>88</v>
      </c>
      <c r="C95" s="181" t="str">
        <f t="shared" si="6"/>
        <v>{1,801},{3,5520},{56,250}</v>
      </c>
      <c r="D95" s="182" t="str">
        <f t="shared" si="7"/>
        <v>{1,971},{3,7276},{56,250}</v>
      </c>
      <c r="E95" s="122" t="str">
        <f t="shared" si="8"/>
        <v>{1,1151},{3,9132},{56,250}</v>
      </c>
      <c r="F95" s="183" t="str">
        <f t="shared" si="9"/>
        <v>{1,1412},{3,11540},{56,250}</v>
      </c>
      <c r="G95" s="184" t="str">
        <f t="shared" si="10"/>
        <v>{1,1752},{3,14500},{56,250}</v>
      </c>
      <c r="J95" s="55" t="s">
        <v>2124</v>
      </c>
      <c r="K95" s="55" t="str">
        <f t="shared" si="11"/>
        <v>{1,7214},{3,43284},{56,250}</v>
      </c>
      <c r="N95" s="60">
        <v>88</v>
      </c>
      <c r="O95" s="180">
        <v>801</v>
      </c>
      <c r="P95" s="172">
        <v>971</v>
      </c>
      <c r="Q95" s="174">
        <v>1151</v>
      </c>
      <c r="R95" s="176">
        <v>1412</v>
      </c>
      <c r="S95" s="178">
        <v>1752</v>
      </c>
      <c r="T95" s="53">
        <v>1</v>
      </c>
      <c r="U95" s="139">
        <v>5520</v>
      </c>
      <c r="V95" s="141">
        <v>7276</v>
      </c>
      <c r="W95" s="157">
        <v>9132</v>
      </c>
      <c r="X95" s="158">
        <v>11540</v>
      </c>
      <c r="Y95" s="136">
        <v>14500</v>
      </c>
      <c r="Z95" s="53">
        <v>3</v>
      </c>
      <c r="AA95" s="53">
        <v>56</v>
      </c>
    </row>
    <row r="96" spans="1:27">
      <c r="A96" s="86" t="s">
        <v>281</v>
      </c>
      <c r="B96" s="60">
        <v>89</v>
      </c>
      <c r="C96" s="181" t="str">
        <f t="shared" si="6"/>
        <v>{1,810},{3,5580},{56,250}</v>
      </c>
      <c r="D96" s="182" t="str">
        <f t="shared" si="7"/>
        <v>{1,982},{3,7354},{56,250}</v>
      </c>
      <c r="E96" s="122" t="str">
        <f t="shared" si="8"/>
        <v>{1,1164},{3,9228},{56,250}</v>
      </c>
      <c r="F96" s="183" t="str">
        <f t="shared" si="9"/>
        <v>{1,1427},{3,11660},{56,250}</v>
      </c>
      <c r="G96" s="184" t="str">
        <f t="shared" si="10"/>
        <v>{1,1771},{3,14650},{56,250}</v>
      </c>
      <c r="J96" s="55" t="s">
        <v>2124</v>
      </c>
      <c r="K96" s="55" t="str">
        <f t="shared" si="11"/>
        <v>{1,7314},{3,43884},{56,250}</v>
      </c>
      <c r="N96" s="60">
        <v>89</v>
      </c>
      <c r="O96" s="180">
        <v>810</v>
      </c>
      <c r="P96" s="172">
        <v>982</v>
      </c>
      <c r="Q96" s="174">
        <v>1164</v>
      </c>
      <c r="R96" s="176">
        <v>1427</v>
      </c>
      <c r="S96" s="178">
        <v>1771</v>
      </c>
      <c r="T96" s="53">
        <v>1</v>
      </c>
      <c r="U96" s="139">
        <v>5580</v>
      </c>
      <c r="V96" s="141">
        <v>7354</v>
      </c>
      <c r="W96" s="157">
        <v>9228</v>
      </c>
      <c r="X96" s="158">
        <v>11660</v>
      </c>
      <c r="Y96" s="136">
        <v>14650</v>
      </c>
      <c r="Z96" s="53">
        <v>3</v>
      </c>
      <c r="AA96" s="53">
        <v>56</v>
      </c>
    </row>
    <row r="97" spans="1:27">
      <c r="A97" s="86" t="s">
        <v>282</v>
      </c>
      <c r="B97" s="60">
        <v>90</v>
      </c>
      <c r="C97" s="181" t="str">
        <f t="shared" si="6"/>
        <v>{1,819},{3,5640},{56,250}</v>
      </c>
      <c r="D97" s="182" t="str">
        <f t="shared" si="7"/>
        <v>{1,993},{3,7432},{56,250}</v>
      </c>
      <c r="E97" s="122" t="str">
        <f t="shared" si="8"/>
        <v>{1,1177},{3,9324},{56,250}</v>
      </c>
      <c r="F97" s="183" t="str">
        <f t="shared" si="9"/>
        <v>{1,1442},{3,11780},{56,250}</v>
      </c>
      <c r="G97" s="184" t="str">
        <f t="shared" si="10"/>
        <v>{1,1790},{3,14800},{56,250}</v>
      </c>
      <c r="J97" s="55" t="s">
        <v>2124</v>
      </c>
      <c r="K97" s="55" t="str">
        <f t="shared" si="11"/>
        <v>{1,7414},{3,44484},{56,250}</v>
      </c>
      <c r="N97" s="60">
        <v>90</v>
      </c>
      <c r="O97" s="180">
        <v>819</v>
      </c>
      <c r="P97" s="172">
        <v>993</v>
      </c>
      <c r="Q97" s="174">
        <v>1177</v>
      </c>
      <c r="R97" s="176">
        <v>1442</v>
      </c>
      <c r="S97" s="178">
        <v>1790</v>
      </c>
      <c r="T97" s="53">
        <v>1</v>
      </c>
      <c r="U97" s="139">
        <v>5640</v>
      </c>
      <c r="V97" s="141">
        <v>7432</v>
      </c>
      <c r="W97" s="157">
        <v>9324</v>
      </c>
      <c r="X97" s="158">
        <v>11780</v>
      </c>
      <c r="Y97" s="136">
        <v>14800</v>
      </c>
      <c r="Z97" s="53">
        <v>3</v>
      </c>
      <c r="AA97" s="53">
        <v>56</v>
      </c>
    </row>
    <row r="98" spans="1:27">
      <c r="A98" s="86" t="s">
        <v>283</v>
      </c>
      <c r="B98" s="60">
        <v>91</v>
      </c>
      <c r="C98" s="181" t="str">
        <f t="shared" si="6"/>
        <v>{1,828},{3,5700},{56,250}</v>
      </c>
      <c r="D98" s="182" t="str">
        <f t="shared" si="7"/>
        <v>{1,1004},{3,7510},{56,250}</v>
      </c>
      <c r="E98" s="122" t="str">
        <f t="shared" si="8"/>
        <v>{1,1189},{3,9420},{56,250}</v>
      </c>
      <c r="F98" s="183" t="str">
        <f t="shared" si="9"/>
        <v>{1,1458},{3,11900},{56,250}</v>
      </c>
      <c r="G98" s="184" t="str">
        <f t="shared" si="10"/>
        <v>{1,1809},{3,14950},{56,250}</v>
      </c>
      <c r="J98" s="55" t="s">
        <v>2124</v>
      </c>
      <c r="K98" s="55" t="str">
        <f t="shared" si="11"/>
        <v>{1,7514},{3,45084},{56,250}</v>
      </c>
      <c r="N98" s="60">
        <v>91</v>
      </c>
      <c r="O98" s="180">
        <v>828</v>
      </c>
      <c r="P98" s="172">
        <v>1004</v>
      </c>
      <c r="Q98" s="174">
        <v>1189</v>
      </c>
      <c r="R98" s="176">
        <v>1458</v>
      </c>
      <c r="S98" s="178">
        <v>1809</v>
      </c>
      <c r="T98" s="53">
        <v>1</v>
      </c>
      <c r="U98" s="139">
        <v>5700</v>
      </c>
      <c r="V98" s="141">
        <v>7510</v>
      </c>
      <c r="W98" s="157">
        <v>9420</v>
      </c>
      <c r="X98" s="158">
        <v>11900</v>
      </c>
      <c r="Y98" s="136">
        <v>14950</v>
      </c>
      <c r="Z98" s="53">
        <v>3</v>
      </c>
      <c r="AA98" s="53">
        <v>56</v>
      </c>
    </row>
    <row r="99" spans="1:27">
      <c r="A99" s="86" t="s">
        <v>284</v>
      </c>
      <c r="B99" s="60">
        <v>92</v>
      </c>
      <c r="C99" s="181" t="str">
        <f t="shared" si="6"/>
        <v>{1,837},{3,5760},{56,250}</v>
      </c>
      <c r="D99" s="182" t="str">
        <f t="shared" si="7"/>
        <v>{1,1014},{3,7588},{56,250}</v>
      </c>
      <c r="E99" s="122" t="str">
        <f t="shared" si="8"/>
        <v>{1,1202},{3,9516},{56,250}</v>
      </c>
      <c r="F99" s="183" t="str">
        <f t="shared" si="9"/>
        <v>{1,1473},{3,12020},{56,250}</v>
      </c>
      <c r="G99" s="184" t="str">
        <f t="shared" si="10"/>
        <v>{1,1828},{3,15100},{56,250}</v>
      </c>
      <c r="J99" s="55" t="s">
        <v>2124</v>
      </c>
      <c r="K99" s="55" t="str">
        <f t="shared" si="11"/>
        <v>{1,7614},{3,45684},{56,250}</v>
      </c>
      <c r="N99" s="60">
        <v>92</v>
      </c>
      <c r="O99" s="180">
        <v>837</v>
      </c>
      <c r="P99" s="172">
        <v>1014</v>
      </c>
      <c r="Q99" s="174">
        <v>1202</v>
      </c>
      <c r="R99" s="176">
        <v>1473</v>
      </c>
      <c r="S99" s="178">
        <v>1828</v>
      </c>
      <c r="T99" s="53">
        <v>1</v>
      </c>
      <c r="U99" s="139">
        <v>5760</v>
      </c>
      <c r="V99" s="141">
        <v>7588</v>
      </c>
      <c r="W99" s="157">
        <v>9516</v>
      </c>
      <c r="X99" s="158">
        <v>12020</v>
      </c>
      <c r="Y99" s="136">
        <v>15100</v>
      </c>
      <c r="Z99" s="53">
        <v>3</v>
      </c>
      <c r="AA99" s="53">
        <v>56</v>
      </c>
    </row>
    <row r="100" spans="1:27">
      <c r="A100" s="86" t="s">
        <v>285</v>
      </c>
      <c r="B100" s="60">
        <v>93</v>
      </c>
      <c r="C100" s="181" t="str">
        <f t="shared" si="6"/>
        <v>{1,846},{3,5820},{56,250}</v>
      </c>
      <c r="D100" s="182" t="str">
        <f t="shared" si="7"/>
        <v>{1,1025},{3,7666},{56,250}</v>
      </c>
      <c r="E100" s="122" t="str">
        <f t="shared" si="8"/>
        <v>{1,1214},{3,9612},{56,250}</v>
      </c>
      <c r="F100" s="183" t="str">
        <f t="shared" si="9"/>
        <v>{1,1488},{3,12140},{56,250}</v>
      </c>
      <c r="G100" s="184" t="str">
        <f t="shared" si="10"/>
        <v>{1,1847},{3,15250},{56,250}</v>
      </c>
      <c r="J100" s="55" t="s">
        <v>2124</v>
      </c>
      <c r="K100" s="55" t="str">
        <f t="shared" si="11"/>
        <v>{1,7714},{3,46284},{56,250}</v>
      </c>
      <c r="N100" s="60">
        <v>93</v>
      </c>
      <c r="O100" s="180">
        <v>846</v>
      </c>
      <c r="P100" s="172">
        <v>1025</v>
      </c>
      <c r="Q100" s="174">
        <v>1214</v>
      </c>
      <c r="R100" s="176">
        <v>1488</v>
      </c>
      <c r="S100" s="178">
        <v>1847</v>
      </c>
      <c r="T100" s="53">
        <v>1</v>
      </c>
      <c r="U100" s="139">
        <v>5820</v>
      </c>
      <c r="V100" s="141">
        <v>7666</v>
      </c>
      <c r="W100" s="157">
        <v>9612</v>
      </c>
      <c r="X100" s="158">
        <v>12140</v>
      </c>
      <c r="Y100" s="136">
        <v>15250</v>
      </c>
      <c r="Z100" s="53">
        <v>3</v>
      </c>
      <c r="AA100" s="53">
        <v>56</v>
      </c>
    </row>
    <row r="101" spans="1:27">
      <c r="A101" s="86" t="s">
        <v>286</v>
      </c>
      <c r="B101" s="60">
        <v>94</v>
      </c>
      <c r="C101" s="181" t="str">
        <f t="shared" si="6"/>
        <v>{1,855},{3,5880},{56,250}</v>
      </c>
      <c r="D101" s="182" t="str">
        <f t="shared" si="7"/>
        <v>{1,1036},{3,7744},{56,250}</v>
      </c>
      <c r="E101" s="122" t="str">
        <f t="shared" si="8"/>
        <v>{1,1227},{3,9708},{56,250}</v>
      </c>
      <c r="F101" s="183" t="str">
        <f t="shared" si="9"/>
        <v>{1,1504},{3,12260},{56,250}</v>
      </c>
      <c r="G101" s="184" t="str">
        <f t="shared" si="10"/>
        <v>{1,1866},{3,15400},{56,250}</v>
      </c>
      <c r="J101" s="55" t="s">
        <v>2124</v>
      </c>
      <c r="K101" s="55" t="str">
        <f t="shared" si="11"/>
        <v>{1,7814},{3,46884},{56,250}</v>
      </c>
      <c r="N101" s="60">
        <v>94</v>
      </c>
      <c r="O101" s="180">
        <v>855</v>
      </c>
      <c r="P101" s="172">
        <v>1036</v>
      </c>
      <c r="Q101" s="174">
        <v>1227</v>
      </c>
      <c r="R101" s="176">
        <v>1504</v>
      </c>
      <c r="S101" s="178">
        <v>1866</v>
      </c>
      <c r="T101" s="53">
        <v>1</v>
      </c>
      <c r="U101" s="139">
        <v>5880</v>
      </c>
      <c r="V101" s="141">
        <v>7744</v>
      </c>
      <c r="W101" s="157">
        <v>9708</v>
      </c>
      <c r="X101" s="158">
        <v>12260</v>
      </c>
      <c r="Y101" s="136">
        <v>15400</v>
      </c>
      <c r="Z101" s="53">
        <v>3</v>
      </c>
      <c r="AA101" s="53">
        <v>56</v>
      </c>
    </row>
    <row r="102" spans="1:27">
      <c r="A102" s="86" t="s">
        <v>287</v>
      </c>
      <c r="B102" s="60">
        <v>95</v>
      </c>
      <c r="C102" s="181" t="str">
        <f t="shared" si="6"/>
        <v>{1,864},{3,5940},{56,250}</v>
      </c>
      <c r="D102" s="182" t="str">
        <f t="shared" si="7"/>
        <v>{1,1047},{3,7822},{56,250}</v>
      </c>
      <c r="E102" s="122" t="str">
        <f t="shared" si="8"/>
        <v>{1,1240},{3,9804},{56,250}</v>
      </c>
      <c r="F102" s="183" t="str">
        <f t="shared" si="9"/>
        <v>{1,1519},{3,12380},{56,250}</v>
      </c>
      <c r="G102" s="184" t="str">
        <f t="shared" si="10"/>
        <v>{1,1884},{3,15550},{56,250}</v>
      </c>
      <c r="J102" s="55" t="s">
        <v>2124</v>
      </c>
      <c r="K102" s="55" t="str">
        <f t="shared" si="11"/>
        <v>{1,7914},{3,47484},{56,250}</v>
      </c>
      <c r="N102" s="60">
        <v>95</v>
      </c>
      <c r="O102" s="180">
        <v>864</v>
      </c>
      <c r="P102" s="172">
        <v>1047</v>
      </c>
      <c r="Q102" s="174">
        <v>1240</v>
      </c>
      <c r="R102" s="176">
        <v>1519</v>
      </c>
      <c r="S102" s="178">
        <v>1884</v>
      </c>
      <c r="T102" s="53">
        <v>1</v>
      </c>
      <c r="U102" s="139">
        <v>5940</v>
      </c>
      <c r="V102" s="141">
        <v>7822</v>
      </c>
      <c r="W102" s="157">
        <v>9804</v>
      </c>
      <c r="X102" s="158">
        <v>12380</v>
      </c>
      <c r="Y102" s="136">
        <v>15550</v>
      </c>
      <c r="Z102" s="53">
        <v>3</v>
      </c>
      <c r="AA102" s="53">
        <v>56</v>
      </c>
    </row>
    <row r="103" spans="1:27">
      <c r="A103" s="86" t="s">
        <v>288</v>
      </c>
      <c r="B103" s="60">
        <v>96</v>
      </c>
      <c r="C103" s="181" t="str">
        <f t="shared" si="6"/>
        <v>{1,873},{3,6000},{56,250}</v>
      </c>
      <c r="D103" s="182" t="str">
        <f t="shared" si="7"/>
        <v>{1,1058},{3,7900},{56,250}</v>
      </c>
      <c r="E103" s="122" t="str">
        <f t="shared" si="8"/>
        <v>{1,1252},{3,9900},{56,250}</v>
      </c>
      <c r="F103" s="183" t="str">
        <f t="shared" si="9"/>
        <v>{1,1534},{3,12500},{56,250}</v>
      </c>
      <c r="G103" s="184" t="str">
        <f t="shared" si="10"/>
        <v>{1,1903},{3,15700},{56,250}</v>
      </c>
      <c r="J103" s="55" t="s">
        <v>2124</v>
      </c>
      <c r="K103" s="55" t="str">
        <f t="shared" si="11"/>
        <v>{1,8014},{3,48084},{56,250}</v>
      </c>
      <c r="N103" s="60">
        <v>96</v>
      </c>
      <c r="O103" s="180">
        <v>873</v>
      </c>
      <c r="P103" s="172">
        <v>1058</v>
      </c>
      <c r="Q103" s="174">
        <v>1252</v>
      </c>
      <c r="R103" s="176">
        <v>1534</v>
      </c>
      <c r="S103" s="178">
        <v>1903</v>
      </c>
      <c r="T103" s="53">
        <v>1</v>
      </c>
      <c r="U103" s="139">
        <v>6000</v>
      </c>
      <c r="V103" s="141">
        <v>7900</v>
      </c>
      <c r="W103" s="157">
        <v>9900</v>
      </c>
      <c r="X103" s="158">
        <v>12500</v>
      </c>
      <c r="Y103" s="136">
        <v>15700</v>
      </c>
      <c r="Z103" s="53">
        <v>3</v>
      </c>
      <c r="AA103" s="53">
        <v>56</v>
      </c>
    </row>
    <row r="104" spans="1:27">
      <c r="A104" s="86" t="s">
        <v>289</v>
      </c>
      <c r="B104" s="60">
        <v>97</v>
      </c>
      <c r="C104" s="181" t="str">
        <f t="shared" si="6"/>
        <v>{1,882},{3,6060},{56,250}</v>
      </c>
      <c r="D104" s="182" t="str">
        <f t="shared" si="7"/>
        <v>{1,1068},{3,7978},{56,250}</v>
      </c>
      <c r="E104" s="122" t="str">
        <f t="shared" si="8"/>
        <v>{1,1265},{3,9996},{56,250}</v>
      </c>
      <c r="F104" s="183" t="str">
        <f t="shared" si="9"/>
        <v>{1,1549},{3,12620},{56,250}</v>
      </c>
      <c r="G104" s="184" t="str">
        <f t="shared" si="10"/>
        <v>{1,1922},{3,15850},{56,250}</v>
      </c>
      <c r="J104" s="55" t="s">
        <v>2124</v>
      </c>
      <c r="K104" s="55" t="str">
        <f t="shared" si="11"/>
        <v>{1,8114},{3,48684},{56,250}</v>
      </c>
      <c r="N104" s="60">
        <v>97</v>
      </c>
      <c r="O104" s="180">
        <v>882</v>
      </c>
      <c r="P104" s="172">
        <v>1068</v>
      </c>
      <c r="Q104" s="174">
        <v>1265</v>
      </c>
      <c r="R104" s="176">
        <v>1549</v>
      </c>
      <c r="S104" s="178">
        <v>1922</v>
      </c>
      <c r="T104" s="53">
        <v>1</v>
      </c>
      <c r="U104" s="139">
        <v>6060</v>
      </c>
      <c r="V104" s="141">
        <v>7978</v>
      </c>
      <c r="W104" s="157">
        <v>9996</v>
      </c>
      <c r="X104" s="158">
        <v>12620</v>
      </c>
      <c r="Y104" s="136">
        <v>15850</v>
      </c>
      <c r="Z104" s="53">
        <v>3</v>
      </c>
      <c r="AA104" s="53">
        <v>56</v>
      </c>
    </row>
    <row r="105" spans="1:27">
      <c r="A105" s="86" t="s">
        <v>290</v>
      </c>
      <c r="B105" s="60">
        <v>98</v>
      </c>
      <c r="C105" s="181" t="str">
        <f t="shared" si="6"/>
        <v>{1,891},{3,6120},{56,250}</v>
      </c>
      <c r="D105" s="182" t="str">
        <f t="shared" si="7"/>
        <v>{1,1079},{3,8056},{56,250}</v>
      </c>
      <c r="E105" s="122" t="str">
        <f t="shared" si="8"/>
        <v>{1,1277},{3,10092},{56,250}</v>
      </c>
      <c r="F105" s="183" t="str">
        <f t="shared" si="9"/>
        <v>{1,1565},{3,12740},{56,250}</v>
      </c>
      <c r="G105" s="184" t="str">
        <f t="shared" si="10"/>
        <v>{1,1941},{3,16000},{56,250}</v>
      </c>
      <c r="J105" s="55" t="s">
        <v>2124</v>
      </c>
      <c r="K105" s="55" t="str">
        <f t="shared" si="11"/>
        <v>{1,8214},{3,49284},{56,250}</v>
      </c>
      <c r="N105" s="60">
        <v>98</v>
      </c>
      <c r="O105" s="180">
        <v>891</v>
      </c>
      <c r="P105" s="172">
        <v>1079</v>
      </c>
      <c r="Q105" s="174">
        <v>1277</v>
      </c>
      <c r="R105" s="176">
        <v>1565</v>
      </c>
      <c r="S105" s="178">
        <v>1941</v>
      </c>
      <c r="T105" s="53">
        <v>1</v>
      </c>
      <c r="U105" s="139">
        <v>6120</v>
      </c>
      <c r="V105" s="141">
        <v>8056</v>
      </c>
      <c r="W105" s="157">
        <v>10092</v>
      </c>
      <c r="X105" s="158">
        <v>12740</v>
      </c>
      <c r="Y105" s="136">
        <v>16000</v>
      </c>
      <c r="Z105" s="53">
        <v>3</v>
      </c>
      <c r="AA105" s="53">
        <v>56</v>
      </c>
    </row>
    <row r="106" spans="1:27">
      <c r="A106" s="86" t="s">
        <v>291</v>
      </c>
      <c r="B106" s="60">
        <v>99</v>
      </c>
      <c r="C106" s="181" t="str">
        <f t="shared" si="6"/>
        <v>{1,900},{3,6180},{56,250}</v>
      </c>
      <c r="D106" s="182" t="str">
        <f t="shared" si="7"/>
        <v>{1,1090},{3,8134},{56,250}</v>
      </c>
      <c r="E106" s="122" t="str">
        <f t="shared" si="8"/>
        <v>{1,1290},{3,10188},{56,250}</v>
      </c>
      <c r="F106" s="183" t="str">
        <f t="shared" si="9"/>
        <v>{1,1580},{3,12860},{56,250}</v>
      </c>
      <c r="G106" s="184" t="str">
        <f t="shared" si="10"/>
        <v>{1,1960},{3,16150},{56,250}</v>
      </c>
      <c r="J106" s="55" t="s">
        <v>2124</v>
      </c>
      <c r="K106" s="55" t="str">
        <f t="shared" si="11"/>
        <v>{1,8314},{3,49884},{56,250}</v>
      </c>
      <c r="N106" s="60">
        <v>99</v>
      </c>
      <c r="O106" s="180">
        <v>900</v>
      </c>
      <c r="P106" s="172">
        <v>1090</v>
      </c>
      <c r="Q106" s="174">
        <v>1290</v>
      </c>
      <c r="R106" s="176">
        <v>1580</v>
      </c>
      <c r="S106" s="178">
        <v>1960</v>
      </c>
      <c r="T106" s="53">
        <v>1</v>
      </c>
      <c r="U106" s="139">
        <v>6180</v>
      </c>
      <c r="V106" s="141">
        <v>8134</v>
      </c>
      <c r="W106" s="157">
        <v>10188</v>
      </c>
      <c r="X106" s="158">
        <v>12860</v>
      </c>
      <c r="Y106" s="136">
        <v>16150</v>
      </c>
      <c r="Z106" s="55">
        <v>3</v>
      </c>
      <c r="AA106" s="53">
        <v>56</v>
      </c>
    </row>
    <row r="107" spans="1:27">
      <c r="A107" s="86" t="s">
        <v>292</v>
      </c>
      <c r="C107" s="181" t="str">
        <f t="shared" si="6"/>
        <v>{1,909},{3,6240},{56,250}</v>
      </c>
      <c r="D107" s="182" t="str">
        <f t="shared" si="7"/>
        <v>{1,1101},{3,8212},{56,250}</v>
      </c>
      <c r="E107" s="122" t="str">
        <f t="shared" si="8"/>
        <v>{1,1303},{3,10284},{56,250}</v>
      </c>
      <c r="F107" s="183" t="str">
        <f t="shared" si="9"/>
        <v>{1,1595},{3,12980},{56,250}</v>
      </c>
      <c r="G107" s="184" t="str">
        <f t="shared" si="10"/>
        <v>{1,1979},{3,16300},{56,250}</v>
      </c>
      <c r="J107" s="55" t="s">
        <v>2124</v>
      </c>
      <c r="K107" s="55" t="str">
        <f t="shared" si="11"/>
        <v>{1,9828},{3,58968},{56,250}</v>
      </c>
      <c r="N107" s="53"/>
      <c r="O107" s="170">
        <v>909</v>
      </c>
      <c r="P107" s="170">
        <v>1101</v>
      </c>
      <c r="Q107" s="170">
        <v>1303</v>
      </c>
      <c r="R107" s="170">
        <v>1595</v>
      </c>
      <c r="S107" s="170">
        <v>1979</v>
      </c>
      <c r="T107" s="53">
        <v>1</v>
      </c>
      <c r="U107" s="53">
        <v>6240</v>
      </c>
      <c r="V107" s="53">
        <v>8212</v>
      </c>
      <c r="W107" s="53">
        <v>10284</v>
      </c>
      <c r="X107" s="53">
        <v>12980</v>
      </c>
      <c r="Y107" s="53">
        <v>16300</v>
      </c>
      <c r="Z107" s="53">
        <v>3</v>
      </c>
      <c r="AA107" s="53">
        <v>56</v>
      </c>
    </row>
    <row r="108" spans="1:27">
      <c r="A108" s="86"/>
      <c r="C108" s="165"/>
      <c r="D108" s="165"/>
      <c r="E108" s="165"/>
      <c r="F108" s="165"/>
      <c r="G108" s="165"/>
      <c r="N108" s="53"/>
      <c r="O108" s="170"/>
      <c r="P108" s="170"/>
      <c r="Q108" s="170"/>
      <c r="R108" s="170"/>
      <c r="S108" s="170"/>
      <c r="T108" s="53"/>
      <c r="U108" s="53"/>
      <c r="V108" s="53"/>
      <c r="W108" s="53"/>
      <c r="X108" s="53"/>
      <c r="Y108" s="53"/>
      <c r="Z108" s="53"/>
      <c r="AA108" s="53"/>
    </row>
    <row r="109" spans="1:27">
      <c r="A109" s="86"/>
      <c r="C109" s="165"/>
      <c r="D109" s="165"/>
      <c r="E109" s="165"/>
      <c r="F109" s="165"/>
      <c r="G109" s="165"/>
      <c r="N109" s="53"/>
      <c r="O109" s="170"/>
      <c r="P109" s="170"/>
      <c r="Q109" s="170"/>
      <c r="R109" s="170"/>
      <c r="S109" s="170"/>
      <c r="T109" s="53"/>
      <c r="U109" s="53"/>
      <c r="V109" s="53"/>
      <c r="W109" s="53"/>
      <c r="X109" s="53"/>
      <c r="Y109" s="53"/>
      <c r="Z109" s="53"/>
      <c r="AA109" s="53"/>
    </row>
    <row r="110" spans="1:27">
      <c r="A110" s="86"/>
      <c r="C110" s="165"/>
      <c r="D110" s="165"/>
      <c r="E110" s="165"/>
      <c r="F110" s="165"/>
      <c r="G110" s="165"/>
      <c r="N110" s="53"/>
      <c r="O110" s="170"/>
      <c r="P110" s="170"/>
      <c r="Q110" s="170"/>
      <c r="R110" s="170"/>
      <c r="S110" s="170"/>
      <c r="T110" s="53"/>
      <c r="U110" s="53"/>
      <c r="V110" s="53"/>
      <c r="W110" s="53"/>
      <c r="X110" s="53"/>
      <c r="Y110" s="53"/>
      <c r="Z110" s="53"/>
      <c r="AA110" s="53"/>
    </row>
    <row r="111" spans="1:27">
      <c r="A111" s="86"/>
      <c r="C111" s="165"/>
      <c r="D111" s="165"/>
      <c r="E111" s="165"/>
      <c r="F111" s="165"/>
      <c r="G111" s="165"/>
      <c r="N111" s="53"/>
      <c r="O111" s="170"/>
      <c r="P111" s="170"/>
      <c r="Q111" s="170"/>
      <c r="R111" s="170"/>
      <c r="S111" s="170"/>
      <c r="T111" s="53"/>
      <c r="U111" s="53"/>
      <c r="V111" s="53"/>
      <c r="W111" s="53"/>
      <c r="X111" s="53"/>
      <c r="Y111" s="53"/>
      <c r="Z111" s="53"/>
      <c r="AA111" s="53"/>
    </row>
    <row r="112" spans="1:27">
      <c r="A112" s="86"/>
      <c r="C112" s="165"/>
      <c r="D112" s="165"/>
      <c r="E112" s="165"/>
      <c r="F112" s="165"/>
      <c r="G112" s="165"/>
      <c r="N112" s="53"/>
      <c r="O112" s="170"/>
      <c r="P112" s="170"/>
      <c r="Q112" s="170"/>
      <c r="R112" s="170"/>
      <c r="S112" s="170"/>
      <c r="T112" s="53"/>
      <c r="U112" s="53"/>
      <c r="V112" s="53"/>
      <c r="W112" s="53"/>
      <c r="X112" s="53"/>
      <c r="Y112" s="53"/>
      <c r="Z112" s="53"/>
      <c r="AA112" s="53"/>
    </row>
    <row r="113" spans="1:27">
      <c r="A113" s="86"/>
      <c r="C113" s="165"/>
      <c r="D113" s="165"/>
      <c r="E113" s="165"/>
      <c r="F113" s="165"/>
      <c r="G113" s="165"/>
      <c r="N113" s="53"/>
      <c r="O113" s="170"/>
      <c r="P113" s="170"/>
      <c r="Q113" s="170"/>
      <c r="R113" s="170"/>
      <c r="S113" s="170"/>
      <c r="T113" s="53"/>
      <c r="U113" s="53"/>
      <c r="V113" s="53"/>
      <c r="W113" s="53"/>
      <c r="X113" s="53"/>
      <c r="Y113" s="53"/>
      <c r="Z113" s="53"/>
      <c r="AA113" s="53"/>
    </row>
    <row r="114" spans="1:27">
      <c r="A114" s="86"/>
      <c r="C114" s="165"/>
      <c r="D114" s="165"/>
      <c r="E114" s="165"/>
      <c r="F114" s="165"/>
      <c r="G114" s="165"/>
      <c r="N114" s="53"/>
      <c r="O114" s="170"/>
      <c r="P114" s="170"/>
      <c r="Q114" s="170"/>
      <c r="R114" s="170"/>
      <c r="S114" s="170"/>
      <c r="T114" s="53"/>
      <c r="U114" s="53"/>
      <c r="V114" s="53"/>
      <c r="W114" s="53"/>
      <c r="X114" s="53"/>
      <c r="Y114" s="53"/>
      <c r="Z114" s="53"/>
      <c r="AA114" s="53"/>
    </row>
    <row r="115" spans="1:27">
      <c r="A115" s="86"/>
      <c r="C115" s="165"/>
      <c r="D115" s="165"/>
      <c r="E115" s="165"/>
      <c r="F115" s="165"/>
      <c r="G115" s="165"/>
      <c r="N115" s="53"/>
      <c r="O115" s="170"/>
      <c r="P115" s="170"/>
      <c r="Q115" s="170"/>
      <c r="R115" s="170"/>
      <c r="S115" s="170"/>
      <c r="T115" s="53"/>
      <c r="U115" s="53"/>
      <c r="V115" s="53"/>
      <c r="W115" s="53"/>
      <c r="X115" s="53"/>
      <c r="Y115" s="53"/>
      <c r="Z115" s="53"/>
      <c r="AA115" s="53"/>
    </row>
    <row r="116" spans="1:27">
      <c r="A116" s="86"/>
      <c r="C116" s="165"/>
      <c r="D116" s="165"/>
      <c r="E116" s="165"/>
      <c r="F116" s="165"/>
      <c r="G116" s="165"/>
      <c r="N116" s="53"/>
      <c r="O116" s="170"/>
      <c r="P116" s="170"/>
      <c r="Q116" s="170"/>
      <c r="R116" s="170"/>
      <c r="S116" s="170"/>
      <c r="T116" s="53"/>
      <c r="U116" s="53"/>
      <c r="V116" s="53"/>
      <c r="W116" s="53"/>
      <c r="X116" s="53"/>
      <c r="Y116" s="53"/>
      <c r="Z116" s="53"/>
      <c r="AA116" s="53"/>
    </row>
    <row r="117" spans="1:27">
      <c r="A117" s="86"/>
      <c r="C117" s="165"/>
      <c r="D117" s="165"/>
      <c r="E117" s="165"/>
      <c r="F117" s="165"/>
      <c r="G117" s="165"/>
      <c r="N117" s="53"/>
      <c r="O117" s="170"/>
      <c r="P117" s="170"/>
      <c r="Q117" s="170"/>
      <c r="R117" s="170"/>
      <c r="S117" s="170"/>
      <c r="T117" s="53"/>
      <c r="U117" s="53"/>
      <c r="V117" s="53"/>
      <c r="W117" s="53"/>
      <c r="X117" s="53"/>
      <c r="Y117" s="53"/>
      <c r="Z117" s="53"/>
      <c r="AA117" s="53"/>
    </row>
    <row r="118" spans="1:27">
      <c r="A118" s="86"/>
      <c r="C118" s="165"/>
      <c r="D118" s="165"/>
      <c r="E118" s="165"/>
      <c r="F118" s="165"/>
      <c r="G118" s="165"/>
      <c r="N118" s="53"/>
      <c r="O118" s="170"/>
      <c r="P118" s="170"/>
      <c r="Q118" s="170"/>
      <c r="R118" s="170"/>
      <c r="S118" s="170"/>
      <c r="T118" s="53"/>
      <c r="U118" s="53"/>
      <c r="V118" s="53"/>
      <c r="W118" s="53"/>
      <c r="X118" s="53"/>
      <c r="Y118" s="53"/>
      <c r="Z118" s="53"/>
      <c r="AA118" s="53"/>
    </row>
    <row r="119" spans="1:27">
      <c r="A119" s="86"/>
      <c r="C119" s="165"/>
      <c r="D119" s="165"/>
      <c r="E119" s="165"/>
      <c r="F119" s="165"/>
      <c r="G119" s="165"/>
      <c r="N119" s="53"/>
      <c r="O119" s="170"/>
      <c r="P119" s="170"/>
      <c r="Q119" s="170"/>
      <c r="R119" s="170"/>
      <c r="S119" s="170"/>
      <c r="T119" s="53"/>
      <c r="U119" s="53"/>
      <c r="V119" s="53"/>
      <c r="W119" s="53"/>
      <c r="X119" s="53"/>
      <c r="Y119" s="53"/>
      <c r="Z119" s="53"/>
      <c r="AA119" s="53"/>
    </row>
    <row r="120" spans="1:27">
      <c r="A120" s="86"/>
      <c r="C120" s="165"/>
      <c r="D120" s="165"/>
      <c r="E120" s="165"/>
      <c r="F120" s="165"/>
      <c r="G120" s="165"/>
      <c r="N120" s="53"/>
      <c r="O120" s="170"/>
      <c r="P120" s="170"/>
      <c r="Q120" s="170"/>
      <c r="R120" s="170"/>
      <c r="S120" s="170"/>
      <c r="T120" s="53"/>
      <c r="U120" s="53"/>
      <c r="V120" s="53"/>
      <c r="W120" s="53"/>
      <c r="X120" s="53"/>
      <c r="Y120" s="53"/>
      <c r="Z120" s="53"/>
      <c r="AA120" s="53"/>
    </row>
    <row r="121" spans="1:27">
      <c r="A121" s="86"/>
      <c r="C121" s="165"/>
      <c r="D121" s="165"/>
      <c r="E121" s="165"/>
      <c r="F121" s="165"/>
      <c r="G121" s="165"/>
      <c r="N121" s="53"/>
      <c r="O121" s="170"/>
      <c r="P121" s="170"/>
      <c r="Q121" s="170"/>
      <c r="R121" s="170"/>
      <c r="S121" s="170"/>
      <c r="T121" s="53"/>
      <c r="U121" s="53"/>
      <c r="V121" s="53"/>
      <c r="W121" s="53"/>
      <c r="X121" s="53"/>
      <c r="Y121" s="53"/>
      <c r="Z121" s="53"/>
      <c r="AA121" s="53"/>
    </row>
    <row r="122" spans="1:27">
      <c r="A122" s="86"/>
      <c r="C122" s="165"/>
      <c r="D122" s="165"/>
      <c r="E122" s="165"/>
      <c r="F122" s="165"/>
      <c r="G122" s="165"/>
      <c r="N122" s="53"/>
      <c r="O122" s="170"/>
      <c r="P122" s="170"/>
      <c r="Q122" s="170"/>
      <c r="R122" s="170"/>
      <c r="S122" s="170"/>
      <c r="T122" s="53"/>
      <c r="U122" s="53"/>
      <c r="V122" s="53"/>
      <c r="W122" s="53"/>
      <c r="X122" s="53"/>
      <c r="Y122" s="53"/>
      <c r="Z122" s="53"/>
      <c r="AA122" s="53"/>
    </row>
    <row r="123" spans="1:27">
      <c r="A123" s="86"/>
      <c r="C123" s="165"/>
      <c r="D123" s="165"/>
      <c r="E123" s="165"/>
      <c r="F123" s="165"/>
      <c r="G123" s="165"/>
      <c r="N123" s="53"/>
      <c r="O123" s="170"/>
      <c r="P123" s="170"/>
      <c r="Q123" s="170"/>
      <c r="R123" s="170"/>
      <c r="S123" s="170"/>
      <c r="T123" s="53"/>
      <c r="U123" s="53"/>
      <c r="V123" s="53"/>
      <c r="W123" s="53"/>
      <c r="X123" s="53"/>
      <c r="Y123" s="53"/>
      <c r="Z123" s="53"/>
      <c r="AA123" s="53"/>
    </row>
    <row r="124" spans="1:27">
      <c r="A124" s="86"/>
      <c r="C124" s="165"/>
      <c r="D124" s="165"/>
      <c r="E124" s="165"/>
      <c r="F124" s="165"/>
      <c r="G124" s="165"/>
      <c r="N124" s="53"/>
      <c r="O124" s="170"/>
      <c r="P124" s="170"/>
      <c r="Q124" s="170"/>
      <c r="R124" s="170"/>
      <c r="S124" s="170"/>
      <c r="T124" s="53"/>
      <c r="U124" s="53"/>
      <c r="V124" s="53"/>
      <c r="W124" s="53"/>
      <c r="X124" s="53"/>
      <c r="Y124" s="53"/>
      <c r="Z124" s="53"/>
      <c r="AA124" s="53"/>
    </row>
    <row r="125" spans="1:27">
      <c r="A125" s="86"/>
      <c r="C125" s="165"/>
      <c r="D125" s="165"/>
      <c r="E125" s="165"/>
      <c r="F125" s="165"/>
      <c r="G125" s="165"/>
      <c r="N125" s="53"/>
      <c r="O125" s="170"/>
      <c r="P125" s="170"/>
      <c r="Q125" s="170"/>
      <c r="R125" s="170"/>
      <c r="S125" s="170"/>
      <c r="T125" s="53"/>
      <c r="U125" s="53"/>
      <c r="V125" s="53"/>
      <c r="W125" s="53"/>
      <c r="X125" s="53"/>
      <c r="Y125" s="53"/>
      <c r="Z125" s="53"/>
      <c r="AA125" s="53"/>
    </row>
    <row r="126" spans="1:27">
      <c r="A126" s="86"/>
      <c r="C126" s="165"/>
      <c r="D126" s="165"/>
      <c r="E126" s="165"/>
      <c r="F126" s="165"/>
      <c r="G126" s="165"/>
      <c r="N126" s="53"/>
      <c r="O126" s="170"/>
      <c r="P126" s="170"/>
      <c r="Q126" s="170"/>
      <c r="R126" s="170"/>
      <c r="S126" s="170"/>
      <c r="T126" s="53"/>
      <c r="U126" s="53"/>
      <c r="V126" s="53"/>
      <c r="W126" s="53"/>
      <c r="X126" s="53"/>
      <c r="Y126" s="53"/>
      <c r="Z126" s="53"/>
      <c r="AA126" s="53"/>
    </row>
    <row r="127" spans="1:27">
      <c r="A127" s="87"/>
      <c r="C127" s="165"/>
      <c r="D127" s="165"/>
      <c r="E127" s="165"/>
      <c r="F127" s="165"/>
      <c r="G127" s="165"/>
      <c r="N127" s="53"/>
      <c r="O127" s="170"/>
      <c r="P127" s="170"/>
      <c r="Q127" s="170"/>
      <c r="R127" s="170"/>
      <c r="S127" s="170"/>
      <c r="T127" s="53"/>
      <c r="U127" s="53"/>
      <c r="V127" s="53"/>
      <c r="W127" s="53"/>
      <c r="X127" s="53"/>
      <c r="Y127" s="53"/>
      <c r="Z127" s="53"/>
      <c r="AA127" s="53"/>
    </row>
    <row r="128" spans="1:27">
      <c r="A128" s="86"/>
      <c r="C128" s="165"/>
      <c r="D128" s="165"/>
      <c r="E128" s="165"/>
      <c r="F128" s="165"/>
      <c r="G128" s="165"/>
      <c r="N128" s="53"/>
      <c r="O128" s="170"/>
      <c r="P128" s="170"/>
      <c r="Q128" s="170"/>
      <c r="R128" s="170"/>
      <c r="S128" s="170"/>
      <c r="T128" s="53"/>
      <c r="U128" s="53"/>
      <c r="V128" s="53"/>
      <c r="W128" s="53"/>
      <c r="X128" s="53"/>
      <c r="Y128" s="53"/>
      <c r="Z128" s="53"/>
      <c r="AA128" s="53"/>
    </row>
    <row r="129" spans="1:27">
      <c r="A129" s="86"/>
      <c r="C129" s="165"/>
      <c r="D129" s="165"/>
      <c r="E129" s="165"/>
      <c r="F129" s="165"/>
      <c r="G129" s="165"/>
      <c r="N129" s="53"/>
      <c r="O129" s="170"/>
      <c r="P129" s="170"/>
      <c r="Q129" s="170"/>
      <c r="R129" s="170"/>
      <c r="S129" s="170"/>
      <c r="T129" s="53"/>
      <c r="U129" s="53"/>
      <c r="V129" s="53"/>
      <c r="W129" s="53"/>
      <c r="X129" s="53"/>
      <c r="Y129" s="53"/>
      <c r="Z129" s="53"/>
      <c r="AA129" s="53"/>
    </row>
    <row r="130" spans="1:27">
      <c r="A130" s="86"/>
      <c r="C130" s="165"/>
      <c r="D130" s="165"/>
      <c r="E130" s="165"/>
      <c r="F130" s="165"/>
      <c r="G130" s="165"/>
      <c r="N130" s="53"/>
      <c r="O130" s="170"/>
      <c r="P130" s="170"/>
      <c r="Q130" s="170"/>
      <c r="R130" s="170"/>
      <c r="S130" s="170"/>
      <c r="T130" s="53"/>
      <c r="U130" s="53"/>
      <c r="V130" s="53"/>
      <c r="W130" s="53"/>
      <c r="X130" s="53"/>
      <c r="Y130" s="53"/>
      <c r="Z130" s="53"/>
      <c r="AA130" s="53"/>
    </row>
    <row r="131" spans="1:27">
      <c r="A131" s="86"/>
      <c r="C131" s="165"/>
      <c r="D131" s="165"/>
      <c r="E131" s="165"/>
      <c r="F131" s="165"/>
      <c r="G131" s="165"/>
      <c r="N131" s="53"/>
      <c r="O131" s="170"/>
      <c r="P131" s="170"/>
      <c r="Q131" s="170"/>
      <c r="R131" s="170"/>
      <c r="S131" s="170"/>
      <c r="T131" s="53"/>
      <c r="U131" s="53"/>
      <c r="V131" s="53"/>
      <c r="W131" s="53"/>
      <c r="X131" s="53"/>
      <c r="Y131" s="53"/>
      <c r="Z131" s="53"/>
      <c r="AA131" s="53"/>
    </row>
    <row r="132" spans="1:27">
      <c r="A132" s="86"/>
      <c r="C132" s="165"/>
      <c r="D132" s="165"/>
      <c r="E132" s="165"/>
      <c r="F132" s="165"/>
      <c r="G132" s="165"/>
      <c r="N132" s="53"/>
      <c r="O132" s="170"/>
      <c r="P132" s="170"/>
      <c r="Q132" s="170"/>
      <c r="R132" s="170"/>
      <c r="S132" s="170"/>
      <c r="T132" s="53"/>
      <c r="U132" s="53"/>
      <c r="V132" s="53"/>
      <c r="W132" s="53"/>
      <c r="X132" s="53"/>
      <c r="Y132" s="53"/>
      <c r="Z132" s="53"/>
      <c r="AA132" s="53"/>
    </row>
    <row r="133" spans="1:27">
      <c r="A133" s="86"/>
      <c r="C133" s="165"/>
      <c r="D133" s="165"/>
      <c r="E133" s="165"/>
      <c r="F133" s="165"/>
      <c r="G133" s="165"/>
      <c r="N133" s="53"/>
      <c r="O133" s="170"/>
      <c r="P133" s="170"/>
      <c r="Q133" s="170"/>
      <c r="R133" s="170"/>
      <c r="S133" s="170"/>
      <c r="T133" s="53"/>
      <c r="U133" s="53"/>
      <c r="V133" s="53"/>
      <c r="W133" s="53"/>
      <c r="X133" s="53"/>
      <c r="Y133" s="53"/>
      <c r="Z133" s="53"/>
      <c r="AA133" s="53"/>
    </row>
    <row r="134" spans="1:27">
      <c r="A134" s="86"/>
      <c r="C134" s="165"/>
      <c r="D134" s="165"/>
      <c r="E134" s="165"/>
      <c r="F134" s="165"/>
      <c r="G134" s="165"/>
      <c r="N134" s="53"/>
      <c r="O134" s="170"/>
      <c r="P134" s="170"/>
      <c r="Q134" s="170"/>
      <c r="R134" s="170"/>
      <c r="S134" s="170"/>
      <c r="T134" s="53"/>
      <c r="U134" s="53"/>
      <c r="V134" s="53"/>
      <c r="W134" s="53"/>
      <c r="X134" s="53"/>
      <c r="Y134" s="53"/>
      <c r="Z134" s="53"/>
      <c r="AA134" s="53"/>
    </row>
    <row r="135" spans="1:27">
      <c r="A135" s="86"/>
      <c r="C135" s="165"/>
      <c r="D135" s="165"/>
      <c r="E135" s="165"/>
      <c r="F135" s="165"/>
      <c r="G135" s="165"/>
      <c r="N135" s="53"/>
      <c r="O135" s="170"/>
      <c r="P135" s="170"/>
      <c r="Q135" s="170"/>
      <c r="R135" s="170"/>
      <c r="S135" s="170"/>
      <c r="T135" s="53"/>
      <c r="U135" s="53"/>
      <c r="V135" s="53"/>
      <c r="W135" s="53"/>
      <c r="X135" s="53"/>
      <c r="Y135" s="53"/>
      <c r="Z135" s="53"/>
      <c r="AA135" s="53"/>
    </row>
    <row r="136" spans="1:27">
      <c r="A136" s="86"/>
      <c r="C136" s="165"/>
      <c r="D136" s="165"/>
      <c r="E136" s="165"/>
      <c r="F136" s="165"/>
      <c r="G136" s="165"/>
      <c r="N136" s="53"/>
      <c r="O136" s="170"/>
      <c r="P136" s="170"/>
      <c r="Q136" s="170"/>
      <c r="R136" s="170"/>
      <c r="S136" s="170"/>
      <c r="T136" s="53"/>
      <c r="U136" s="53"/>
      <c r="V136" s="53"/>
      <c r="W136" s="53"/>
      <c r="X136" s="53"/>
      <c r="Y136" s="53"/>
      <c r="Z136" s="53"/>
      <c r="AA136" s="53"/>
    </row>
    <row r="137" spans="1:27">
      <c r="A137" s="86"/>
      <c r="C137" s="165"/>
      <c r="D137" s="165"/>
      <c r="E137" s="165"/>
      <c r="F137" s="165"/>
      <c r="G137" s="165"/>
      <c r="N137" s="53"/>
      <c r="O137" s="170"/>
      <c r="P137" s="170"/>
      <c r="Q137" s="170"/>
      <c r="R137" s="170"/>
      <c r="S137" s="170"/>
      <c r="T137" s="53"/>
      <c r="U137" s="53"/>
      <c r="V137" s="53"/>
      <c r="W137" s="53"/>
      <c r="X137" s="53"/>
      <c r="Y137" s="53"/>
      <c r="Z137" s="53"/>
      <c r="AA137" s="53"/>
    </row>
    <row r="138" spans="1:27">
      <c r="A138" s="86"/>
      <c r="C138" s="165"/>
      <c r="D138" s="165"/>
      <c r="E138" s="165"/>
      <c r="F138" s="165"/>
      <c r="G138" s="165"/>
      <c r="N138" s="53"/>
      <c r="O138" s="170"/>
      <c r="P138" s="170"/>
      <c r="Q138" s="170"/>
      <c r="R138" s="170"/>
      <c r="S138" s="170"/>
      <c r="T138" s="53"/>
      <c r="U138" s="53"/>
      <c r="V138" s="53"/>
      <c r="W138" s="53"/>
      <c r="X138" s="53"/>
      <c r="Y138" s="53"/>
      <c r="Z138" s="53"/>
      <c r="AA138" s="53"/>
    </row>
    <row r="139" spans="1:27">
      <c r="A139" s="86"/>
      <c r="C139" s="165"/>
      <c r="D139" s="165"/>
      <c r="E139" s="165"/>
      <c r="F139" s="165"/>
      <c r="G139" s="165"/>
      <c r="N139" s="53"/>
      <c r="O139" s="170"/>
      <c r="P139" s="170"/>
      <c r="Q139" s="170"/>
      <c r="R139" s="170"/>
      <c r="S139" s="170"/>
      <c r="T139" s="53"/>
      <c r="U139" s="53"/>
      <c r="V139" s="53"/>
      <c r="W139" s="53"/>
      <c r="X139" s="53"/>
      <c r="Y139" s="53"/>
      <c r="Z139" s="53"/>
      <c r="AA139" s="53"/>
    </row>
    <row r="140" spans="1:27">
      <c r="A140" s="86"/>
      <c r="C140" s="165"/>
      <c r="D140" s="165"/>
      <c r="E140" s="165"/>
      <c r="F140" s="165"/>
      <c r="G140" s="165"/>
      <c r="N140" s="53"/>
      <c r="O140" s="170"/>
      <c r="P140" s="170"/>
      <c r="Q140" s="170"/>
      <c r="R140" s="170"/>
      <c r="S140" s="170"/>
      <c r="T140" s="53"/>
      <c r="U140" s="53"/>
      <c r="V140" s="53"/>
      <c r="W140" s="53"/>
      <c r="X140" s="53"/>
      <c r="Y140" s="53"/>
      <c r="Z140" s="53"/>
      <c r="AA140" s="53"/>
    </row>
    <row r="141" spans="1:27">
      <c r="A141" s="86"/>
      <c r="C141" s="165"/>
      <c r="D141" s="165"/>
      <c r="E141" s="165"/>
      <c r="F141" s="165"/>
      <c r="G141" s="165"/>
      <c r="N141" s="53"/>
      <c r="O141" s="170"/>
      <c r="P141" s="170"/>
      <c r="Q141" s="170"/>
      <c r="R141" s="170"/>
      <c r="S141" s="170"/>
      <c r="T141" s="53"/>
      <c r="U141" s="53"/>
      <c r="V141" s="53"/>
      <c r="W141" s="53"/>
      <c r="X141" s="53"/>
      <c r="Y141" s="53"/>
      <c r="Z141" s="53"/>
      <c r="AA141" s="53"/>
    </row>
    <row r="142" spans="1:27">
      <c r="A142" s="86"/>
      <c r="C142" s="165"/>
      <c r="D142" s="165"/>
      <c r="E142" s="165"/>
      <c r="F142" s="165"/>
      <c r="G142" s="165"/>
      <c r="N142" s="53"/>
      <c r="O142" s="170"/>
      <c r="P142" s="170"/>
      <c r="Q142" s="170"/>
      <c r="R142" s="170"/>
      <c r="S142" s="170"/>
      <c r="T142" s="53"/>
      <c r="U142" s="53"/>
      <c r="V142" s="53"/>
      <c r="W142" s="53"/>
      <c r="X142" s="53"/>
      <c r="Y142" s="53"/>
      <c r="Z142" s="53"/>
      <c r="AA142" s="53"/>
    </row>
    <row r="143" spans="1:27">
      <c r="A143" s="86"/>
      <c r="C143" s="165"/>
      <c r="D143" s="165"/>
      <c r="E143" s="165"/>
      <c r="F143" s="165"/>
      <c r="G143" s="165"/>
      <c r="N143" s="53"/>
      <c r="O143" s="170"/>
      <c r="P143" s="170"/>
      <c r="Q143" s="170"/>
      <c r="R143" s="170"/>
      <c r="S143" s="170"/>
      <c r="T143" s="53"/>
      <c r="U143" s="53"/>
      <c r="V143" s="53"/>
      <c r="W143" s="53"/>
      <c r="X143" s="53"/>
      <c r="Y143" s="53"/>
      <c r="Z143" s="53"/>
      <c r="AA143" s="53"/>
    </row>
    <row r="144" spans="1:27">
      <c r="A144" s="86"/>
      <c r="C144" s="165"/>
      <c r="D144" s="165"/>
      <c r="E144" s="165"/>
      <c r="F144" s="165"/>
      <c r="G144" s="165"/>
      <c r="N144" s="53"/>
      <c r="O144" s="170"/>
      <c r="P144" s="170"/>
      <c r="Q144" s="170"/>
      <c r="R144" s="170"/>
      <c r="S144" s="170"/>
      <c r="T144" s="53"/>
      <c r="U144" s="53"/>
      <c r="V144" s="53"/>
      <c r="W144" s="53"/>
      <c r="X144" s="53"/>
      <c r="Y144" s="53"/>
      <c r="Z144" s="53"/>
      <c r="AA144" s="53"/>
    </row>
    <row r="145" spans="1:27">
      <c r="A145" s="86"/>
      <c r="C145" s="165"/>
      <c r="D145" s="165"/>
      <c r="E145" s="165"/>
      <c r="F145" s="165"/>
      <c r="G145" s="165"/>
      <c r="N145" s="53"/>
      <c r="O145" s="170"/>
      <c r="P145" s="170"/>
      <c r="Q145" s="170"/>
      <c r="R145" s="170"/>
      <c r="S145" s="170"/>
      <c r="T145" s="53"/>
      <c r="U145" s="53"/>
      <c r="V145" s="53"/>
      <c r="W145" s="53"/>
      <c r="X145" s="53"/>
      <c r="Y145" s="53"/>
      <c r="Z145" s="53"/>
      <c r="AA145" s="53"/>
    </row>
    <row r="146" spans="1:27">
      <c r="A146" s="86"/>
      <c r="C146" s="165"/>
      <c r="D146" s="165"/>
      <c r="E146" s="165"/>
      <c r="F146" s="165"/>
      <c r="G146" s="165"/>
      <c r="N146" s="53"/>
      <c r="O146" s="170"/>
      <c r="P146" s="170"/>
      <c r="Q146" s="170"/>
      <c r="R146" s="170"/>
      <c r="S146" s="170"/>
      <c r="T146" s="53"/>
      <c r="U146" s="53"/>
      <c r="V146" s="53"/>
      <c r="W146" s="53"/>
      <c r="X146" s="53"/>
      <c r="Y146" s="53"/>
      <c r="Z146" s="53"/>
      <c r="AA146" s="53"/>
    </row>
    <row r="147" spans="1:27">
      <c r="A147" s="87"/>
      <c r="C147" s="165"/>
      <c r="D147" s="165"/>
      <c r="E147" s="165"/>
      <c r="F147" s="165"/>
      <c r="G147" s="165"/>
      <c r="N147" s="53"/>
      <c r="O147" s="170"/>
      <c r="P147" s="170"/>
      <c r="Q147" s="170"/>
      <c r="R147" s="170"/>
      <c r="S147" s="170"/>
      <c r="T147" s="53"/>
      <c r="U147" s="53"/>
      <c r="V147" s="53"/>
      <c r="W147" s="53"/>
      <c r="X147" s="53"/>
      <c r="Y147" s="53"/>
      <c r="Z147" s="53"/>
      <c r="AA147" s="53"/>
    </row>
    <row r="148" spans="1:27">
      <c r="A148" s="86"/>
      <c r="C148" s="165"/>
      <c r="D148" s="165"/>
      <c r="E148" s="165"/>
      <c r="F148" s="165"/>
      <c r="G148" s="165"/>
      <c r="N148" s="53"/>
      <c r="O148" s="170"/>
      <c r="P148" s="170"/>
      <c r="Q148" s="170"/>
      <c r="R148" s="170"/>
      <c r="S148" s="170"/>
      <c r="T148" s="53"/>
      <c r="U148" s="53"/>
      <c r="V148" s="53"/>
      <c r="W148" s="53"/>
      <c r="X148" s="53"/>
      <c r="Y148" s="53"/>
      <c r="Z148" s="53"/>
      <c r="AA148" s="53"/>
    </row>
    <row r="149" spans="1:27">
      <c r="A149" s="86"/>
      <c r="C149" s="165"/>
      <c r="D149" s="165"/>
      <c r="E149" s="165"/>
      <c r="F149" s="165"/>
      <c r="G149" s="165"/>
      <c r="N149" s="53"/>
      <c r="O149" s="170"/>
      <c r="P149" s="170"/>
      <c r="Q149" s="170"/>
      <c r="R149" s="170"/>
      <c r="S149" s="170"/>
      <c r="T149" s="53"/>
      <c r="U149" s="53"/>
      <c r="V149" s="53"/>
      <c r="W149" s="53"/>
      <c r="X149" s="53"/>
      <c r="Y149" s="53"/>
      <c r="Z149" s="53"/>
      <c r="AA149" s="53"/>
    </row>
    <row r="150" spans="1:27">
      <c r="A150" s="86"/>
      <c r="C150" s="165"/>
      <c r="D150" s="165"/>
      <c r="E150" s="165"/>
      <c r="F150" s="165"/>
      <c r="G150" s="165"/>
      <c r="N150" s="53"/>
      <c r="O150" s="170"/>
      <c r="P150" s="170"/>
      <c r="Q150" s="170"/>
      <c r="R150" s="170"/>
      <c r="S150" s="170"/>
      <c r="T150" s="53"/>
      <c r="U150" s="53"/>
      <c r="V150" s="53"/>
      <c r="W150" s="53"/>
      <c r="X150" s="53"/>
      <c r="Y150" s="53"/>
      <c r="Z150" s="53"/>
      <c r="AA150" s="53"/>
    </row>
    <row r="151" spans="1:27">
      <c r="A151" s="86"/>
      <c r="C151" s="165"/>
      <c r="D151" s="165"/>
      <c r="E151" s="165"/>
      <c r="F151" s="165"/>
      <c r="G151" s="165"/>
      <c r="N151" s="53"/>
      <c r="O151" s="170"/>
      <c r="P151" s="170"/>
      <c r="Q151" s="170"/>
      <c r="R151" s="170"/>
      <c r="S151" s="170"/>
      <c r="T151" s="53"/>
      <c r="U151" s="53"/>
      <c r="V151" s="53"/>
      <c r="W151" s="53"/>
      <c r="X151" s="53"/>
      <c r="Y151" s="53"/>
      <c r="Z151" s="53"/>
      <c r="AA151" s="53"/>
    </row>
    <row r="152" spans="1:27">
      <c r="A152" s="86"/>
      <c r="C152" s="165"/>
      <c r="D152" s="165"/>
      <c r="E152" s="165"/>
      <c r="F152" s="165"/>
      <c r="G152" s="165"/>
      <c r="N152" s="53"/>
      <c r="O152" s="170"/>
      <c r="P152" s="170"/>
      <c r="Q152" s="170"/>
      <c r="R152" s="170"/>
      <c r="S152" s="170"/>
      <c r="T152" s="53"/>
      <c r="U152" s="53"/>
      <c r="V152" s="53"/>
      <c r="W152" s="53"/>
      <c r="X152" s="53"/>
      <c r="Y152" s="53"/>
      <c r="Z152" s="53"/>
      <c r="AA152" s="53"/>
    </row>
    <row r="153" spans="1:27">
      <c r="A153" s="86"/>
      <c r="C153" s="165"/>
      <c r="D153" s="165"/>
      <c r="E153" s="165"/>
      <c r="F153" s="165"/>
      <c r="G153" s="165"/>
      <c r="N153" s="53"/>
      <c r="O153" s="170"/>
      <c r="P153" s="170"/>
      <c r="Q153" s="170"/>
      <c r="R153" s="170"/>
      <c r="S153" s="170"/>
      <c r="T153" s="53"/>
      <c r="U153" s="53"/>
      <c r="V153" s="53"/>
      <c r="W153" s="53"/>
      <c r="X153" s="53"/>
      <c r="Y153" s="53"/>
      <c r="Z153" s="53"/>
      <c r="AA153" s="53"/>
    </row>
    <row r="154" spans="1:27">
      <c r="A154" s="86"/>
      <c r="C154" s="165"/>
      <c r="D154" s="165"/>
      <c r="E154" s="165"/>
      <c r="F154" s="165"/>
      <c r="G154" s="165"/>
      <c r="N154" s="53"/>
      <c r="O154" s="170"/>
      <c r="P154" s="170"/>
      <c r="Q154" s="170"/>
      <c r="R154" s="170"/>
      <c r="S154" s="170"/>
      <c r="T154" s="53"/>
      <c r="U154" s="53"/>
      <c r="V154" s="53"/>
      <c r="W154" s="53"/>
      <c r="X154" s="53"/>
      <c r="Y154" s="53"/>
      <c r="Z154" s="53"/>
      <c r="AA154" s="53"/>
    </row>
    <row r="155" spans="1:27">
      <c r="A155" s="86"/>
      <c r="C155" s="165"/>
      <c r="D155" s="165"/>
      <c r="E155" s="165"/>
      <c r="F155" s="165"/>
      <c r="G155" s="165"/>
      <c r="N155" s="53"/>
      <c r="O155" s="170"/>
      <c r="P155" s="170"/>
      <c r="Q155" s="170"/>
      <c r="R155" s="170"/>
      <c r="S155" s="170"/>
      <c r="T155" s="53"/>
      <c r="U155" s="53"/>
      <c r="V155" s="53"/>
      <c r="W155" s="53"/>
      <c r="X155" s="53"/>
      <c r="Y155" s="53"/>
      <c r="Z155" s="53"/>
      <c r="AA155" s="53"/>
    </row>
    <row r="156" spans="1:27">
      <c r="A156" s="86"/>
      <c r="C156" s="165"/>
      <c r="D156" s="165"/>
      <c r="E156" s="165"/>
      <c r="F156" s="165"/>
      <c r="G156" s="165"/>
      <c r="N156" s="53"/>
      <c r="O156" s="170"/>
      <c r="P156" s="170"/>
      <c r="Q156" s="170"/>
      <c r="R156" s="170"/>
      <c r="S156" s="170"/>
      <c r="T156" s="53"/>
      <c r="U156" s="53"/>
      <c r="V156" s="53"/>
      <c r="W156" s="53"/>
      <c r="X156" s="53"/>
      <c r="Y156" s="53"/>
      <c r="Z156" s="53"/>
      <c r="AA156" s="53"/>
    </row>
    <row r="157" spans="1:27">
      <c r="A157" s="86"/>
      <c r="C157" s="165"/>
      <c r="D157" s="165"/>
      <c r="E157" s="165"/>
      <c r="F157" s="165"/>
      <c r="G157" s="165"/>
      <c r="N157" s="53"/>
      <c r="O157" s="170"/>
      <c r="P157" s="170"/>
      <c r="Q157" s="170"/>
      <c r="R157" s="170"/>
      <c r="S157" s="170"/>
      <c r="T157" s="53"/>
      <c r="U157" s="53"/>
      <c r="V157" s="53"/>
      <c r="W157" s="53"/>
      <c r="X157" s="53"/>
      <c r="Y157" s="53"/>
      <c r="Z157" s="53"/>
      <c r="AA157" s="53"/>
    </row>
    <row r="158" spans="1:27">
      <c r="A158" s="86"/>
      <c r="C158" s="165"/>
      <c r="D158" s="165"/>
      <c r="E158" s="165"/>
      <c r="F158" s="165"/>
      <c r="G158" s="165"/>
      <c r="N158" s="53"/>
      <c r="O158" s="170"/>
      <c r="P158" s="170"/>
      <c r="Q158" s="170"/>
      <c r="R158" s="170"/>
      <c r="S158" s="170"/>
      <c r="T158" s="53"/>
      <c r="U158" s="53"/>
      <c r="V158" s="53"/>
      <c r="W158" s="53"/>
      <c r="X158" s="53"/>
      <c r="Y158" s="53"/>
      <c r="Z158" s="53"/>
      <c r="AA158" s="53"/>
    </row>
    <row r="159" spans="1:27">
      <c r="A159" s="86"/>
      <c r="C159" s="165"/>
      <c r="D159" s="165"/>
      <c r="E159" s="165"/>
      <c r="F159" s="165"/>
      <c r="G159" s="165"/>
      <c r="N159" s="53"/>
      <c r="O159" s="170"/>
      <c r="P159" s="170"/>
      <c r="Q159" s="170"/>
      <c r="R159" s="170"/>
      <c r="S159" s="170"/>
      <c r="T159" s="53"/>
      <c r="U159" s="53"/>
      <c r="V159" s="53"/>
      <c r="W159" s="53"/>
      <c r="X159" s="53"/>
      <c r="Y159" s="53"/>
      <c r="Z159" s="53"/>
      <c r="AA159" s="53"/>
    </row>
    <row r="160" spans="1:27">
      <c r="A160" s="86"/>
      <c r="C160" s="165"/>
      <c r="D160" s="165"/>
      <c r="E160" s="165"/>
      <c r="F160" s="165"/>
      <c r="G160" s="165"/>
      <c r="N160" s="53"/>
      <c r="O160" s="170"/>
      <c r="P160" s="170"/>
      <c r="Q160" s="170"/>
      <c r="R160" s="170"/>
      <c r="S160" s="170"/>
      <c r="T160" s="53"/>
      <c r="U160" s="53"/>
      <c r="V160" s="53"/>
      <c r="W160" s="53"/>
      <c r="X160" s="53"/>
      <c r="Y160" s="53"/>
      <c r="Z160" s="53"/>
      <c r="AA160" s="53"/>
    </row>
    <row r="161" spans="1:27">
      <c r="A161" s="86"/>
      <c r="C161" s="165"/>
      <c r="D161" s="165"/>
      <c r="E161" s="165"/>
      <c r="F161" s="165"/>
      <c r="G161" s="165"/>
      <c r="N161" s="53"/>
      <c r="O161" s="170"/>
      <c r="P161" s="170"/>
      <c r="Q161" s="170"/>
      <c r="R161" s="170"/>
      <c r="S161" s="170"/>
      <c r="T161" s="53"/>
      <c r="U161" s="53"/>
      <c r="V161" s="53"/>
      <c r="W161" s="53"/>
      <c r="X161" s="53"/>
      <c r="Y161" s="53"/>
      <c r="Z161" s="53"/>
      <c r="AA161" s="53"/>
    </row>
    <row r="162" spans="1:27">
      <c r="A162" s="86"/>
      <c r="C162" s="165"/>
      <c r="D162" s="165"/>
      <c r="E162" s="165"/>
      <c r="F162" s="165"/>
      <c r="G162" s="165"/>
      <c r="N162" s="53"/>
      <c r="O162" s="170"/>
      <c r="P162" s="170"/>
      <c r="Q162" s="170"/>
      <c r="R162" s="170"/>
      <c r="S162" s="170"/>
      <c r="T162" s="53"/>
      <c r="U162" s="53"/>
      <c r="V162" s="53"/>
      <c r="W162" s="53"/>
      <c r="X162" s="53"/>
      <c r="Y162" s="53"/>
      <c r="Z162" s="53"/>
      <c r="AA162" s="53"/>
    </row>
    <row r="163" spans="1:27">
      <c r="A163" s="86"/>
      <c r="C163" s="165"/>
      <c r="D163" s="165"/>
      <c r="E163" s="165"/>
      <c r="F163" s="165"/>
      <c r="G163" s="165"/>
      <c r="N163" s="53"/>
      <c r="O163" s="170"/>
      <c r="P163" s="170"/>
      <c r="Q163" s="170"/>
      <c r="R163" s="170"/>
      <c r="S163" s="170"/>
      <c r="T163" s="53"/>
      <c r="U163" s="53"/>
      <c r="V163" s="53"/>
      <c r="W163" s="53"/>
      <c r="X163" s="53"/>
      <c r="Y163" s="53"/>
      <c r="Z163" s="53"/>
      <c r="AA163" s="53"/>
    </row>
    <row r="164" spans="1:27">
      <c r="A164" s="86"/>
      <c r="C164" s="165"/>
      <c r="D164" s="165"/>
      <c r="E164" s="165"/>
      <c r="F164" s="165"/>
      <c r="G164" s="165"/>
      <c r="N164" s="53"/>
      <c r="O164" s="170"/>
      <c r="P164" s="170"/>
      <c r="Q164" s="170"/>
      <c r="R164" s="170"/>
      <c r="S164" s="170"/>
      <c r="T164" s="53"/>
      <c r="U164" s="53"/>
      <c r="V164" s="53"/>
      <c r="W164" s="53"/>
      <c r="X164" s="53"/>
      <c r="Y164" s="53"/>
      <c r="Z164" s="53"/>
      <c r="AA164" s="53"/>
    </row>
    <row r="165" spans="1:27">
      <c r="A165" s="86"/>
      <c r="C165" s="165"/>
      <c r="D165" s="165"/>
      <c r="E165" s="165"/>
      <c r="F165" s="165"/>
      <c r="G165" s="165"/>
      <c r="N165" s="53"/>
      <c r="O165" s="170"/>
      <c r="P165" s="170"/>
      <c r="Q165" s="170"/>
      <c r="R165" s="170"/>
      <c r="S165" s="170"/>
      <c r="T165" s="53"/>
      <c r="U165" s="53"/>
      <c r="V165" s="53"/>
      <c r="W165" s="53"/>
      <c r="X165" s="53"/>
      <c r="Y165" s="53"/>
      <c r="Z165" s="53"/>
      <c r="AA165" s="53"/>
    </row>
    <row r="166" spans="1:27">
      <c r="A166" s="86"/>
      <c r="C166" s="165"/>
      <c r="D166" s="165"/>
      <c r="E166" s="165"/>
      <c r="F166" s="165"/>
      <c r="G166" s="165"/>
      <c r="N166" s="53"/>
      <c r="O166" s="170"/>
      <c r="P166" s="170"/>
      <c r="Q166" s="170"/>
      <c r="R166" s="170"/>
      <c r="S166" s="170"/>
      <c r="T166" s="53"/>
      <c r="U166" s="53"/>
      <c r="V166" s="53"/>
      <c r="W166" s="53"/>
      <c r="X166" s="53"/>
      <c r="Y166" s="53"/>
      <c r="Z166" s="53"/>
      <c r="AA166" s="53"/>
    </row>
    <row r="167" spans="1:27">
      <c r="A167" s="87"/>
      <c r="C167" s="165"/>
      <c r="D167" s="165"/>
      <c r="E167" s="165"/>
      <c r="F167" s="165"/>
      <c r="G167" s="165"/>
      <c r="N167" s="53"/>
      <c r="O167" s="170"/>
      <c r="P167" s="170"/>
      <c r="Q167" s="170"/>
      <c r="R167" s="170"/>
      <c r="S167" s="170"/>
      <c r="T167" s="53"/>
      <c r="U167" s="53"/>
      <c r="V167" s="53"/>
      <c r="W167" s="53"/>
      <c r="X167" s="53"/>
      <c r="Y167" s="53"/>
      <c r="Z167" s="53"/>
      <c r="AA167" s="53"/>
    </row>
    <row r="168" spans="1:27">
      <c r="A168" s="86"/>
      <c r="C168" s="165"/>
      <c r="D168" s="165"/>
      <c r="E168" s="165"/>
      <c r="F168" s="165"/>
      <c r="G168" s="165"/>
      <c r="N168" s="53"/>
      <c r="O168" s="170"/>
      <c r="P168" s="170"/>
      <c r="Q168" s="170"/>
      <c r="R168" s="170"/>
      <c r="S168" s="170"/>
      <c r="T168" s="53"/>
      <c r="U168" s="53"/>
      <c r="V168" s="53"/>
      <c r="W168" s="53"/>
      <c r="X168" s="53"/>
      <c r="Y168" s="53"/>
      <c r="Z168" s="53"/>
      <c r="AA168" s="53"/>
    </row>
    <row r="169" spans="1:27">
      <c r="A169" s="86"/>
      <c r="C169" s="165"/>
      <c r="D169" s="165"/>
      <c r="E169" s="165"/>
      <c r="F169" s="165"/>
      <c r="G169" s="165"/>
      <c r="N169" s="53"/>
      <c r="O169" s="170"/>
      <c r="P169" s="170"/>
      <c r="Q169" s="170"/>
      <c r="R169" s="170"/>
      <c r="S169" s="170"/>
      <c r="T169" s="53"/>
      <c r="U169" s="53"/>
      <c r="V169" s="53"/>
      <c r="W169" s="53"/>
      <c r="X169" s="53"/>
      <c r="Y169" s="53"/>
      <c r="Z169" s="53"/>
      <c r="AA169" s="53"/>
    </row>
    <row r="170" spans="1:27">
      <c r="A170" s="86"/>
      <c r="C170" s="165"/>
      <c r="D170" s="165"/>
      <c r="E170" s="165"/>
      <c r="F170" s="165"/>
      <c r="G170" s="165"/>
      <c r="N170" s="53"/>
      <c r="O170" s="170"/>
      <c r="P170" s="170"/>
      <c r="Q170" s="170"/>
      <c r="R170" s="170"/>
      <c r="S170" s="170"/>
      <c r="T170" s="53"/>
      <c r="U170" s="53"/>
      <c r="V170" s="53"/>
      <c r="W170" s="53"/>
      <c r="X170" s="53"/>
      <c r="Y170" s="53"/>
      <c r="Z170" s="53"/>
      <c r="AA170" s="53"/>
    </row>
    <row r="171" spans="1:27">
      <c r="A171" s="86"/>
      <c r="C171" s="165"/>
      <c r="D171" s="165"/>
      <c r="E171" s="165"/>
      <c r="F171" s="165"/>
      <c r="G171" s="165"/>
      <c r="N171" s="53"/>
      <c r="O171" s="170"/>
      <c r="P171" s="170"/>
      <c r="Q171" s="170"/>
      <c r="R171" s="170"/>
      <c r="S171" s="170"/>
      <c r="T171" s="53"/>
      <c r="U171" s="53"/>
      <c r="V171" s="53"/>
      <c r="W171" s="53"/>
      <c r="X171" s="53"/>
      <c r="Y171" s="53"/>
      <c r="Z171" s="53"/>
      <c r="AA171" s="53"/>
    </row>
    <row r="172" spans="1:27">
      <c r="A172" s="86"/>
      <c r="C172" s="165"/>
      <c r="D172" s="165"/>
      <c r="E172" s="165"/>
      <c r="F172" s="165"/>
      <c r="G172" s="165"/>
      <c r="N172" s="53"/>
      <c r="O172" s="170"/>
      <c r="P172" s="170"/>
      <c r="Q172" s="170"/>
      <c r="R172" s="170"/>
      <c r="S172" s="170"/>
      <c r="T172" s="53"/>
      <c r="U172" s="53"/>
      <c r="V172" s="53"/>
      <c r="W172" s="53"/>
      <c r="X172" s="53"/>
      <c r="Y172" s="53"/>
      <c r="Z172" s="53"/>
      <c r="AA172" s="53"/>
    </row>
    <row r="173" spans="1:27">
      <c r="A173" s="86"/>
      <c r="C173" s="165"/>
      <c r="D173" s="165"/>
      <c r="E173" s="165"/>
      <c r="F173" s="165"/>
      <c r="G173" s="165"/>
      <c r="N173" s="53"/>
      <c r="O173" s="170"/>
      <c r="P173" s="170"/>
      <c r="Q173" s="170"/>
      <c r="R173" s="170"/>
      <c r="S173" s="170"/>
      <c r="T173" s="53"/>
      <c r="U173" s="53"/>
      <c r="V173" s="53"/>
      <c r="W173" s="53"/>
      <c r="X173" s="53"/>
      <c r="Y173" s="53"/>
      <c r="Z173" s="53"/>
      <c r="AA173" s="53"/>
    </row>
    <row r="174" spans="1:27">
      <c r="A174" s="86"/>
      <c r="C174" s="165"/>
      <c r="D174" s="165"/>
      <c r="E174" s="165"/>
      <c r="F174" s="165"/>
      <c r="G174" s="165"/>
      <c r="N174" s="53"/>
      <c r="O174" s="170"/>
      <c r="P174" s="170"/>
      <c r="Q174" s="170"/>
      <c r="R174" s="170"/>
      <c r="S174" s="170"/>
      <c r="T174" s="53"/>
      <c r="U174" s="53"/>
      <c r="V174" s="53"/>
      <c r="W174" s="53"/>
      <c r="X174" s="53"/>
      <c r="Y174" s="53"/>
      <c r="Z174" s="53"/>
      <c r="AA174" s="53"/>
    </row>
    <row r="175" spans="1:27">
      <c r="A175" s="86"/>
      <c r="C175" s="165"/>
      <c r="D175" s="165"/>
      <c r="E175" s="165"/>
      <c r="F175" s="165"/>
      <c r="G175" s="165"/>
      <c r="N175" s="53"/>
      <c r="O175" s="170"/>
      <c r="P175" s="170"/>
      <c r="Q175" s="170"/>
      <c r="R175" s="170"/>
      <c r="S175" s="170"/>
      <c r="T175" s="53"/>
      <c r="U175" s="53"/>
      <c r="V175" s="53"/>
      <c r="W175" s="53"/>
      <c r="X175" s="53"/>
      <c r="Y175" s="53"/>
      <c r="Z175" s="53"/>
      <c r="AA175" s="53"/>
    </row>
    <row r="176" spans="1:27">
      <c r="A176" s="86"/>
      <c r="C176" s="165"/>
      <c r="D176" s="165"/>
      <c r="E176" s="165"/>
      <c r="F176" s="165"/>
      <c r="G176" s="165"/>
      <c r="N176" s="53"/>
      <c r="O176" s="170"/>
      <c r="P176" s="170"/>
      <c r="Q176" s="170"/>
      <c r="R176" s="170"/>
      <c r="S176" s="170"/>
      <c r="T176" s="53"/>
      <c r="U176" s="53"/>
      <c r="V176" s="53"/>
      <c r="W176" s="53"/>
      <c r="X176" s="53"/>
      <c r="Y176" s="53"/>
      <c r="Z176" s="53"/>
      <c r="AA176" s="53"/>
    </row>
    <row r="177" spans="1:27">
      <c r="A177" s="86"/>
      <c r="C177" s="165"/>
      <c r="D177" s="165"/>
      <c r="E177" s="165"/>
      <c r="F177" s="165"/>
      <c r="G177" s="165"/>
      <c r="N177" s="53"/>
      <c r="O177" s="170"/>
      <c r="P177" s="170"/>
      <c r="Q177" s="170"/>
      <c r="R177" s="170"/>
      <c r="S177" s="170"/>
      <c r="T177" s="53"/>
      <c r="U177" s="53"/>
      <c r="V177" s="53"/>
      <c r="W177" s="53"/>
      <c r="X177" s="53"/>
      <c r="Y177" s="53"/>
      <c r="Z177" s="53"/>
      <c r="AA177" s="53"/>
    </row>
    <row r="178" spans="1:27">
      <c r="A178" s="86"/>
      <c r="C178" s="165"/>
      <c r="D178" s="165"/>
      <c r="E178" s="165"/>
      <c r="F178" s="165"/>
      <c r="G178" s="165"/>
      <c r="N178" s="53"/>
      <c r="O178" s="170"/>
      <c r="P178" s="170"/>
      <c r="Q178" s="170"/>
      <c r="R178" s="170"/>
      <c r="S178" s="170"/>
      <c r="T178" s="53"/>
      <c r="U178" s="53"/>
      <c r="V178" s="53"/>
      <c r="W178" s="53"/>
      <c r="X178" s="53"/>
      <c r="Y178" s="53"/>
      <c r="Z178" s="53"/>
      <c r="AA178" s="53"/>
    </row>
    <row r="179" spans="1:27">
      <c r="A179" s="86"/>
      <c r="C179" s="165"/>
      <c r="D179" s="165"/>
      <c r="E179" s="165"/>
      <c r="F179" s="165"/>
      <c r="G179" s="165"/>
      <c r="N179" s="53"/>
      <c r="O179" s="170"/>
      <c r="P179" s="170"/>
      <c r="Q179" s="170"/>
      <c r="R179" s="170"/>
      <c r="S179" s="170"/>
      <c r="T179" s="53"/>
      <c r="U179" s="53"/>
      <c r="V179" s="53"/>
      <c r="W179" s="53"/>
      <c r="X179" s="53"/>
      <c r="Y179" s="53"/>
      <c r="Z179" s="53"/>
      <c r="AA179" s="53"/>
    </row>
    <row r="180" spans="1:27">
      <c r="A180" s="86"/>
      <c r="C180" s="165"/>
      <c r="D180" s="165"/>
      <c r="E180" s="165"/>
      <c r="F180" s="165"/>
      <c r="G180" s="165"/>
      <c r="N180" s="53"/>
      <c r="O180" s="170"/>
      <c r="P180" s="170"/>
      <c r="Q180" s="170"/>
      <c r="R180" s="170"/>
      <c r="S180" s="170"/>
      <c r="T180" s="53"/>
      <c r="U180" s="53"/>
      <c r="V180" s="53"/>
      <c r="W180" s="53"/>
      <c r="X180" s="53"/>
      <c r="Y180" s="53"/>
      <c r="Z180" s="53"/>
      <c r="AA180" s="53"/>
    </row>
    <row r="181" spans="1:27">
      <c r="A181" s="86"/>
      <c r="C181" s="165"/>
      <c r="D181" s="165"/>
      <c r="E181" s="165"/>
      <c r="F181" s="165"/>
      <c r="G181" s="165"/>
      <c r="N181" s="53"/>
      <c r="O181" s="170"/>
      <c r="P181" s="170"/>
      <c r="Q181" s="170"/>
      <c r="R181" s="170"/>
      <c r="S181" s="170"/>
      <c r="T181" s="53"/>
      <c r="U181" s="53"/>
      <c r="V181" s="53"/>
      <c r="W181" s="53"/>
      <c r="X181" s="53"/>
      <c r="Y181" s="53"/>
      <c r="Z181" s="53"/>
      <c r="AA181" s="53"/>
    </row>
    <row r="182" spans="1:27">
      <c r="A182" s="86"/>
      <c r="C182" s="165"/>
      <c r="D182" s="165"/>
      <c r="E182" s="165"/>
      <c r="F182" s="165"/>
      <c r="G182" s="165"/>
      <c r="N182" s="53"/>
      <c r="O182" s="170"/>
      <c r="P182" s="170"/>
      <c r="Q182" s="170"/>
      <c r="R182" s="170"/>
      <c r="S182" s="170"/>
      <c r="T182" s="53"/>
      <c r="U182" s="53"/>
      <c r="V182" s="53"/>
      <c r="W182" s="53"/>
      <c r="X182" s="53"/>
      <c r="Y182" s="53"/>
      <c r="Z182" s="53"/>
      <c r="AA182" s="53"/>
    </row>
    <row r="183" spans="1:27">
      <c r="A183" s="86"/>
      <c r="C183" s="165"/>
      <c r="D183" s="165"/>
      <c r="E183" s="165"/>
      <c r="F183" s="165"/>
      <c r="G183" s="165"/>
      <c r="N183" s="53"/>
      <c r="O183" s="170"/>
      <c r="P183" s="170"/>
      <c r="Q183" s="170"/>
      <c r="R183" s="170"/>
      <c r="S183" s="170"/>
      <c r="T183" s="53"/>
      <c r="U183" s="53"/>
      <c r="V183" s="53"/>
      <c r="W183" s="53"/>
      <c r="X183" s="53"/>
      <c r="Y183" s="53"/>
      <c r="Z183" s="53"/>
      <c r="AA183" s="53"/>
    </row>
    <row r="184" spans="1:27">
      <c r="A184" s="86"/>
      <c r="C184" s="165"/>
      <c r="D184" s="165"/>
      <c r="E184" s="165"/>
      <c r="F184" s="165"/>
      <c r="G184" s="165"/>
      <c r="N184" s="53"/>
      <c r="O184" s="170"/>
      <c r="P184" s="170"/>
      <c r="Q184" s="170"/>
      <c r="R184" s="170"/>
      <c r="S184" s="170"/>
      <c r="T184" s="53"/>
      <c r="U184" s="53"/>
      <c r="V184" s="53"/>
      <c r="W184" s="53"/>
      <c r="X184" s="53"/>
      <c r="Y184" s="53"/>
      <c r="Z184" s="53"/>
      <c r="AA184" s="53"/>
    </row>
    <row r="185" spans="1:27">
      <c r="A185" s="86"/>
      <c r="C185" s="165"/>
      <c r="D185" s="165"/>
      <c r="E185" s="165"/>
      <c r="F185" s="165"/>
      <c r="G185" s="165"/>
      <c r="N185" s="53"/>
      <c r="O185" s="170"/>
      <c r="P185" s="170"/>
      <c r="Q185" s="170"/>
      <c r="R185" s="170"/>
      <c r="S185" s="170"/>
      <c r="T185" s="53"/>
      <c r="U185" s="53"/>
      <c r="V185" s="53"/>
      <c r="W185" s="53"/>
      <c r="X185" s="53"/>
      <c r="Y185" s="53"/>
      <c r="Z185" s="53"/>
      <c r="AA185" s="53"/>
    </row>
    <row r="186" spans="1:27">
      <c r="A186" s="86"/>
      <c r="C186" s="165"/>
      <c r="D186" s="165"/>
      <c r="E186" s="165"/>
      <c r="F186" s="165"/>
      <c r="G186" s="165"/>
      <c r="N186" s="53"/>
      <c r="O186" s="170"/>
      <c r="P186" s="170"/>
      <c r="Q186" s="170"/>
      <c r="R186" s="170"/>
      <c r="S186" s="170"/>
      <c r="T186" s="53"/>
      <c r="U186" s="53"/>
      <c r="V186" s="53"/>
      <c r="W186" s="53"/>
      <c r="X186" s="53"/>
      <c r="Y186" s="53"/>
      <c r="Z186" s="53"/>
      <c r="AA186" s="53"/>
    </row>
    <row r="187" spans="1:27">
      <c r="A187" s="87"/>
      <c r="C187" s="165"/>
      <c r="D187" s="165"/>
      <c r="E187" s="165"/>
      <c r="F187" s="165"/>
      <c r="G187" s="165"/>
      <c r="N187" s="53"/>
      <c r="O187" s="170"/>
      <c r="P187" s="170"/>
      <c r="Q187" s="170"/>
      <c r="R187" s="170"/>
      <c r="S187" s="170"/>
      <c r="T187" s="53"/>
      <c r="U187" s="53"/>
      <c r="V187" s="53"/>
      <c r="W187" s="53"/>
      <c r="X187" s="53"/>
      <c r="Y187" s="53"/>
      <c r="Z187" s="53"/>
      <c r="AA187" s="53"/>
    </row>
    <row r="188" spans="1:27">
      <c r="A188" s="86"/>
      <c r="C188" s="165"/>
      <c r="D188" s="165"/>
      <c r="E188" s="165"/>
      <c r="F188" s="165"/>
      <c r="G188" s="165"/>
      <c r="N188" s="53"/>
      <c r="O188" s="170"/>
      <c r="P188" s="170"/>
      <c r="Q188" s="170"/>
      <c r="R188" s="170"/>
      <c r="S188" s="170"/>
      <c r="T188" s="53"/>
      <c r="U188" s="53"/>
      <c r="V188" s="53"/>
      <c r="W188" s="53"/>
      <c r="X188" s="53"/>
      <c r="Y188" s="53"/>
      <c r="Z188" s="53"/>
      <c r="AA188" s="53"/>
    </row>
    <row r="189" spans="1:27">
      <c r="A189" s="86"/>
      <c r="C189" s="165"/>
      <c r="D189" s="165"/>
      <c r="E189" s="165"/>
      <c r="F189" s="165"/>
      <c r="G189" s="165"/>
      <c r="N189" s="53"/>
      <c r="O189" s="170"/>
      <c r="P189" s="170"/>
      <c r="Q189" s="170"/>
      <c r="R189" s="170"/>
      <c r="S189" s="170"/>
      <c r="T189" s="53"/>
      <c r="U189" s="53"/>
      <c r="V189" s="53"/>
      <c r="W189" s="53"/>
      <c r="X189" s="53"/>
      <c r="Y189" s="53"/>
      <c r="Z189" s="53"/>
      <c r="AA189" s="53"/>
    </row>
    <row r="190" spans="1:27">
      <c r="A190" s="86"/>
      <c r="C190" s="165"/>
      <c r="D190" s="165"/>
      <c r="E190" s="165"/>
      <c r="F190" s="165"/>
      <c r="G190" s="165"/>
      <c r="N190" s="53"/>
      <c r="O190" s="170"/>
      <c r="P190" s="170"/>
      <c r="Q190" s="170"/>
      <c r="R190" s="170"/>
      <c r="S190" s="170"/>
      <c r="T190" s="53"/>
      <c r="U190" s="53"/>
      <c r="V190" s="53"/>
      <c r="W190" s="53"/>
      <c r="X190" s="53"/>
      <c r="Y190" s="53"/>
      <c r="Z190" s="53"/>
      <c r="AA190" s="53"/>
    </row>
    <row r="191" spans="1:27">
      <c r="A191" s="86"/>
      <c r="C191" s="165"/>
      <c r="D191" s="165"/>
      <c r="E191" s="165"/>
      <c r="F191" s="165"/>
      <c r="G191" s="165"/>
      <c r="N191" s="53"/>
      <c r="O191" s="170"/>
      <c r="P191" s="170"/>
      <c r="Q191" s="170"/>
      <c r="R191" s="170"/>
      <c r="S191" s="170"/>
      <c r="T191" s="53"/>
      <c r="U191" s="53"/>
      <c r="V191" s="53"/>
      <c r="W191" s="53"/>
      <c r="X191" s="53"/>
      <c r="Y191" s="53"/>
      <c r="Z191" s="53"/>
      <c r="AA191" s="53"/>
    </row>
    <row r="192" spans="1:27">
      <c r="A192" s="86"/>
      <c r="C192" s="165"/>
      <c r="D192" s="165"/>
      <c r="E192" s="165"/>
      <c r="F192" s="165"/>
      <c r="G192" s="165"/>
      <c r="N192" s="53"/>
      <c r="O192" s="170"/>
      <c r="P192" s="170"/>
      <c r="Q192" s="170"/>
      <c r="R192" s="170"/>
      <c r="S192" s="170"/>
      <c r="T192" s="53"/>
      <c r="U192" s="53"/>
      <c r="V192" s="53"/>
      <c r="W192" s="53"/>
      <c r="X192" s="53"/>
      <c r="Y192" s="53"/>
      <c r="Z192" s="53"/>
      <c r="AA192" s="53"/>
    </row>
    <row r="193" spans="1:27">
      <c r="A193" s="86"/>
      <c r="C193" s="165"/>
      <c r="D193" s="165"/>
      <c r="E193" s="165"/>
      <c r="F193" s="165"/>
      <c r="G193" s="165"/>
      <c r="N193" s="53"/>
      <c r="O193" s="170"/>
      <c r="P193" s="170"/>
      <c r="Q193" s="170"/>
      <c r="R193" s="170"/>
      <c r="S193" s="170"/>
      <c r="T193" s="53"/>
      <c r="U193" s="53"/>
      <c r="V193" s="53"/>
      <c r="W193" s="53"/>
      <c r="X193" s="53"/>
      <c r="Y193" s="53"/>
      <c r="Z193" s="53"/>
      <c r="AA193" s="53"/>
    </row>
    <row r="194" spans="1:27">
      <c r="A194" s="86"/>
      <c r="C194" s="165"/>
      <c r="D194" s="165"/>
      <c r="E194" s="165"/>
      <c r="F194" s="165"/>
      <c r="G194" s="165"/>
      <c r="N194" s="53"/>
      <c r="O194" s="170"/>
      <c r="P194" s="170"/>
      <c r="Q194" s="170"/>
      <c r="R194" s="170"/>
      <c r="S194" s="170"/>
      <c r="T194" s="53"/>
      <c r="U194" s="53"/>
      <c r="V194" s="53"/>
      <c r="W194" s="53"/>
      <c r="X194" s="53"/>
      <c r="Y194" s="53"/>
      <c r="Z194" s="53"/>
      <c r="AA194" s="53"/>
    </row>
    <row r="195" spans="1:27">
      <c r="A195" s="86"/>
      <c r="C195" s="165"/>
      <c r="D195" s="165"/>
      <c r="E195" s="165"/>
      <c r="F195" s="165"/>
      <c r="G195" s="165"/>
      <c r="N195" s="53"/>
      <c r="O195" s="170"/>
      <c r="P195" s="170"/>
      <c r="Q195" s="170"/>
      <c r="R195" s="170"/>
      <c r="S195" s="170"/>
      <c r="T195" s="53"/>
      <c r="U195" s="53"/>
      <c r="V195" s="53"/>
      <c r="W195" s="53"/>
      <c r="X195" s="53"/>
      <c r="Y195" s="53"/>
      <c r="Z195" s="53"/>
      <c r="AA195" s="53"/>
    </row>
    <row r="196" spans="1:27">
      <c r="A196" s="86"/>
      <c r="C196" s="165"/>
      <c r="D196" s="165"/>
      <c r="E196" s="165"/>
      <c r="F196" s="165"/>
      <c r="G196" s="165"/>
      <c r="N196" s="53"/>
      <c r="O196" s="170"/>
      <c r="P196" s="170"/>
      <c r="Q196" s="170"/>
      <c r="R196" s="170"/>
      <c r="S196" s="170"/>
      <c r="T196" s="53"/>
      <c r="U196" s="53"/>
      <c r="V196" s="53"/>
      <c r="W196" s="53"/>
      <c r="X196" s="53"/>
      <c r="Y196" s="53"/>
      <c r="Z196" s="53"/>
      <c r="AA196" s="53"/>
    </row>
    <row r="197" spans="1:27">
      <c r="A197" s="86"/>
      <c r="C197" s="165"/>
      <c r="D197" s="165"/>
      <c r="E197" s="165"/>
      <c r="F197" s="165"/>
      <c r="G197" s="165"/>
      <c r="N197" s="53"/>
      <c r="O197" s="170"/>
      <c r="P197" s="170"/>
      <c r="Q197" s="170"/>
      <c r="R197" s="170"/>
      <c r="S197" s="170"/>
      <c r="T197" s="53"/>
      <c r="U197" s="53"/>
      <c r="V197" s="53"/>
      <c r="W197" s="53"/>
      <c r="X197" s="53"/>
      <c r="Y197" s="53"/>
      <c r="Z197" s="53"/>
      <c r="AA197" s="53"/>
    </row>
    <row r="198" spans="1:27">
      <c r="A198" s="86"/>
      <c r="C198" s="165"/>
      <c r="D198" s="165"/>
      <c r="E198" s="165"/>
      <c r="F198" s="165"/>
      <c r="G198" s="165"/>
      <c r="N198" s="53"/>
      <c r="O198" s="170"/>
      <c r="P198" s="170"/>
      <c r="Q198" s="170"/>
      <c r="R198" s="170"/>
      <c r="S198" s="170"/>
      <c r="T198" s="53"/>
      <c r="U198" s="53"/>
      <c r="V198" s="53"/>
      <c r="W198" s="53"/>
      <c r="X198" s="53"/>
      <c r="Y198" s="53"/>
      <c r="Z198" s="53"/>
      <c r="AA198" s="53"/>
    </row>
    <row r="199" spans="1:27">
      <c r="A199" s="86"/>
      <c r="C199" s="165"/>
      <c r="D199" s="165"/>
      <c r="E199" s="165"/>
      <c r="F199" s="165"/>
      <c r="G199" s="165"/>
      <c r="N199" s="53"/>
      <c r="O199" s="170"/>
      <c r="P199" s="170"/>
      <c r="Q199" s="170"/>
      <c r="R199" s="170"/>
      <c r="S199" s="170"/>
      <c r="T199" s="53"/>
      <c r="U199" s="53"/>
      <c r="V199" s="53"/>
      <c r="W199" s="53"/>
      <c r="X199" s="53"/>
      <c r="Y199" s="53"/>
      <c r="Z199" s="53"/>
      <c r="AA199" s="53"/>
    </row>
    <row r="200" spans="1:27">
      <c r="A200" s="86"/>
      <c r="C200" s="165"/>
      <c r="D200" s="165"/>
      <c r="E200" s="165"/>
      <c r="F200" s="165"/>
      <c r="G200" s="165"/>
      <c r="N200" s="53"/>
      <c r="O200" s="170"/>
      <c r="P200" s="170"/>
      <c r="Q200" s="170"/>
      <c r="R200" s="170"/>
      <c r="S200" s="170"/>
      <c r="T200" s="53"/>
      <c r="U200" s="53"/>
      <c r="V200" s="53"/>
      <c r="W200" s="53"/>
      <c r="X200" s="53"/>
      <c r="Y200" s="53"/>
      <c r="Z200" s="53"/>
      <c r="AA200" s="53"/>
    </row>
    <row r="201" spans="1:27">
      <c r="A201" s="86"/>
      <c r="C201" s="165"/>
      <c r="D201" s="165"/>
      <c r="E201" s="165"/>
      <c r="F201" s="165"/>
      <c r="G201" s="165"/>
      <c r="N201" s="53"/>
      <c r="O201" s="170"/>
      <c r="P201" s="170"/>
      <c r="Q201" s="170"/>
      <c r="R201" s="170"/>
      <c r="S201" s="170"/>
      <c r="T201" s="53"/>
      <c r="U201" s="53"/>
      <c r="V201" s="53"/>
      <c r="W201" s="53"/>
      <c r="X201" s="53"/>
      <c r="Y201" s="53"/>
      <c r="Z201" s="53"/>
      <c r="AA201" s="53"/>
    </row>
    <row r="202" spans="1:27">
      <c r="A202" s="86"/>
      <c r="C202" s="165"/>
      <c r="D202" s="165"/>
      <c r="E202" s="165"/>
      <c r="F202" s="165"/>
      <c r="G202" s="165"/>
      <c r="N202" s="53"/>
      <c r="O202" s="170"/>
      <c r="P202" s="170"/>
      <c r="Q202" s="170"/>
      <c r="R202" s="170"/>
      <c r="S202" s="170"/>
      <c r="T202" s="53"/>
      <c r="U202" s="53"/>
      <c r="V202" s="53"/>
      <c r="W202" s="53"/>
      <c r="X202" s="53"/>
      <c r="Y202" s="53"/>
      <c r="Z202" s="53"/>
      <c r="AA202" s="53"/>
    </row>
    <row r="203" spans="1:27">
      <c r="A203" s="86"/>
      <c r="C203" s="165"/>
      <c r="D203" s="165"/>
      <c r="E203" s="165"/>
      <c r="F203" s="165"/>
      <c r="G203" s="165"/>
      <c r="N203" s="53"/>
      <c r="O203" s="170"/>
      <c r="P203" s="170"/>
      <c r="Q203" s="170"/>
      <c r="R203" s="170"/>
      <c r="S203" s="170"/>
      <c r="T203" s="53"/>
      <c r="U203" s="53"/>
      <c r="V203" s="53"/>
      <c r="W203" s="53"/>
      <c r="X203" s="53"/>
      <c r="Y203" s="53"/>
      <c r="Z203" s="53"/>
      <c r="AA203" s="53"/>
    </row>
    <row r="204" spans="1:27">
      <c r="A204" s="86"/>
      <c r="C204" s="165"/>
      <c r="D204" s="165"/>
      <c r="E204" s="165"/>
      <c r="F204" s="165"/>
      <c r="G204" s="165"/>
      <c r="N204" s="53"/>
      <c r="O204" s="170"/>
      <c r="P204" s="170"/>
      <c r="Q204" s="170"/>
      <c r="R204" s="170"/>
      <c r="S204" s="170"/>
      <c r="T204" s="53"/>
      <c r="U204" s="53"/>
      <c r="V204" s="53"/>
      <c r="W204" s="53"/>
      <c r="X204" s="53"/>
      <c r="Y204" s="53"/>
      <c r="Z204" s="53"/>
      <c r="AA204" s="53"/>
    </row>
    <row r="205" spans="1:27">
      <c r="A205" s="86"/>
      <c r="C205" s="165"/>
      <c r="D205" s="165"/>
      <c r="E205" s="165"/>
      <c r="F205" s="165"/>
      <c r="G205" s="165"/>
      <c r="N205" s="53"/>
      <c r="O205" s="170"/>
      <c r="P205" s="170"/>
      <c r="Q205" s="170"/>
      <c r="R205" s="170"/>
      <c r="S205" s="170"/>
      <c r="T205" s="53"/>
      <c r="U205" s="53"/>
      <c r="V205" s="53"/>
      <c r="W205" s="53"/>
      <c r="X205" s="53"/>
      <c r="Y205" s="53"/>
      <c r="Z205" s="53"/>
      <c r="AA205" s="53"/>
    </row>
    <row r="206" spans="1:27">
      <c r="A206" s="86"/>
      <c r="C206" s="165"/>
      <c r="D206" s="165"/>
      <c r="E206" s="165"/>
      <c r="F206" s="165"/>
      <c r="G206" s="165"/>
      <c r="N206" s="53"/>
      <c r="O206" s="170"/>
      <c r="P206" s="170"/>
      <c r="Q206" s="170"/>
      <c r="R206" s="170"/>
      <c r="S206" s="170"/>
      <c r="T206" s="53"/>
      <c r="U206" s="53"/>
      <c r="V206" s="53"/>
      <c r="W206" s="53"/>
      <c r="X206" s="53"/>
      <c r="Y206" s="53"/>
      <c r="Z206" s="53"/>
      <c r="AA206" s="53"/>
    </row>
    <row r="207" spans="1:27">
      <c r="A207" s="86"/>
      <c r="C207" s="165"/>
      <c r="D207" s="165"/>
      <c r="E207" s="165"/>
      <c r="F207" s="165"/>
      <c r="G207" s="165"/>
      <c r="N207" s="53"/>
      <c r="O207" s="170"/>
      <c r="P207" s="170"/>
      <c r="Q207" s="170"/>
      <c r="R207" s="170"/>
      <c r="S207" s="170"/>
      <c r="T207" s="53"/>
      <c r="U207" s="53"/>
      <c r="V207" s="53"/>
      <c r="W207" s="53"/>
      <c r="X207" s="53"/>
      <c r="Y207" s="53"/>
      <c r="Z207" s="53"/>
      <c r="AA207" s="53"/>
    </row>
    <row r="208" spans="1:27">
      <c r="A208" s="86"/>
      <c r="C208" s="165"/>
      <c r="D208" s="165"/>
      <c r="E208" s="165"/>
      <c r="F208" s="165"/>
      <c r="G208" s="165"/>
      <c r="N208" s="53"/>
      <c r="O208" s="170"/>
      <c r="P208" s="170"/>
      <c r="Q208" s="170"/>
      <c r="R208" s="170"/>
      <c r="S208" s="170"/>
      <c r="T208" s="53"/>
      <c r="U208" s="53"/>
      <c r="V208" s="53"/>
      <c r="W208" s="53"/>
      <c r="X208" s="53"/>
      <c r="Y208" s="53"/>
      <c r="Z208" s="53"/>
      <c r="AA208" s="53"/>
    </row>
    <row r="209" spans="1:27">
      <c r="A209" s="86"/>
      <c r="C209" s="165"/>
      <c r="D209" s="165"/>
      <c r="E209" s="165"/>
      <c r="F209" s="165"/>
      <c r="G209" s="165"/>
      <c r="N209" s="53"/>
      <c r="O209" s="170"/>
      <c r="P209" s="170"/>
      <c r="Q209" s="170"/>
      <c r="R209" s="170"/>
      <c r="S209" s="170"/>
      <c r="T209" s="53"/>
      <c r="U209" s="53"/>
      <c r="V209" s="53"/>
      <c r="W209" s="53"/>
      <c r="X209" s="53"/>
      <c r="Y209" s="53"/>
      <c r="Z209" s="53"/>
      <c r="AA209" s="53"/>
    </row>
    <row r="210" spans="1:27">
      <c r="A210" s="86"/>
      <c r="C210" s="165"/>
      <c r="D210" s="165"/>
      <c r="E210" s="165"/>
      <c r="F210" s="165"/>
      <c r="G210" s="165"/>
      <c r="N210" s="53"/>
      <c r="O210" s="170"/>
      <c r="P210" s="170"/>
      <c r="Q210" s="170"/>
      <c r="R210" s="170"/>
      <c r="S210" s="170"/>
      <c r="T210" s="53"/>
      <c r="U210" s="53"/>
      <c r="V210" s="53"/>
      <c r="W210" s="53"/>
      <c r="X210" s="53"/>
      <c r="Y210" s="53"/>
      <c r="Z210" s="53"/>
      <c r="AA210" s="53"/>
    </row>
    <row r="211" spans="1:27">
      <c r="A211" s="86"/>
      <c r="C211" s="165"/>
      <c r="D211" s="165"/>
      <c r="E211" s="165"/>
      <c r="F211" s="165"/>
      <c r="G211" s="165"/>
      <c r="N211" s="53"/>
      <c r="O211" s="170"/>
      <c r="P211" s="170"/>
      <c r="Q211" s="170"/>
      <c r="R211" s="170"/>
      <c r="S211" s="170"/>
      <c r="T211" s="53"/>
      <c r="U211" s="53"/>
      <c r="V211" s="53"/>
      <c r="W211" s="53"/>
      <c r="X211" s="53"/>
      <c r="Y211" s="53"/>
      <c r="Z211" s="53"/>
      <c r="AA211" s="53"/>
    </row>
    <row r="212" spans="1:27">
      <c r="A212" s="86"/>
      <c r="C212" s="165"/>
      <c r="D212" s="165"/>
      <c r="E212" s="165"/>
      <c r="F212" s="165"/>
      <c r="G212" s="165"/>
      <c r="N212" s="53"/>
      <c r="O212" s="170"/>
      <c r="P212" s="170"/>
      <c r="Q212" s="170"/>
      <c r="R212" s="170"/>
      <c r="S212" s="170"/>
      <c r="T212" s="53"/>
      <c r="U212" s="53"/>
      <c r="V212" s="53"/>
      <c r="W212" s="53"/>
      <c r="X212" s="53"/>
      <c r="Y212" s="53"/>
      <c r="Z212" s="53"/>
      <c r="AA212" s="53"/>
    </row>
    <row r="213" spans="1:27">
      <c r="A213" s="86"/>
      <c r="C213" s="165"/>
      <c r="D213" s="165"/>
      <c r="E213" s="165"/>
      <c r="F213" s="165"/>
      <c r="G213" s="165"/>
      <c r="N213" s="53"/>
      <c r="O213" s="170"/>
      <c r="P213" s="170"/>
      <c r="Q213" s="170"/>
      <c r="R213" s="170"/>
      <c r="S213" s="170"/>
      <c r="T213" s="53"/>
      <c r="U213" s="53"/>
      <c r="V213" s="53"/>
      <c r="W213" s="53"/>
      <c r="X213" s="53"/>
      <c r="Y213" s="53"/>
      <c r="Z213" s="53"/>
      <c r="AA213" s="53"/>
    </row>
    <row r="214" spans="1:27">
      <c r="A214" s="86"/>
      <c r="C214" s="165"/>
      <c r="D214" s="165"/>
      <c r="E214" s="165"/>
      <c r="F214" s="165"/>
      <c r="G214" s="165"/>
      <c r="N214" s="53"/>
      <c r="O214" s="170"/>
      <c r="P214" s="170"/>
      <c r="Q214" s="170"/>
      <c r="R214" s="170"/>
      <c r="S214" s="170"/>
      <c r="T214" s="53"/>
      <c r="U214" s="53"/>
      <c r="V214" s="53"/>
      <c r="W214" s="53"/>
      <c r="X214" s="53"/>
      <c r="Y214" s="53"/>
      <c r="Z214" s="53"/>
      <c r="AA214" s="53"/>
    </row>
    <row r="215" spans="1:27">
      <c r="A215" s="86"/>
      <c r="C215" s="165"/>
      <c r="D215" s="165"/>
      <c r="E215" s="165"/>
      <c r="F215" s="165"/>
      <c r="G215" s="165"/>
      <c r="N215" s="53"/>
      <c r="O215" s="170"/>
      <c r="P215" s="170"/>
      <c r="Q215" s="170"/>
      <c r="R215" s="170"/>
      <c r="S215" s="170"/>
      <c r="T215" s="53"/>
      <c r="U215" s="53"/>
      <c r="V215" s="53"/>
      <c r="W215" s="53"/>
      <c r="X215" s="53"/>
      <c r="Y215" s="53"/>
      <c r="Z215" s="53"/>
      <c r="AA215" s="53"/>
    </row>
    <row r="216" spans="1:27">
      <c r="A216" s="86"/>
      <c r="C216" s="165"/>
      <c r="D216" s="165"/>
      <c r="E216" s="165"/>
      <c r="F216" s="165"/>
      <c r="G216" s="165"/>
      <c r="N216" s="53"/>
      <c r="O216" s="170"/>
      <c r="P216" s="170"/>
      <c r="Q216" s="170"/>
      <c r="R216" s="170"/>
      <c r="S216" s="170"/>
      <c r="T216" s="53"/>
      <c r="U216" s="53"/>
      <c r="V216" s="53"/>
      <c r="W216" s="53"/>
      <c r="X216" s="53"/>
      <c r="Y216" s="53"/>
      <c r="Z216" s="53"/>
      <c r="AA216" s="53"/>
    </row>
    <row r="217" spans="1:27">
      <c r="A217" s="86"/>
      <c r="C217" s="165"/>
      <c r="D217" s="165"/>
      <c r="E217" s="165"/>
      <c r="F217" s="165"/>
      <c r="G217" s="165"/>
      <c r="N217" s="53"/>
      <c r="O217" s="170"/>
      <c r="P217" s="170"/>
      <c r="Q217" s="170"/>
      <c r="R217" s="170"/>
      <c r="S217" s="170"/>
      <c r="T217" s="53"/>
      <c r="U217" s="53"/>
      <c r="V217" s="53"/>
      <c r="W217" s="53"/>
      <c r="X217" s="53"/>
      <c r="Y217" s="53"/>
      <c r="Z217" s="53"/>
      <c r="AA217" s="53"/>
    </row>
    <row r="218" spans="1:27">
      <c r="A218" s="86"/>
      <c r="C218" s="165"/>
      <c r="D218" s="165"/>
      <c r="E218" s="165"/>
      <c r="F218" s="165"/>
      <c r="G218" s="165"/>
      <c r="N218" s="53"/>
      <c r="O218" s="170"/>
      <c r="P218" s="170"/>
      <c r="Q218" s="170"/>
      <c r="R218" s="170"/>
      <c r="S218" s="170"/>
      <c r="T218" s="53"/>
      <c r="U218" s="53"/>
      <c r="V218" s="53"/>
      <c r="W218" s="53"/>
      <c r="X218" s="53"/>
      <c r="Y218" s="53"/>
      <c r="Z218" s="53"/>
      <c r="AA218" s="53"/>
    </row>
    <row r="219" spans="1:27">
      <c r="A219" s="86"/>
      <c r="C219" s="165"/>
      <c r="D219" s="165"/>
      <c r="E219" s="165"/>
      <c r="F219" s="165"/>
      <c r="G219" s="165"/>
      <c r="N219" s="53"/>
      <c r="O219" s="170"/>
      <c r="P219" s="170"/>
      <c r="Q219" s="170"/>
      <c r="R219" s="170"/>
      <c r="S219" s="170"/>
      <c r="T219" s="53"/>
      <c r="U219" s="53"/>
      <c r="V219" s="53"/>
      <c r="W219" s="53"/>
      <c r="X219" s="53"/>
      <c r="Y219" s="53"/>
      <c r="Z219" s="53"/>
      <c r="AA219" s="53"/>
    </row>
    <row r="220" spans="1:27">
      <c r="A220" s="86"/>
      <c r="C220" s="165"/>
      <c r="D220" s="165"/>
      <c r="E220" s="165"/>
      <c r="F220" s="165"/>
      <c r="G220" s="165"/>
      <c r="N220" s="53"/>
      <c r="O220" s="170"/>
      <c r="P220" s="170"/>
      <c r="Q220" s="170"/>
      <c r="R220" s="170"/>
      <c r="S220" s="170"/>
      <c r="T220" s="53"/>
      <c r="U220" s="53"/>
      <c r="V220" s="53"/>
      <c r="W220" s="53"/>
      <c r="X220" s="53"/>
      <c r="Y220" s="53"/>
      <c r="Z220" s="53"/>
      <c r="AA220" s="53"/>
    </row>
    <row r="221" spans="1:27">
      <c r="A221" s="86"/>
      <c r="C221" s="165"/>
      <c r="D221" s="165"/>
      <c r="E221" s="165"/>
      <c r="F221" s="165"/>
      <c r="G221" s="165"/>
      <c r="N221" s="53"/>
      <c r="O221" s="170"/>
      <c r="P221" s="170"/>
      <c r="Q221" s="170"/>
      <c r="R221" s="170"/>
      <c r="S221" s="170"/>
      <c r="T221" s="53"/>
      <c r="U221" s="53"/>
      <c r="V221" s="53"/>
      <c r="W221" s="53"/>
      <c r="X221" s="53"/>
      <c r="Y221" s="53"/>
      <c r="Z221" s="53"/>
      <c r="AA221" s="53"/>
    </row>
    <row r="222" spans="1:27">
      <c r="A222" s="86"/>
      <c r="C222" s="165"/>
      <c r="D222" s="165"/>
      <c r="E222" s="165"/>
      <c r="F222" s="165"/>
      <c r="G222" s="165"/>
      <c r="N222" s="53"/>
      <c r="O222" s="170"/>
      <c r="P222" s="170"/>
      <c r="Q222" s="170"/>
      <c r="R222" s="170"/>
      <c r="S222" s="170"/>
      <c r="T222" s="53"/>
      <c r="U222" s="53"/>
      <c r="V222" s="53"/>
      <c r="W222" s="53"/>
      <c r="X222" s="53"/>
      <c r="Y222" s="53"/>
      <c r="Z222" s="53"/>
      <c r="AA222" s="53"/>
    </row>
    <row r="223" spans="1:27">
      <c r="A223" s="86"/>
      <c r="C223" s="165"/>
      <c r="D223" s="165"/>
      <c r="E223" s="165"/>
      <c r="F223" s="165"/>
      <c r="G223" s="165"/>
      <c r="N223" s="53"/>
      <c r="O223" s="170"/>
      <c r="P223" s="170"/>
      <c r="Q223" s="170"/>
      <c r="R223" s="170"/>
      <c r="S223" s="170"/>
      <c r="T223" s="53"/>
      <c r="U223" s="53"/>
      <c r="V223" s="53"/>
      <c r="W223" s="53"/>
      <c r="X223" s="53"/>
      <c r="Y223" s="53"/>
      <c r="Z223" s="53"/>
      <c r="AA223" s="53"/>
    </row>
    <row r="224" spans="1:27">
      <c r="A224" s="86"/>
      <c r="C224" s="165"/>
      <c r="D224" s="165"/>
      <c r="E224" s="165"/>
      <c r="F224" s="165"/>
      <c r="G224" s="165"/>
      <c r="N224" s="53"/>
      <c r="O224" s="170"/>
      <c r="P224" s="170"/>
      <c r="Q224" s="170"/>
      <c r="R224" s="170"/>
      <c r="S224" s="170"/>
      <c r="T224" s="53"/>
      <c r="U224" s="53"/>
      <c r="V224" s="53"/>
      <c r="W224" s="53"/>
      <c r="X224" s="53"/>
      <c r="Y224" s="53"/>
      <c r="Z224" s="53"/>
      <c r="AA224" s="53"/>
    </row>
    <row r="225" spans="1:27">
      <c r="A225" s="86"/>
      <c r="C225" s="165"/>
      <c r="D225" s="165"/>
      <c r="E225" s="165"/>
      <c r="F225" s="165"/>
      <c r="G225" s="165"/>
      <c r="N225" s="53"/>
      <c r="O225" s="170"/>
      <c r="P225" s="170"/>
      <c r="Q225" s="170"/>
      <c r="R225" s="170"/>
      <c r="S225" s="170"/>
      <c r="T225" s="53"/>
      <c r="U225" s="53"/>
      <c r="V225" s="53"/>
      <c r="W225" s="53"/>
      <c r="X225" s="53"/>
      <c r="Y225" s="53"/>
      <c r="Z225" s="53"/>
      <c r="AA225" s="53"/>
    </row>
    <row r="226" spans="1:27">
      <c r="A226" s="86"/>
      <c r="C226" s="165"/>
      <c r="D226" s="165"/>
      <c r="E226" s="165"/>
      <c r="F226" s="165"/>
      <c r="G226" s="165"/>
      <c r="N226" s="53"/>
      <c r="O226" s="170"/>
      <c r="P226" s="170"/>
      <c r="Q226" s="170"/>
      <c r="R226" s="170"/>
      <c r="S226" s="170"/>
      <c r="T226" s="53"/>
      <c r="U226" s="53"/>
      <c r="V226" s="53"/>
      <c r="W226" s="53"/>
      <c r="X226" s="53"/>
      <c r="Y226" s="53"/>
      <c r="Z226" s="53"/>
      <c r="AA226" s="53"/>
    </row>
    <row r="227" spans="1:27">
      <c r="A227" s="87"/>
      <c r="C227" s="165"/>
      <c r="D227" s="165"/>
      <c r="E227" s="165"/>
      <c r="F227" s="165"/>
      <c r="G227" s="165"/>
      <c r="N227" s="53"/>
      <c r="O227" s="170"/>
      <c r="P227" s="170"/>
      <c r="Q227" s="170"/>
      <c r="R227" s="170"/>
      <c r="S227" s="170"/>
      <c r="T227" s="53"/>
      <c r="U227" s="53"/>
      <c r="V227" s="53"/>
      <c r="W227" s="53"/>
      <c r="X227" s="53"/>
      <c r="Y227" s="53"/>
      <c r="Z227" s="53"/>
      <c r="AA227" s="53"/>
    </row>
    <row r="228" spans="1:27">
      <c r="A228" s="86"/>
      <c r="C228" s="165"/>
      <c r="D228" s="165"/>
      <c r="E228" s="165"/>
      <c r="F228" s="165"/>
      <c r="G228" s="165"/>
      <c r="N228" s="53"/>
      <c r="O228" s="170"/>
      <c r="P228" s="170"/>
      <c r="Q228" s="170"/>
      <c r="R228" s="170"/>
      <c r="S228" s="170"/>
      <c r="T228" s="53"/>
      <c r="U228" s="53"/>
      <c r="V228" s="53"/>
      <c r="W228" s="53"/>
      <c r="X228" s="53"/>
      <c r="Y228" s="53"/>
      <c r="Z228" s="53"/>
      <c r="AA228" s="53"/>
    </row>
    <row r="229" spans="1:27">
      <c r="A229" s="86"/>
      <c r="C229" s="165"/>
      <c r="D229" s="165"/>
      <c r="E229" s="165"/>
      <c r="F229" s="165"/>
      <c r="G229" s="165"/>
      <c r="N229" s="53"/>
      <c r="O229" s="170"/>
      <c r="P229" s="170"/>
      <c r="Q229" s="170"/>
      <c r="R229" s="170"/>
      <c r="S229" s="170"/>
      <c r="T229" s="53"/>
      <c r="U229" s="53"/>
      <c r="V229" s="53"/>
      <c r="W229" s="53"/>
      <c r="X229" s="53"/>
      <c r="Y229" s="53"/>
      <c r="Z229" s="53"/>
      <c r="AA229" s="53"/>
    </row>
    <row r="230" spans="1:27">
      <c r="A230" s="86"/>
      <c r="C230" s="165"/>
      <c r="D230" s="165"/>
      <c r="E230" s="165"/>
      <c r="F230" s="165"/>
      <c r="G230" s="165"/>
      <c r="N230" s="53"/>
      <c r="O230" s="170"/>
      <c r="P230" s="170"/>
      <c r="Q230" s="170"/>
      <c r="R230" s="170"/>
      <c r="S230" s="170"/>
      <c r="T230" s="53"/>
      <c r="U230" s="53"/>
      <c r="V230" s="53"/>
      <c r="W230" s="53"/>
      <c r="X230" s="53"/>
      <c r="Y230" s="53"/>
      <c r="Z230" s="53"/>
      <c r="AA230" s="53"/>
    </row>
    <row r="231" spans="1:27">
      <c r="A231" s="86"/>
      <c r="C231" s="165"/>
      <c r="D231" s="165"/>
      <c r="E231" s="165"/>
      <c r="F231" s="165"/>
      <c r="G231" s="165"/>
      <c r="N231" s="53"/>
      <c r="O231" s="170"/>
      <c r="P231" s="170"/>
      <c r="Q231" s="170"/>
      <c r="R231" s="170"/>
      <c r="S231" s="170"/>
      <c r="T231" s="53"/>
      <c r="U231" s="53"/>
      <c r="V231" s="53"/>
      <c r="W231" s="53"/>
      <c r="X231" s="53"/>
      <c r="Y231" s="53"/>
      <c r="Z231" s="53"/>
      <c r="AA231" s="53"/>
    </row>
    <row r="232" spans="1:27">
      <c r="A232" s="86"/>
      <c r="C232" s="165"/>
      <c r="D232" s="165"/>
      <c r="E232" s="165"/>
      <c r="F232" s="165"/>
      <c r="G232" s="165"/>
    </row>
    <row r="233" spans="1:27">
      <c r="A233" s="86"/>
      <c r="C233" s="165"/>
      <c r="D233" s="165"/>
      <c r="E233" s="165"/>
      <c r="F233" s="165"/>
      <c r="G233" s="165"/>
    </row>
    <row r="234" spans="1:27">
      <c r="A234" s="86"/>
      <c r="C234" s="165"/>
      <c r="D234" s="165"/>
      <c r="E234" s="165"/>
      <c r="F234" s="165"/>
      <c r="G234" s="165"/>
    </row>
    <row r="235" spans="1:27">
      <c r="A235" s="86"/>
      <c r="C235" s="165"/>
      <c r="D235" s="165"/>
      <c r="E235" s="165"/>
      <c r="F235" s="165"/>
      <c r="G235" s="165"/>
    </row>
    <row r="236" spans="1:27">
      <c r="A236" s="86"/>
      <c r="C236" s="165"/>
      <c r="D236" s="165"/>
      <c r="E236" s="165"/>
      <c r="F236" s="165"/>
      <c r="G236" s="165"/>
    </row>
    <row r="237" spans="1:27">
      <c r="A237" s="86"/>
      <c r="C237" s="165"/>
      <c r="D237" s="165"/>
      <c r="E237" s="165"/>
      <c r="F237" s="165"/>
      <c r="G237" s="165"/>
    </row>
    <row r="238" spans="1:27">
      <c r="A238" s="86"/>
      <c r="C238" s="165"/>
      <c r="D238" s="165"/>
      <c r="E238" s="165"/>
      <c r="F238" s="165"/>
      <c r="G238" s="165"/>
    </row>
    <row r="239" spans="1:27">
      <c r="A239" s="86"/>
      <c r="C239" s="165"/>
      <c r="D239" s="165"/>
      <c r="E239" s="165"/>
      <c r="F239" s="165"/>
      <c r="G239" s="165"/>
    </row>
    <row r="240" spans="1:27">
      <c r="A240" s="86"/>
      <c r="C240" s="165"/>
      <c r="D240" s="165"/>
      <c r="E240" s="165"/>
      <c r="F240" s="165"/>
      <c r="G240" s="165"/>
    </row>
    <row r="241" spans="1:7">
      <c r="A241" s="86"/>
      <c r="C241" s="165"/>
      <c r="D241" s="165"/>
      <c r="E241" s="165"/>
      <c r="F241" s="165"/>
      <c r="G241" s="165"/>
    </row>
    <row r="242" spans="1:7">
      <c r="A242" s="86"/>
      <c r="C242" s="165"/>
      <c r="D242" s="165"/>
      <c r="E242" s="165"/>
      <c r="F242" s="165"/>
      <c r="G242" s="165"/>
    </row>
    <row r="243" spans="1:7">
      <c r="A243" s="86"/>
      <c r="C243" s="165"/>
      <c r="D243" s="165"/>
      <c r="E243" s="165"/>
      <c r="F243" s="165"/>
      <c r="G243" s="165"/>
    </row>
    <row r="244" spans="1:7">
      <c r="A244" s="86"/>
      <c r="C244" s="165"/>
      <c r="D244" s="165"/>
      <c r="E244" s="165"/>
      <c r="F244" s="165"/>
      <c r="G244" s="165"/>
    </row>
    <row r="245" spans="1:7">
      <c r="A245" s="86"/>
      <c r="C245" s="165"/>
      <c r="D245" s="165"/>
      <c r="E245" s="165"/>
      <c r="F245" s="165"/>
      <c r="G245" s="165"/>
    </row>
    <row r="246" spans="1:7">
      <c r="A246" s="86"/>
      <c r="C246" s="165"/>
      <c r="D246" s="165"/>
      <c r="E246" s="165"/>
      <c r="F246" s="165"/>
      <c r="G246" s="165"/>
    </row>
    <row r="247" spans="1:7">
      <c r="A247" s="87"/>
      <c r="C247" s="165"/>
      <c r="D247" s="165"/>
      <c r="E247" s="165"/>
      <c r="F247" s="165"/>
      <c r="G247" s="165"/>
    </row>
    <row r="248" spans="1:7">
      <c r="A248" s="86"/>
      <c r="C248" s="165"/>
      <c r="D248" s="165"/>
      <c r="E248" s="165"/>
      <c r="F248" s="165"/>
      <c r="G248" s="165"/>
    </row>
    <row r="249" spans="1:7">
      <c r="A249" s="86"/>
      <c r="C249" s="165"/>
      <c r="D249" s="165"/>
      <c r="E249" s="165"/>
      <c r="F249" s="165"/>
      <c r="G249" s="165"/>
    </row>
    <row r="250" spans="1:7">
      <c r="A250" s="86"/>
      <c r="C250" s="165"/>
      <c r="D250" s="165"/>
      <c r="E250" s="165"/>
      <c r="F250" s="165"/>
      <c r="G250" s="165"/>
    </row>
    <row r="251" spans="1:7">
      <c r="A251" s="86"/>
      <c r="C251" s="165"/>
      <c r="D251" s="165"/>
      <c r="E251" s="165"/>
      <c r="F251" s="165"/>
      <c r="G251" s="165"/>
    </row>
    <row r="252" spans="1:7">
      <c r="A252" s="86"/>
      <c r="C252" s="165"/>
      <c r="D252" s="165"/>
      <c r="E252" s="165"/>
      <c r="F252" s="165"/>
      <c r="G252" s="165"/>
    </row>
    <row r="253" spans="1:7">
      <c r="A253" s="86"/>
      <c r="C253" s="165"/>
      <c r="D253" s="165"/>
      <c r="E253" s="165"/>
      <c r="F253" s="165"/>
      <c r="G253" s="165"/>
    </row>
    <row r="254" spans="1:7">
      <c r="A254" s="86"/>
      <c r="C254" s="165"/>
      <c r="D254" s="165"/>
      <c r="E254" s="165"/>
      <c r="F254" s="165"/>
      <c r="G254" s="165"/>
    </row>
    <row r="255" spans="1:7">
      <c r="A255" s="86"/>
      <c r="C255" s="165"/>
      <c r="D255" s="165"/>
      <c r="E255" s="165"/>
      <c r="F255" s="165"/>
      <c r="G255" s="165"/>
    </row>
    <row r="256" spans="1:7">
      <c r="A256" s="86"/>
      <c r="C256" s="165"/>
      <c r="D256" s="165"/>
      <c r="E256" s="165"/>
      <c r="F256" s="165"/>
      <c r="G256" s="165"/>
    </row>
    <row r="257" spans="1:7">
      <c r="A257" s="86"/>
      <c r="C257" s="165"/>
      <c r="D257" s="165"/>
      <c r="E257" s="165"/>
      <c r="F257" s="165"/>
      <c r="G257" s="165"/>
    </row>
    <row r="258" spans="1:7">
      <c r="A258" s="86"/>
      <c r="C258" s="165"/>
      <c r="D258" s="165"/>
      <c r="E258" s="165"/>
      <c r="F258" s="165"/>
      <c r="G258" s="165"/>
    </row>
    <row r="259" spans="1:7">
      <c r="A259" s="86"/>
      <c r="C259" s="165"/>
      <c r="D259" s="165"/>
      <c r="E259" s="165"/>
      <c r="F259" s="165"/>
      <c r="G259" s="165"/>
    </row>
    <row r="260" spans="1:7">
      <c r="A260" s="86"/>
      <c r="C260" s="165"/>
      <c r="D260" s="165"/>
      <c r="E260" s="165"/>
      <c r="F260" s="165"/>
      <c r="G260" s="165"/>
    </row>
    <row r="261" spans="1:7">
      <c r="A261" s="86"/>
      <c r="C261" s="165"/>
      <c r="D261" s="165"/>
      <c r="E261" s="165"/>
      <c r="F261" s="165"/>
      <c r="G261" s="165"/>
    </row>
    <row r="262" spans="1:7">
      <c r="A262" s="86"/>
      <c r="C262" s="165"/>
      <c r="D262" s="165"/>
      <c r="E262" s="165"/>
      <c r="F262" s="165"/>
      <c r="G262" s="165"/>
    </row>
    <row r="263" spans="1:7">
      <c r="A263" s="86"/>
      <c r="C263" s="165"/>
      <c r="D263" s="165"/>
      <c r="E263" s="165"/>
      <c r="F263" s="165"/>
      <c r="G263" s="165"/>
    </row>
    <row r="264" spans="1:7">
      <c r="A264" s="86"/>
      <c r="C264" s="165"/>
      <c r="D264" s="165"/>
      <c r="E264" s="165"/>
      <c r="F264" s="165"/>
      <c r="G264" s="165"/>
    </row>
    <row r="265" spans="1:7">
      <c r="A265" s="86"/>
      <c r="C265" s="165"/>
      <c r="D265" s="165"/>
      <c r="E265" s="165"/>
      <c r="F265" s="165"/>
      <c r="G265" s="165"/>
    </row>
    <row r="266" spans="1:7">
      <c r="A266" s="86"/>
      <c r="C266" s="165"/>
      <c r="D266" s="165"/>
      <c r="E266" s="165"/>
      <c r="F266" s="165"/>
      <c r="G266" s="165"/>
    </row>
    <row r="267" spans="1:7">
      <c r="A267" s="87"/>
      <c r="C267" s="165"/>
      <c r="D267" s="165"/>
      <c r="E267" s="165"/>
      <c r="F267" s="165"/>
      <c r="G267" s="165"/>
    </row>
    <row r="268" spans="1:7">
      <c r="A268" s="86"/>
      <c r="C268" s="165"/>
      <c r="D268" s="165"/>
      <c r="E268" s="165"/>
      <c r="F268" s="165"/>
      <c r="G268" s="165"/>
    </row>
    <row r="269" spans="1:7">
      <c r="A269" s="86"/>
      <c r="C269" s="165"/>
      <c r="D269" s="165"/>
      <c r="E269" s="165"/>
      <c r="F269" s="165"/>
      <c r="G269" s="165"/>
    </row>
    <row r="270" spans="1:7">
      <c r="A270" s="86"/>
      <c r="C270" s="165"/>
      <c r="D270" s="165"/>
      <c r="E270" s="165"/>
      <c r="F270" s="165"/>
      <c r="G270" s="165"/>
    </row>
    <row r="271" spans="1:7">
      <c r="A271" s="86"/>
      <c r="C271" s="165"/>
      <c r="D271" s="165"/>
      <c r="E271" s="165"/>
      <c r="F271" s="165"/>
      <c r="G271" s="165"/>
    </row>
    <row r="272" spans="1:7">
      <c r="A272" s="86"/>
      <c r="C272" s="165"/>
      <c r="D272" s="165"/>
      <c r="E272" s="165"/>
      <c r="F272" s="165"/>
      <c r="G272" s="165"/>
    </row>
    <row r="273" spans="1:7">
      <c r="A273" s="86"/>
      <c r="C273" s="165"/>
      <c r="D273" s="165"/>
      <c r="E273" s="165"/>
      <c r="F273" s="165"/>
      <c r="G273" s="165"/>
    </row>
    <row r="274" spans="1:7">
      <c r="A274" s="86"/>
      <c r="C274" s="165"/>
      <c r="D274" s="165"/>
      <c r="E274" s="165"/>
      <c r="F274" s="165"/>
      <c r="G274" s="165"/>
    </row>
    <row r="275" spans="1:7">
      <c r="A275" s="86"/>
      <c r="C275" s="165"/>
      <c r="D275" s="165"/>
      <c r="E275" s="165"/>
      <c r="F275" s="165"/>
      <c r="G275" s="165"/>
    </row>
    <row r="276" spans="1:7">
      <c r="A276" s="86"/>
      <c r="C276" s="165"/>
      <c r="D276" s="165"/>
      <c r="E276" s="165"/>
      <c r="F276" s="165"/>
      <c r="G276" s="165"/>
    </row>
    <row r="277" spans="1:7">
      <c r="A277" s="86"/>
      <c r="C277" s="165"/>
      <c r="D277" s="165"/>
      <c r="E277" s="165"/>
      <c r="F277" s="165"/>
      <c r="G277" s="165"/>
    </row>
    <row r="278" spans="1:7">
      <c r="A278" s="86"/>
      <c r="C278" s="165"/>
      <c r="D278" s="165"/>
      <c r="E278" s="165"/>
      <c r="F278" s="165"/>
      <c r="G278" s="165"/>
    </row>
    <row r="279" spans="1:7">
      <c r="A279" s="86"/>
      <c r="C279" s="165"/>
      <c r="D279" s="165"/>
      <c r="E279" s="165"/>
      <c r="F279" s="165"/>
      <c r="G279" s="165"/>
    </row>
    <row r="280" spans="1:7">
      <c r="A280" s="86"/>
      <c r="C280" s="165"/>
      <c r="D280" s="165"/>
      <c r="E280" s="165"/>
      <c r="F280" s="165"/>
      <c r="G280" s="165"/>
    </row>
    <row r="281" spans="1:7">
      <c r="A281" s="86"/>
      <c r="C281" s="165"/>
      <c r="D281" s="165"/>
      <c r="E281" s="165"/>
      <c r="F281" s="165"/>
      <c r="G281" s="165"/>
    </row>
    <row r="282" spans="1:7">
      <c r="A282" s="86"/>
      <c r="C282" s="165"/>
      <c r="D282" s="165"/>
      <c r="E282" s="165"/>
      <c r="F282" s="165"/>
      <c r="G282" s="165"/>
    </row>
    <row r="283" spans="1:7">
      <c r="A283" s="86"/>
      <c r="C283" s="165"/>
      <c r="D283" s="165"/>
      <c r="E283" s="165"/>
      <c r="F283" s="165"/>
      <c r="G283" s="165"/>
    </row>
    <row r="284" spans="1:7">
      <c r="A284" s="86"/>
      <c r="C284" s="165"/>
      <c r="D284" s="165"/>
      <c r="E284" s="165"/>
      <c r="F284" s="165"/>
      <c r="G284" s="165"/>
    </row>
    <row r="285" spans="1:7">
      <c r="A285" s="86"/>
      <c r="C285" s="165"/>
      <c r="D285" s="165"/>
      <c r="E285" s="165"/>
      <c r="F285" s="165"/>
      <c r="G285" s="165"/>
    </row>
    <row r="286" spans="1:7">
      <c r="A286" s="86"/>
      <c r="C286" s="165"/>
      <c r="D286" s="165"/>
      <c r="E286" s="165"/>
      <c r="F286" s="165"/>
      <c r="G286" s="165"/>
    </row>
    <row r="287" spans="1:7">
      <c r="A287" s="87"/>
      <c r="C287" s="165"/>
      <c r="D287" s="165"/>
      <c r="E287" s="165"/>
      <c r="F287" s="165"/>
      <c r="G287" s="165"/>
    </row>
    <row r="288" spans="1:7">
      <c r="A288" s="86"/>
      <c r="C288" s="165"/>
      <c r="D288" s="165"/>
      <c r="E288" s="165"/>
      <c r="F288" s="165"/>
      <c r="G288" s="165"/>
    </row>
    <row r="289" spans="1:7">
      <c r="A289" s="86"/>
      <c r="C289" s="165"/>
      <c r="D289" s="165"/>
      <c r="E289" s="165"/>
      <c r="F289" s="165"/>
      <c r="G289" s="165"/>
    </row>
    <row r="290" spans="1:7">
      <c r="A290" s="86"/>
      <c r="C290" s="165"/>
      <c r="D290" s="165"/>
      <c r="E290" s="165"/>
      <c r="F290" s="165"/>
      <c r="G290" s="165"/>
    </row>
    <row r="291" spans="1:7">
      <c r="A291" s="86"/>
      <c r="C291" s="165"/>
      <c r="D291" s="165"/>
      <c r="E291" s="165"/>
      <c r="F291" s="165"/>
      <c r="G291" s="165"/>
    </row>
    <row r="292" spans="1:7">
      <c r="A292" s="86"/>
      <c r="C292" s="165"/>
      <c r="D292" s="165"/>
      <c r="E292" s="165"/>
      <c r="F292" s="165"/>
      <c r="G292" s="165"/>
    </row>
    <row r="293" spans="1:7">
      <c r="A293" s="86"/>
      <c r="C293" s="165"/>
      <c r="D293" s="165"/>
      <c r="E293" s="165"/>
      <c r="F293" s="165"/>
      <c r="G293" s="165"/>
    </row>
    <row r="294" spans="1:7">
      <c r="A294" s="86"/>
      <c r="C294" s="165"/>
      <c r="D294" s="165"/>
      <c r="E294" s="165"/>
      <c r="F294" s="165"/>
      <c r="G294" s="165"/>
    </row>
    <row r="295" spans="1:7">
      <c r="A295" s="86"/>
      <c r="C295" s="165"/>
      <c r="D295" s="165"/>
      <c r="E295" s="165"/>
      <c r="F295" s="165"/>
      <c r="G295" s="165"/>
    </row>
    <row r="296" spans="1:7">
      <c r="A296" s="86"/>
      <c r="C296" s="165"/>
      <c r="D296" s="165"/>
      <c r="E296" s="165"/>
      <c r="F296" s="165"/>
      <c r="G296" s="165"/>
    </row>
    <row r="297" spans="1:7">
      <c r="A297" s="86"/>
      <c r="C297" s="165"/>
      <c r="D297" s="165"/>
      <c r="E297" s="165"/>
      <c r="F297" s="165"/>
      <c r="G297" s="165"/>
    </row>
    <row r="298" spans="1:7">
      <c r="A298" s="86"/>
      <c r="C298" s="165"/>
      <c r="D298" s="165"/>
      <c r="E298" s="165"/>
      <c r="F298" s="165"/>
      <c r="G298" s="165"/>
    </row>
    <row r="299" spans="1:7">
      <c r="A299" s="86"/>
      <c r="C299" s="165"/>
      <c r="D299" s="165"/>
      <c r="E299" s="165"/>
      <c r="F299" s="165"/>
      <c r="G299" s="165"/>
    </row>
    <row r="300" spans="1:7">
      <c r="A300" s="86"/>
      <c r="C300" s="165"/>
      <c r="D300" s="165"/>
      <c r="E300" s="165"/>
      <c r="F300" s="165"/>
      <c r="G300" s="165"/>
    </row>
    <row r="301" spans="1:7">
      <c r="A301" s="86"/>
      <c r="C301" s="165"/>
      <c r="D301" s="165"/>
      <c r="E301" s="165"/>
      <c r="F301" s="165"/>
      <c r="G301" s="165"/>
    </row>
    <row r="302" spans="1:7">
      <c r="A302" s="86"/>
      <c r="C302" s="165"/>
      <c r="D302" s="165"/>
      <c r="E302" s="165"/>
      <c r="F302" s="165"/>
      <c r="G302" s="165"/>
    </row>
    <row r="303" spans="1:7">
      <c r="A303" s="86"/>
      <c r="C303" s="165"/>
      <c r="D303" s="165"/>
      <c r="E303" s="165"/>
      <c r="F303" s="165"/>
      <c r="G303" s="165"/>
    </row>
    <row r="304" spans="1:7">
      <c r="A304" s="86"/>
      <c r="C304" s="165"/>
      <c r="D304" s="165"/>
      <c r="E304" s="165"/>
      <c r="F304" s="165"/>
      <c r="G304" s="165"/>
    </row>
    <row r="305" spans="1:7">
      <c r="A305" s="86"/>
      <c r="C305" s="165"/>
      <c r="D305" s="165"/>
      <c r="E305" s="165"/>
      <c r="F305" s="165"/>
      <c r="G305" s="165"/>
    </row>
    <row r="306" spans="1:7">
      <c r="A306" s="86"/>
      <c r="C306" s="165"/>
      <c r="D306" s="165"/>
      <c r="E306" s="165"/>
      <c r="F306" s="165"/>
      <c r="G306" s="165"/>
    </row>
    <row r="307" spans="1:7">
      <c r="A307" s="86"/>
      <c r="C307" s="165"/>
      <c r="D307" s="165"/>
      <c r="E307" s="165"/>
      <c r="F307" s="165"/>
      <c r="G307" s="165"/>
    </row>
    <row r="308" spans="1:7">
      <c r="A308" s="86"/>
      <c r="C308" s="165"/>
      <c r="D308" s="165"/>
      <c r="E308" s="165"/>
      <c r="F308" s="165"/>
      <c r="G308" s="165"/>
    </row>
    <row r="309" spans="1:7">
      <c r="A309" s="86"/>
      <c r="C309" s="165"/>
      <c r="D309" s="165"/>
      <c r="E309" s="165"/>
      <c r="F309" s="165"/>
      <c r="G309" s="165"/>
    </row>
    <row r="310" spans="1:7">
      <c r="A310" s="86"/>
      <c r="C310" s="165"/>
      <c r="D310" s="165"/>
      <c r="E310" s="165"/>
      <c r="F310" s="165"/>
      <c r="G310" s="165"/>
    </row>
    <row r="311" spans="1:7">
      <c r="A311" s="86"/>
      <c r="C311" s="165"/>
      <c r="D311" s="165"/>
      <c r="E311" s="165"/>
      <c r="F311" s="165"/>
      <c r="G311" s="165"/>
    </row>
    <row r="312" spans="1:7">
      <c r="A312" s="86"/>
      <c r="C312" s="165"/>
      <c r="D312" s="165"/>
      <c r="E312" s="165"/>
      <c r="F312" s="165"/>
      <c r="G312" s="165"/>
    </row>
    <row r="313" spans="1:7">
      <c r="A313" s="86"/>
      <c r="C313" s="165"/>
      <c r="D313" s="165"/>
      <c r="E313" s="165"/>
      <c r="F313" s="165"/>
      <c r="G313" s="165"/>
    </row>
    <row r="314" spans="1:7">
      <c r="A314" s="86"/>
      <c r="C314" s="165"/>
      <c r="D314" s="165"/>
      <c r="E314" s="165"/>
      <c r="F314" s="165"/>
      <c r="G314" s="165"/>
    </row>
    <row r="315" spans="1:7">
      <c r="A315" s="86"/>
      <c r="C315" s="165"/>
      <c r="D315" s="165"/>
      <c r="E315" s="165"/>
      <c r="F315" s="165"/>
      <c r="G315" s="165"/>
    </row>
    <row r="316" spans="1:7">
      <c r="A316" s="86"/>
      <c r="C316" s="165"/>
      <c r="D316" s="165"/>
      <c r="E316" s="165"/>
      <c r="F316" s="165"/>
      <c r="G316" s="165"/>
    </row>
    <row r="317" spans="1:7">
      <c r="A317" s="86"/>
      <c r="C317" s="165"/>
      <c r="D317" s="165"/>
      <c r="E317" s="165"/>
      <c r="F317" s="165"/>
      <c r="G317" s="165"/>
    </row>
    <row r="318" spans="1:7">
      <c r="A318" s="86"/>
      <c r="C318" s="165"/>
      <c r="D318" s="165"/>
      <c r="E318" s="165"/>
      <c r="F318" s="165"/>
      <c r="G318" s="165"/>
    </row>
    <row r="319" spans="1:7">
      <c r="A319" s="86"/>
      <c r="C319" s="165"/>
      <c r="D319" s="165"/>
      <c r="E319" s="165"/>
      <c r="F319" s="165"/>
      <c r="G319" s="165"/>
    </row>
    <row r="320" spans="1:7">
      <c r="A320" s="86"/>
      <c r="C320" s="165"/>
      <c r="D320" s="165"/>
      <c r="E320" s="165"/>
      <c r="F320" s="165"/>
      <c r="G320" s="165"/>
    </row>
    <row r="321" spans="1:7">
      <c r="A321" s="86"/>
      <c r="C321" s="165"/>
      <c r="D321" s="165"/>
      <c r="E321" s="165"/>
      <c r="F321" s="165"/>
      <c r="G321" s="165"/>
    </row>
    <row r="322" spans="1:7">
      <c r="A322" s="86"/>
      <c r="C322" s="165"/>
      <c r="D322" s="165"/>
      <c r="E322" s="165"/>
      <c r="F322" s="165"/>
      <c r="G322" s="165"/>
    </row>
    <row r="323" spans="1:7">
      <c r="A323" s="86"/>
      <c r="C323" s="165"/>
      <c r="D323" s="165"/>
      <c r="E323" s="165"/>
      <c r="F323" s="165"/>
      <c r="G323" s="165"/>
    </row>
    <row r="324" spans="1:7">
      <c r="A324" s="86"/>
      <c r="C324" s="165"/>
      <c r="D324" s="165"/>
      <c r="E324" s="165"/>
      <c r="F324" s="165"/>
      <c r="G324" s="165"/>
    </row>
    <row r="325" spans="1:7">
      <c r="A325" s="86"/>
      <c r="C325" s="165"/>
      <c r="D325" s="165"/>
      <c r="E325" s="165"/>
      <c r="F325" s="165"/>
      <c r="G325" s="165"/>
    </row>
    <row r="326" spans="1:7">
      <c r="A326" s="86"/>
      <c r="C326" s="165"/>
      <c r="D326" s="165"/>
      <c r="E326" s="165"/>
      <c r="F326" s="165"/>
      <c r="G326" s="165"/>
    </row>
    <row r="327" spans="1:7">
      <c r="A327" s="87"/>
      <c r="C327" s="165"/>
      <c r="D327" s="165"/>
      <c r="E327" s="165"/>
      <c r="F327" s="165"/>
      <c r="G327" s="165"/>
    </row>
    <row r="328" spans="1:7">
      <c r="A328" s="86"/>
      <c r="C328" s="165"/>
      <c r="D328" s="165"/>
      <c r="E328" s="165"/>
      <c r="F328" s="165"/>
      <c r="G328" s="165"/>
    </row>
    <row r="329" spans="1:7">
      <c r="A329" s="86"/>
      <c r="C329" s="165"/>
      <c r="D329" s="165"/>
      <c r="E329" s="165"/>
      <c r="F329" s="165"/>
      <c r="G329" s="165"/>
    </row>
    <row r="330" spans="1:7">
      <c r="A330" s="86"/>
      <c r="C330" s="165"/>
      <c r="D330" s="165"/>
      <c r="E330" s="165"/>
      <c r="F330" s="165"/>
      <c r="G330" s="165"/>
    </row>
    <row r="331" spans="1:7">
      <c r="A331" s="86"/>
      <c r="C331" s="165"/>
      <c r="D331" s="165"/>
      <c r="E331" s="165"/>
      <c r="F331" s="165"/>
      <c r="G331" s="165"/>
    </row>
    <row r="332" spans="1:7">
      <c r="A332" s="86"/>
      <c r="C332" s="165"/>
      <c r="D332" s="165"/>
      <c r="E332" s="165"/>
      <c r="F332" s="165"/>
      <c r="G332" s="165"/>
    </row>
    <row r="333" spans="1:7">
      <c r="A333" s="86"/>
      <c r="C333" s="165"/>
      <c r="D333" s="165"/>
      <c r="E333" s="165"/>
      <c r="F333" s="165"/>
      <c r="G333" s="165"/>
    </row>
    <row r="334" spans="1:7">
      <c r="A334" s="86"/>
      <c r="C334" s="165"/>
      <c r="D334" s="165"/>
      <c r="E334" s="165"/>
      <c r="F334" s="165"/>
      <c r="G334" s="165"/>
    </row>
    <row r="335" spans="1:7">
      <c r="A335" s="86"/>
      <c r="C335" s="165"/>
      <c r="D335" s="165"/>
      <c r="E335" s="165"/>
      <c r="F335" s="165"/>
      <c r="G335" s="165"/>
    </row>
    <row r="336" spans="1:7">
      <c r="A336" s="86"/>
      <c r="C336" s="165"/>
      <c r="D336" s="165"/>
      <c r="E336" s="165"/>
      <c r="F336" s="165"/>
      <c r="G336" s="165"/>
    </row>
    <row r="337" spans="1:7">
      <c r="A337" s="86"/>
      <c r="C337" s="165"/>
      <c r="D337" s="165"/>
      <c r="E337" s="165"/>
      <c r="F337" s="165"/>
      <c r="G337" s="165"/>
    </row>
    <row r="338" spans="1:7">
      <c r="A338" s="86"/>
      <c r="C338" s="165"/>
      <c r="D338" s="165"/>
      <c r="E338" s="165"/>
      <c r="F338" s="165"/>
      <c r="G338" s="165"/>
    </row>
    <row r="339" spans="1:7">
      <c r="A339" s="86"/>
      <c r="C339" s="165"/>
      <c r="D339" s="165"/>
      <c r="E339" s="165"/>
      <c r="F339" s="165"/>
      <c r="G339" s="165"/>
    </row>
    <row r="340" spans="1:7">
      <c r="A340" s="86"/>
      <c r="C340" s="165"/>
      <c r="D340" s="165"/>
      <c r="E340" s="165"/>
      <c r="F340" s="165"/>
      <c r="G340" s="165"/>
    </row>
    <row r="341" spans="1:7">
      <c r="A341" s="86"/>
      <c r="C341" s="165"/>
      <c r="D341" s="165"/>
      <c r="E341" s="165"/>
      <c r="F341" s="165"/>
      <c r="G341" s="165"/>
    </row>
    <row r="342" spans="1:7">
      <c r="A342" s="86"/>
      <c r="C342" s="165"/>
      <c r="D342" s="165"/>
      <c r="E342" s="165"/>
      <c r="F342" s="165"/>
      <c r="G342" s="165"/>
    </row>
    <row r="343" spans="1:7">
      <c r="A343" s="86"/>
      <c r="C343" s="165"/>
      <c r="D343" s="165"/>
      <c r="E343" s="165"/>
      <c r="F343" s="165"/>
      <c r="G343" s="165"/>
    </row>
    <row r="344" spans="1:7">
      <c r="A344" s="86"/>
      <c r="C344" s="165"/>
      <c r="D344" s="165"/>
      <c r="E344" s="165"/>
      <c r="F344" s="165"/>
      <c r="G344" s="165"/>
    </row>
    <row r="345" spans="1:7">
      <c r="A345" s="86"/>
      <c r="C345" s="165"/>
      <c r="D345" s="165"/>
      <c r="E345" s="165"/>
      <c r="F345" s="165"/>
      <c r="G345" s="165"/>
    </row>
    <row r="346" spans="1:7">
      <c r="A346" s="86"/>
      <c r="C346" s="165"/>
      <c r="D346" s="165"/>
      <c r="E346" s="165"/>
      <c r="F346" s="165"/>
      <c r="G346" s="165"/>
    </row>
    <row r="347" spans="1:7">
      <c r="A347" s="87"/>
      <c r="C347" s="165"/>
      <c r="D347" s="165"/>
      <c r="E347" s="165"/>
      <c r="F347" s="165"/>
      <c r="G347" s="165"/>
    </row>
    <row r="348" spans="1:7">
      <c r="A348" s="86"/>
      <c r="C348" s="165"/>
      <c r="D348" s="165"/>
      <c r="E348" s="165"/>
      <c r="F348" s="165"/>
      <c r="G348" s="165"/>
    </row>
    <row r="349" spans="1:7">
      <c r="A349" s="86"/>
      <c r="C349" s="165"/>
      <c r="D349" s="165"/>
      <c r="E349" s="165"/>
      <c r="F349" s="165"/>
      <c r="G349" s="165"/>
    </row>
    <row r="350" spans="1:7">
      <c r="A350" s="86"/>
      <c r="C350" s="165"/>
      <c r="D350" s="165"/>
      <c r="E350" s="165"/>
      <c r="F350" s="165"/>
      <c r="G350" s="165"/>
    </row>
    <row r="351" spans="1:7">
      <c r="A351" s="86"/>
      <c r="C351" s="165"/>
      <c r="D351" s="165"/>
      <c r="E351" s="165"/>
      <c r="F351" s="165"/>
      <c r="G351" s="165"/>
    </row>
    <row r="352" spans="1:7">
      <c r="A352" s="86"/>
      <c r="C352" s="165"/>
      <c r="D352" s="165"/>
      <c r="E352" s="165"/>
      <c r="F352" s="165"/>
      <c r="G352" s="165"/>
    </row>
    <row r="353" spans="1:7">
      <c r="A353" s="86"/>
      <c r="C353" s="165"/>
      <c r="D353" s="165"/>
      <c r="E353" s="165"/>
      <c r="F353" s="165"/>
      <c r="G353" s="165"/>
    </row>
    <row r="354" spans="1:7">
      <c r="A354" s="86"/>
      <c r="C354" s="165"/>
      <c r="D354" s="165"/>
      <c r="E354" s="165"/>
      <c r="F354" s="165"/>
      <c r="G354" s="165"/>
    </row>
    <row r="355" spans="1:7">
      <c r="A355" s="86"/>
      <c r="C355" s="165"/>
      <c r="D355" s="165"/>
      <c r="E355" s="165"/>
      <c r="F355" s="165"/>
      <c r="G355" s="165"/>
    </row>
    <row r="356" spans="1:7">
      <c r="A356" s="86"/>
      <c r="C356" s="165"/>
      <c r="D356" s="165"/>
      <c r="E356" s="165"/>
      <c r="F356" s="165"/>
      <c r="G356" s="165"/>
    </row>
    <row r="357" spans="1:7">
      <c r="A357" s="86"/>
      <c r="C357" s="165"/>
      <c r="D357" s="165"/>
      <c r="E357" s="165"/>
      <c r="F357" s="165"/>
      <c r="G357" s="165"/>
    </row>
    <row r="358" spans="1:7">
      <c r="A358" s="86"/>
      <c r="C358" s="165"/>
      <c r="D358" s="165"/>
      <c r="E358" s="165"/>
      <c r="F358" s="165"/>
      <c r="G358" s="165"/>
    </row>
    <row r="359" spans="1:7">
      <c r="A359" s="86"/>
      <c r="C359" s="165"/>
      <c r="D359" s="165"/>
      <c r="E359" s="165"/>
      <c r="F359" s="165"/>
      <c r="G359" s="165"/>
    </row>
    <row r="360" spans="1:7">
      <c r="A360" s="86"/>
      <c r="C360" s="165"/>
      <c r="D360" s="165"/>
      <c r="E360" s="165"/>
      <c r="F360" s="165"/>
      <c r="G360" s="165"/>
    </row>
    <row r="361" spans="1:7">
      <c r="A361" s="86"/>
      <c r="C361" s="165"/>
      <c r="D361" s="165"/>
      <c r="E361" s="165"/>
      <c r="F361" s="165"/>
      <c r="G361" s="165"/>
    </row>
    <row r="362" spans="1:7">
      <c r="A362" s="86"/>
      <c r="C362" s="165"/>
      <c r="D362" s="165"/>
      <c r="E362" s="165"/>
      <c r="F362" s="165"/>
      <c r="G362" s="165"/>
    </row>
    <row r="363" spans="1:7">
      <c r="A363" s="86"/>
      <c r="C363" s="165"/>
      <c r="D363" s="165"/>
      <c r="E363" s="165"/>
      <c r="F363" s="165"/>
      <c r="G363" s="165"/>
    </row>
    <row r="364" spans="1:7">
      <c r="A364" s="86"/>
      <c r="C364" s="165"/>
      <c r="D364" s="165"/>
      <c r="E364" s="165"/>
      <c r="F364" s="165"/>
      <c r="G364" s="165"/>
    </row>
    <row r="365" spans="1:7">
      <c r="A365" s="86"/>
      <c r="C365" s="165"/>
      <c r="D365" s="165"/>
      <c r="E365" s="165"/>
      <c r="F365" s="165"/>
      <c r="G365" s="165"/>
    </row>
    <row r="366" spans="1:7">
      <c r="A366" s="86"/>
      <c r="C366" s="165"/>
      <c r="D366" s="165"/>
      <c r="E366" s="165"/>
      <c r="F366" s="165"/>
      <c r="G366" s="165"/>
    </row>
    <row r="367" spans="1:7">
      <c r="A367" s="87"/>
      <c r="C367" s="165"/>
      <c r="D367" s="165"/>
      <c r="E367" s="165"/>
      <c r="F367" s="165"/>
      <c r="G367" s="165"/>
    </row>
    <row r="368" spans="1:7">
      <c r="A368" s="86"/>
      <c r="C368" s="165"/>
      <c r="D368" s="165"/>
      <c r="E368" s="165"/>
      <c r="F368" s="165"/>
      <c r="G368" s="165"/>
    </row>
    <row r="369" spans="1:7">
      <c r="A369" s="86"/>
      <c r="C369" s="165"/>
      <c r="D369" s="165"/>
      <c r="E369" s="165"/>
      <c r="F369" s="165"/>
      <c r="G369" s="165"/>
    </row>
    <row r="370" spans="1:7">
      <c r="A370" s="86"/>
      <c r="C370" s="165"/>
      <c r="D370" s="165"/>
      <c r="E370" s="165"/>
      <c r="F370" s="165"/>
      <c r="G370" s="165"/>
    </row>
    <row r="371" spans="1:7">
      <c r="A371" s="86"/>
      <c r="C371" s="165"/>
      <c r="D371" s="165"/>
      <c r="E371" s="165"/>
      <c r="F371" s="165"/>
      <c r="G371" s="165"/>
    </row>
    <row r="372" spans="1:7">
      <c r="A372" s="86"/>
      <c r="C372" s="165"/>
      <c r="D372" s="165"/>
      <c r="E372" s="165"/>
      <c r="F372" s="165"/>
      <c r="G372" s="165"/>
    </row>
    <row r="373" spans="1:7">
      <c r="A373" s="86"/>
      <c r="C373" s="165"/>
      <c r="D373" s="165"/>
      <c r="E373" s="165"/>
      <c r="F373" s="165"/>
      <c r="G373" s="165"/>
    </row>
    <row r="374" spans="1:7">
      <c r="A374" s="86"/>
      <c r="C374" s="165"/>
      <c r="D374" s="165"/>
      <c r="E374" s="165"/>
      <c r="F374" s="165"/>
      <c r="G374" s="165"/>
    </row>
    <row r="375" spans="1:7">
      <c r="A375" s="86"/>
      <c r="C375" s="165"/>
      <c r="D375" s="165"/>
      <c r="E375" s="165"/>
      <c r="F375" s="165"/>
      <c r="G375" s="165"/>
    </row>
    <row r="376" spans="1:7">
      <c r="A376" s="86"/>
      <c r="C376" s="165"/>
      <c r="D376" s="165"/>
      <c r="E376" s="165"/>
      <c r="F376" s="165"/>
      <c r="G376" s="165"/>
    </row>
    <row r="377" spans="1:7">
      <c r="A377" s="86"/>
      <c r="C377" s="165"/>
      <c r="D377" s="165"/>
      <c r="E377" s="165"/>
      <c r="F377" s="165"/>
      <c r="G377" s="165"/>
    </row>
    <row r="378" spans="1:7">
      <c r="A378" s="86"/>
      <c r="C378" s="165"/>
      <c r="D378" s="165"/>
      <c r="E378" s="165"/>
      <c r="F378" s="165"/>
      <c r="G378" s="165"/>
    </row>
    <row r="379" spans="1:7">
      <c r="A379" s="86"/>
      <c r="C379" s="165"/>
      <c r="D379" s="165"/>
      <c r="E379" s="165"/>
      <c r="F379" s="165"/>
      <c r="G379" s="165"/>
    </row>
    <row r="380" spans="1:7">
      <c r="A380" s="86"/>
      <c r="C380" s="165"/>
      <c r="D380" s="165"/>
      <c r="E380" s="165"/>
      <c r="F380" s="165"/>
      <c r="G380" s="165"/>
    </row>
    <row r="381" spans="1:7">
      <c r="A381" s="86"/>
      <c r="C381" s="165"/>
      <c r="D381" s="165"/>
      <c r="E381" s="165"/>
      <c r="F381" s="165"/>
      <c r="G381" s="165"/>
    </row>
    <row r="382" spans="1:7">
      <c r="A382" s="86"/>
      <c r="C382" s="165"/>
      <c r="D382" s="165"/>
      <c r="E382" s="165"/>
      <c r="F382" s="165"/>
      <c r="G382" s="165"/>
    </row>
    <row r="383" spans="1:7">
      <c r="A383" s="86"/>
      <c r="C383" s="165"/>
      <c r="D383" s="165"/>
      <c r="E383" s="165"/>
      <c r="F383" s="165"/>
      <c r="G383" s="165"/>
    </row>
    <row r="384" spans="1:7">
      <c r="A384" s="86"/>
      <c r="C384" s="165"/>
      <c r="D384" s="165"/>
      <c r="E384" s="165"/>
      <c r="F384" s="165"/>
      <c r="G384" s="165"/>
    </row>
    <row r="385" spans="1:7">
      <c r="A385" s="86"/>
      <c r="C385" s="165"/>
      <c r="D385" s="165"/>
      <c r="E385" s="165"/>
      <c r="F385" s="165"/>
      <c r="G385" s="165"/>
    </row>
    <row r="386" spans="1:7">
      <c r="A386" s="86"/>
      <c r="C386" s="165"/>
      <c r="D386" s="165"/>
      <c r="E386" s="165"/>
      <c r="F386" s="165"/>
      <c r="G386" s="165"/>
    </row>
    <row r="387" spans="1:7">
      <c r="A387" s="87"/>
      <c r="C387" s="165"/>
      <c r="D387" s="165"/>
      <c r="E387" s="165"/>
      <c r="F387" s="165"/>
      <c r="G387" s="165"/>
    </row>
    <row r="388" spans="1:7">
      <c r="A388" s="86"/>
      <c r="C388" s="165"/>
      <c r="D388" s="165"/>
      <c r="E388" s="165"/>
      <c r="F388" s="165"/>
      <c r="G388" s="165"/>
    </row>
    <row r="389" spans="1:7">
      <c r="A389" s="86"/>
      <c r="C389" s="165"/>
      <c r="D389" s="165"/>
      <c r="E389" s="165"/>
      <c r="F389" s="165"/>
      <c r="G389" s="165"/>
    </row>
    <row r="390" spans="1:7">
      <c r="A390" s="86"/>
      <c r="C390" s="165"/>
      <c r="D390" s="165"/>
      <c r="E390" s="165"/>
      <c r="F390" s="165"/>
      <c r="G390" s="165"/>
    </row>
    <row r="391" spans="1:7">
      <c r="A391" s="86"/>
      <c r="C391" s="165"/>
      <c r="D391" s="165"/>
      <c r="E391" s="165"/>
      <c r="F391" s="165"/>
      <c r="G391" s="165"/>
    </row>
    <row r="392" spans="1:7">
      <c r="A392" s="86"/>
      <c r="C392" s="165"/>
      <c r="D392" s="165"/>
      <c r="E392" s="165"/>
      <c r="F392" s="165"/>
      <c r="G392" s="165"/>
    </row>
    <row r="393" spans="1:7">
      <c r="A393" s="86"/>
      <c r="C393" s="165"/>
      <c r="D393" s="165"/>
      <c r="E393" s="165"/>
      <c r="F393" s="165"/>
      <c r="G393" s="165"/>
    </row>
    <row r="394" spans="1:7">
      <c r="A394" s="86"/>
      <c r="C394" s="165"/>
      <c r="D394" s="165"/>
      <c r="E394" s="165"/>
      <c r="F394" s="165"/>
      <c r="G394" s="165"/>
    </row>
    <row r="395" spans="1:7">
      <c r="A395" s="86"/>
      <c r="C395" s="165"/>
      <c r="D395" s="165"/>
      <c r="E395" s="165"/>
      <c r="F395" s="165"/>
      <c r="G395" s="165"/>
    </row>
    <row r="396" spans="1:7">
      <c r="A396" s="86"/>
      <c r="C396" s="165"/>
      <c r="D396" s="165"/>
      <c r="E396" s="165"/>
      <c r="F396" s="165"/>
      <c r="G396" s="165"/>
    </row>
    <row r="397" spans="1:7">
      <c r="A397" s="86"/>
      <c r="C397" s="165"/>
      <c r="D397" s="165"/>
      <c r="E397" s="165"/>
      <c r="F397" s="165"/>
      <c r="G397" s="165"/>
    </row>
    <row r="398" spans="1:7">
      <c r="A398" s="86"/>
      <c r="C398" s="165"/>
      <c r="D398" s="165"/>
      <c r="E398" s="165"/>
      <c r="F398" s="165"/>
      <c r="G398" s="165"/>
    </row>
    <row r="399" spans="1:7">
      <c r="A399" s="86"/>
      <c r="C399" s="165"/>
      <c r="D399" s="165"/>
      <c r="E399" s="165"/>
      <c r="F399" s="165"/>
      <c r="G399" s="165"/>
    </row>
    <row r="400" spans="1:7">
      <c r="A400" s="86"/>
      <c r="C400" s="165"/>
      <c r="D400" s="165"/>
      <c r="E400" s="165"/>
      <c r="F400" s="165"/>
      <c r="G400" s="165"/>
    </row>
    <row r="401" spans="1:7">
      <c r="A401" s="86"/>
      <c r="C401" s="165"/>
      <c r="D401" s="165"/>
      <c r="E401" s="165"/>
      <c r="F401" s="165"/>
      <c r="G401" s="165"/>
    </row>
    <row r="402" spans="1:7">
      <c r="A402" s="86"/>
      <c r="C402" s="165"/>
      <c r="D402" s="165"/>
      <c r="E402" s="165"/>
      <c r="F402" s="165"/>
      <c r="G402" s="165"/>
    </row>
    <row r="403" spans="1:7">
      <c r="A403" s="86"/>
      <c r="C403" s="165"/>
      <c r="D403" s="165"/>
      <c r="E403" s="165"/>
      <c r="F403" s="165"/>
      <c r="G403" s="165"/>
    </row>
    <row r="404" spans="1:7">
      <c r="A404" s="86"/>
      <c r="C404" s="165"/>
      <c r="D404" s="165"/>
      <c r="E404" s="165"/>
      <c r="F404" s="165"/>
      <c r="G404" s="165"/>
    </row>
    <row r="405" spans="1:7">
      <c r="A405" s="86"/>
      <c r="C405" s="165"/>
      <c r="D405" s="165"/>
      <c r="E405" s="165"/>
      <c r="F405" s="165"/>
      <c r="G405" s="165"/>
    </row>
    <row r="406" spans="1:7">
      <c r="A406" s="86"/>
      <c r="C406" s="165"/>
      <c r="D406" s="165"/>
      <c r="E406" s="165"/>
      <c r="F406" s="165"/>
      <c r="G406" s="165"/>
    </row>
    <row r="407" spans="1:7">
      <c r="A407" s="86"/>
      <c r="C407" s="165"/>
      <c r="D407" s="165"/>
      <c r="E407" s="165"/>
      <c r="F407" s="165"/>
      <c r="G407" s="165"/>
    </row>
    <row r="408" spans="1:7">
      <c r="A408" s="86"/>
      <c r="C408" s="165"/>
      <c r="D408" s="165"/>
      <c r="E408" s="165"/>
      <c r="F408" s="165"/>
      <c r="G408" s="165"/>
    </row>
    <row r="409" spans="1:7">
      <c r="A409" s="86"/>
      <c r="C409" s="165"/>
      <c r="D409" s="165"/>
      <c r="E409" s="165"/>
      <c r="F409" s="165"/>
      <c r="G409" s="165"/>
    </row>
    <row r="410" spans="1:7">
      <c r="A410" s="86"/>
      <c r="C410" s="165"/>
      <c r="D410" s="165"/>
      <c r="E410" s="165"/>
      <c r="F410" s="165"/>
      <c r="G410" s="165"/>
    </row>
    <row r="411" spans="1:7">
      <c r="A411" s="86"/>
      <c r="C411" s="165"/>
      <c r="D411" s="165"/>
      <c r="E411" s="165"/>
      <c r="F411" s="165"/>
      <c r="G411" s="165"/>
    </row>
    <row r="412" spans="1:7">
      <c r="A412" s="86"/>
      <c r="C412" s="165"/>
      <c r="D412" s="165"/>
      <c r="E412" s="165"/>
      <c r="F412" s="165"/>
      <c r="G412" s="165"/>
    </row>
    <row r="413" spans="1:7">
      <c r="A413" s="86"/>
      <c r="C413" s="165"/>
      <c r="D413" s="165"/>
      <c r="E413" s="165"/>
      <c r="F413" s="165"/>
      <c r="G413" s="165"/>
    </row>
    <row r="414" spans="1:7">
      <c r="A414" s="86"/>
      <c r="C414" s="165"/>
      <c r="D414" s="165"/>
      <c r="E414" s="165"/>
      <c r="F414" s="165"/>
      <c r="G414" s="165"/>
    </row>
    <row r="415" spans="1:7">
      <c r="A415" s="86"/>
      <c r="C415" s="165"/>
      <c r="D415" s="165"/>
      <c r="E415" s="165"/>
      <c r="F415" s="165"/>
      <c r="G415" s="165"/>
    </row>
    <row r="416" spans="1:7">
      <c r="A416" s="86"/>
      <c r="C416" s="165"/>
      <c r="D416" s="165"/>
      <c r="E416" s="165"/>
      <c r="F416" s="165"/>
      <c r="G416" s="165"/>
    </row>
    <row r="417" spans="1:7">
      <c r="A417" s="86"/>
      <c r="C417" s="165"/>
      <c r="D417" s="165"/>
      <c r="E417" s="165"/>
      <c r="F417" s="165"/>
      <c r="G417" s="165"/>
    </row>
    <row r="418" spans="1:7">
      <c r="A418" s="86"/>
      <c r="C418" s="165"/>
      <c r="D418" s="165"/>
      <c r="E418" s="165"/>
      <c r="F418" s="165"/>
      <c r="G418" s="165"/>
    </row>
    <row r="419" spans="1:7">
      <c r="A419" s="86"/>
      <c r="C419" s="165"/>
      <c r="D419" s="165"/>
      <c r="E419" s="165"/>
      <c r="F419" s="165"/>
      <c r="G419" s="165"/>
    </row>
    <row r="420" spans="1:7">
      <c r="A420" s="86"/>
      <c r="C420" s="165"/>
      <c r="D420" s="165"/>
      <c r="E420" s="165"/>
      <c r="F420" s="165"/>
      <c r="G420" s="165"/>
    </row>
    <row r="421" spans="1:7">
      <c r="A421" s="86"/>
      <c r="C421" s="165"/>
      <c r="D421" s="165"/>
      <c r="E421" s="165"/>
      <c r="F421" s="165"/>
      <c r="G421" s="165"/>
    </row>
    <row r="422" spans="1:7">
      <c r="A422" s="86"/>
      <c r="C422" s="165"/>
      <c r="D422" s="165"/>
      <c r="E422" s="165"/>
      <c r="F422" s="165"/>
      <c r="G422" s="165"/>
    </row>
    <row r="423" spans="1:7">
      <c r="A423" s="86"/>
      <c r="C423" s="165"/>
      <c r="D423" s="165"/>
      <c r="E423" s="165"/>
      <c r="F423" s="165"/>
      <c r="G423" s="165"/>
    </row>
    <row r="424" spans="1:7">
      <c r="A424" s="86"/>
      <c r="C424" s="165"/>
      <c r="D424" s="165"/>
      <c r="E424" s="165"/>
      <c r="F424" s="165"/>
      <c r="G424" s="165"/>
    </row>
    <row r="425" spans="1:7">
      <c r="A425" s="86"/>
      <c r="C425" s="165"/>
      <c r="D425" s="165"/>
      <c r="E425" s="165"/>
      <c r="F425" s="165"/>
      <c r="G425" s="165"/>
    </row>
    <row r="426" spans="1:7">
      <c r="A426" s="86"/>
      <c r="C426" s="165"/>
      <c r="D426" s="165"/>
      <c r="E426" s="165"/>
      <c r="F426" s="165"/>
      <c r="G426" s="165"/>
    </row>
    <row r="427" spans="1:7">
      <c r="A427" s="87"/>
      <c r="C427" s="165"/>
      <c r="D427" s="165"/>
      <c r="E427" s="165"/>
      <c r="F427" s="165"/>
      <c r="G427" s="165"/>
    </row>
    <row r="428" spans="1:7">
      <c r="A428" s="86"/>
      <c r="C428" s="165"/>
      <c r="D428" s="165"/>
      <c r="E428" s="165"/>
      <c r="F428" s="165"/>
      <c r="G428" s="165"/>
    </row>
    <row r="429" spans="1:7">
      <c r="A429" s="86"/>
      <c r="C429" s="165"/>
      <c r="D429" s="165"/>
      <c r="E429" s="165"/>
      <c r="F429" s="165"/>
      <c r="G429" s="165"/>
    </row>
    <row r="430" spans="1:7">
      <c r="A430" s="86"/>
      <c r="C430" s="165"/>
      <c r="D430" s="165"/>
      <c r="E430" s="165"/>
      <c r="F430" s="165"/>
      <c r="G430" s="165"/>
    </row>
    <row r="431" spans="1:7">
      <c r="A431" s="86"/>
      <c r="C431" s="165"/>
      <c r="D431" s="165"/>
      <c r="E431" s="165"/>
      <c r="F431" s="165"/>
      <c r="G431" s="165"/>
    </row>
    <row r="432" spans="1:7">
      <c r="A432" s="86"/>
      <c r="C432" s="165"/>
      <c r="D432" s="165"/>
      <c r="E432" s="165"/>
      <c r="F432" s="165"/>
      <c r="G432" s="165"/>
    </row>
    <row r="433" spans="1:7">
      <c r="A433" s="86"/>
      <c r="C433" s="165"/>
      <c r="D433" s="165"/>
      <c r="E433" s="165"/>
      <c r="F433" s="165"/>
      <c r="G433" s="165"/>
    </row>
    <row r="434" spans="1:7">
      <c r="A434" s="86"/>
      <c r="C434" s="165"/>
      <c r="D434" s="165"/>
      <c r="E434" s="165"/>
      <c r="F434" s="165"/>
      <c r="G434" s="165"/>
    </row>
    <row r="435" spans="1:7">
      <c r="A435" s="86"/>
      <c r="C435" s="165"/>
      <c r="D435" s="165"/>
      <c r="E435" s="165"/>
      <c r="F435" s="165"/>
      <c r="G435" s="165"/>
    </row>
    <row r="436" spans="1:7">
      <c r="A436" s="86"/>
      <c r="C436" s="165"/>
      <c r="D436" s="165"/>
      <c r="E436" s="165"/>
      <c r="F436" s="165"/>
      <c r="G436" s="165"/>
    </row>
    <row r="437" spans="1:7">
      <c r="A437" s="86"/>
      <c r="C437" s="165"/>
      <c r="D437" s="165"/>
      <c r="E437" s="165"/>
      <c r="F437" s="165"/>
      <c r="G437" s="165"/>
    </row>
    <row r="438" spans="1:7">
      <c r="A438" s="86"/>
      <c r="C438" s="165"/>
      <c r="D438" s="165"/>
      <c r="E438" s="165"/>
      <c r="F438" s="165"/>
      <c r="G438" s="165"/>
    </row>
    <row r="439" spans="1:7">
      <c r="A439" s="86"/>
      <c r="C439" s="165"/>
      <c r="D439" s="165"/>
      <c r="E439" s="165"/>
      <c r="F439" s="165"/>
      <c r="G439" s="165"/>
    </row>
    <row r="440" spans="1:7">
      <c r="A440" s="86"/>
      <c r="C440" s="165"/>
      <c r="D440" s="165"/>
      <c r="E440" s="165"/>
      <c r="F440" s="165"/>
      <c r="G440" s="165"/>
    </row>
    <row r="441" spans="1:7">
      <c r="A441" s="86"/>
      <c r="C441" s="165"/>
      <c r="D441" s="165"/>
      <c r="E441" s="165"/>
      <c r="F441" s="165"/>
      <c r="G441" s="165"/>
    </row>
    <row r="442" spans="1:7">
      <c r="A442" s="86"/>
      <c r="C442" s="165"/>
      <c r="D442" s="165"/>
      <c r="E442" s="165"/>
      <c r="F442" s="165"/>
      <c r="G442" s="165"/>
    </row>
    <row r="443" spans="1:7">
      <c r="A443" s="86"/>
      <c r="C443" s="165"/>
      <c r="D443" s="165"/>
      <c r="E443" s="165"/>
      <c r="F443" s="165"/>
      <c r="G443" s="165"/>
    </row>
    <row r="444" spans="1:7">
      <c r="A444" s="86"/>
      <c r="C444" s="165"/>
      <c r="D444" s="165"/>
      <c r="E444" s="165"/>
      <c r="F444" s="165"/>
      <c r="G444" s="165"/>
    </row>
    <row r="445" spans="1:7">
      <c r="A445" s="86"/>
      <c r="C445" s="165"/>
      <c r="D445" s="165"/>
      <c r="E445" s="165"/>
      <c r="F445" s="165"/>
      <c r="G445" s="165"/>
    </row>
    <row r="446" spans="1:7">
      <c r="A446" s="86"/>
      <c r="C446" s="165"/>
      <c r="D446" s="165"/>
      <c r="E446" s="165"/>
      <c r="F446" s="165"/>
      <c r="G446" s="165"/>
    </row>
    <row r="447" spans="1:7">
      <c r="A447" s="87"/>
      <c r="C447" s="165"/>
      <c r="D447" s="165"/>
      <c r="E447" s="165"/>
      <c r="F447" s="165"/>
      <c r="G447" s="165"/>
    </row>
    <row r="448" spans="1:7">
      <c r="A448" s="86"/>
      <c r="C448" s="165"/>
      <c r="D448" s="165"/>
      <c r="E448" s="165"/>
      <c r="F448" s="165"/>
      <c r="G448" s="165"/>
    </row>
    <row r="449" spans="1:7">
      <c r="A449" s="86"/>
      <c r="C449" s="165"/>
      <c r="D449" s="165"/>
      <c r="E449" s="165"/>
      <c r="F449" s="165"/>
      <c r="G449" s="165"/>
    </row>
    <row r="450" spans="1:7">
      <c r="A450" s="86"/>
      <c r="C450" s="165"/>
      <c r="D450" s="165"/>
      <c r="E450" s="165"/>
      <c r="F450" s="165"/>
      <c r="G450" s="165"/>
    </row>
    <row r="451" spans="1:7">
      <c r="A451" s="86"/>
      <c r="C451" s="165"/>
      <c r="D451" s="165"/>
      <c r="E451" s="165"/>
      <c r="F451" s="165"/>
      <c r="G451" s="165"/>
    </row>
    <row r="452" spans="1:7">
      <c r="A452" s="86"/>
      <c r="C452" s="165"/>
      <c r="D452" s="165"/>
      <c r="E452" s="165"/>
      <c r="F452" s="165"/>
      <c r="G452" s="165"/>
    </row>
    <row r="453" spans="1:7">
      <c r="A453" s="86"/>
      <c r="C453" s="165"/>
      <c r="D453" s="165"/>
      <c r="E453" s="165"/>
      <c r="F453" s="165"/>
      <c r="G453" s="165"/>
    </row>
    <row r="454" spans="1:7">
      <c r="A454" s="86"/>
      <c r="C454" s="165"/>
      <c r="D454" s="165"/>
      <c r="E454" s="165"/>
      <c r="F454" s="165"/>
      <c r="G454" s="165"/>
    </row>
    <row r="455" spans="1:7">
      <c r="A455" s="86"/>
      <c r="C455" s="165"/>
      <c r="D455" s="165"/>
      <c r="E455" s="165"/>
      <c r="F455" s="165"/>
      <c r="G455" s="165"/>
    </row>
    <row r="456" spans="1:7">
      <c r="A456" s="86"/>
      <c r="C456" s="165"/>
      <c r="D456" s="165"/>
      <c r="E456" s="165"/>
      <c r="F456" s="165"/>
      <c r="G456" s="165"/>
    </row>
    <row r="457" spans="1:7">
      <c r="A457" s="86"/>
      <c r="C457" s="165"/>
      <c r="D457" s="165"/>
      <c r="E457" s="165"/>
      <c r="F457" s="165"/>
      <c r="G457" s="165"/>
    </row>
    <row r="458" spans="1:7">
      <c r="A458" s="86"/>
      <c r="C458" s="165"/>
      <c r="D458" s="165"/>
      <c r="E458" s="165"/>
      <c r="F458" s="165"/>
      <c r="G458" s="165"/>
    </row>
    <row r="459" spans="1:7">
      <c r="A459" s="86"/>
      <c r="C459" s="165"/>
      <c r="D459" s="165"/>
      <c r="E459" s="165"/>
      <c r="F459" s="165"/>
      <c r="G459" s="165"/>
    </row>
    <row r="460" spans="1:7">
      <c r="A460" s="86"/>
      <c r="C460" s="165"/>
      <c r="D460" s="165"/>
      <c r="E460" s="165"/>
      <c r="F460" s="165"/>
      <c r="G460" s="165"/>
    </row>
    <row r="461" spans="1:7">
      <c r="A461" s="86"/>
      <c r="C461" s="165"/>
      <c r="D461" s="165"/>
      <c r="E461" s="165"/>
      <c r="F461" s="165"/>
      <c r="G461" s="165"/>
    </row>
    <row r="462" spans="1:7">
      <c r="A462" s="86"/>
      <c r="C462" s="165"/>
      <c r="D462" s="165"/>
      <c r="E462" s="165"/>
      <c r="F462" s="165"/>
      <c r="G462" s="165"/>
    </row>
    <row r="463" spans="1:7">
      <c r="A463" s="86"/>
      <c r="C463" s="165"/>
      <c r="D463" s="165"/>
      <c r="E463" s="165"/>
      <c r="F463" s="165"/>
      <c r="G463" s="165"/>
    </row>
    <row r="464" spans="1:7">
      <c r="A464" s="86"/>
      <c r="C464" s="165"/>
      <c r="D464" s="165"/>
      <c r="E464" s="165"/>
      <c r="F464" s="165"/>
      <c r="G464" s="165"/>
    </row>
    <row r="465" spans="1:7">
      <c r="A465" s="86"/>
      <c r="C465" s="165"/>
      <c r="D465" s="165"/>
      <c r="E465" s="165"/>
      <c r="F465" s="165"/>
      <c r="G465" s="165"/>
    </row>
    <row r="466" spans="1:7">
      <c r="A466" s="86"/>
      <c r="C466" s="165"/>
      <c r="D466" s="165"/>
      <c r="E466" s="165"/>
      <c r="F466" s="165"/>
      <c r="G466" s="165"/>
    </row>
    <row r="467" spans="1:7">
      <c r="A467" s="87"/>
      <c r="C467" s="165"/>
      <c r="D467" s="165"/>
      <c r="E467" s="165"/>
      <c r="F467" s="165"/>
      <c r="G467" s="165"/>
    </row>
    <row r="468" spans="1:7">
      <c r="A468" s="86"/>
      <c r="C468" s="165"/>
      <c r="D468" s="165"/>
      <c r="E468" s="165"/>
      <c r="F468" s="165"/>
      <c r="G468" s="165"/>
    </row>
    <row r="469" spans="1:7">
      <c r="A469" s="86"/>
      <c r="C469" s="165"/>
      <c r="D469" s="165"/>
      <c r="E469" s="165"/>
      <c r="F469" s="165"/>
      <c r="G469" s="165"/>
    </row>
    <row r="470" spans="1:7">
      <c r="A470" s="86"/>
      <c r="C470" s="165"/>
      <c r="D470" s="165"/>
      <c r="E470" s="165"/>
      <c r="F470" s="165"/>
      <c r="G470" s="165"/>
    </row>
    <row r="471" spans="1:7">
      <c r="A471" s="86"/>
      <c r="C471" s="165"/>
      <c r="D471" s="165"/>
      <c r="E471" s="165"/>
      <c r="F471" s="165"/>
      <c r="G471" s="165"/>
    </row>
    <row r="472" spans="1:7">
      <c r="A472" s="86"/>
      <c r="C472" s="165"/>
      <c r="D472" s="165"/>
      <c r="E472" s="165"/>
      <c r="F472" s="165"/>
      <c r="G472" s="165"/>
    </row>
    <row r="473" spans="1:7">
      <c r="A473" s="86"/>
      <c r="C473" s="165"/>
      <c r="D473" s="165"/>
      <c r="E473" s="165"/>
      <c r="F473" s="165"/>
      <c r="G473" s="165"/>
    </row>
    <row r="474" spans="1:7">
      <c r="A474" s="86"/>
      <c r="C474" s="165"/>
      <c r="D474" s="165"/>
      <c r="E474" s="165"/>
      <c r="F474" s="165"/>
      <c r="G474" s="165"/>
    </row>
    <row r="475" spans="1:7">
      <c r="A475" s="86"/>
      <c r="C475" s="165"/>
      <c r="D475" s="165"/>
      <c r="E475" s="165"/>
      <c r="F475" s="165"/>
      <c r="G475" s="165"/>
    </row>
    <row r="476" spans="1:7">
      <c r="A476" s="86"/>
      <c r="C476" s="165"/>
      <c r="D476" s="165"/>
      <c r="E476" s="165"/>
      <c r="F476" s="165"/>
      <c r="G476" s="165"/>
    </row>
    <row r="477" spans="1:7">
      <c r="A477" s="86"/>
      <c r="C477" s="165"/>
      <c r="D477" s="165"/>
      <c r="E477" s="165"/>
      <c r="F477" s="165"/>
      <c r="G477" s="165"/>
    </row>
    <row r="478" spans="1:7">
      <c r="A478" s="86"/>
      <c r="C478" s="165"/>
      <c r="D478" s="165"/>
      <c r="E478" s="165"/>
      <c r="F478" s="165"/>
      <c r="G478" s="165"/>
    </row>
    <row r="479" spans="1:7">
      <c r="A479" s="86"/>
      <c r="C479" s="165"/>
      <c r="D479" s="165"/>
      <c r="E479" s="165"/>
      <c r="F479" s="165"/>
      <c r="G479" s="165"/>
    </row>
    <row r="480" spans="1:7">
      <c r="A480" s="86"/>
      <c r="C480" s="165"/>
      <c r="D480" s="165"/>
      <c r="E480" s="165"/>
      <c r="F480" s="165"/>
      <c r="G480" s="165"/>
    </row>
    <row r="481" spans="1:7">
      <c r="A481" s="86"/>
      <c r="C481" s="165"/>
      <c r="D481" s="165"/>
      <c r="E481" s="165"/>
      <c r="F481" s="165"/>
      <c r="G481" s="165"/>
    </row>
    <row r="482" spans="1:7">
      <c r="A482" s="86"/>
      <c r="C482" s="165"/>
      <c r="D482" s="165"/>
      <c r="E482" s="165"/>
      <c r="F482" s="165"/>
      <c r="G482" s="165"/>
    </row>
    <row r="483" spans="1:7">
      <c r="A483" s="86"/>
      <c r="C483" s="165"/>
      <c r="D483" s="165"/>
      <c r="E483" s="165"/>
      <c r="F483" s="165"/>
      <c r="G483" s="165"/>
    </row>
    <row r="484" spans="1:7">
      <c r="A484" s="86"/>
      <c r="C484" s="165"/>
      <c r="D484" s="165"/>
      <c r="E484" s="165"/>
      <c r="F484" s="165"/>
      <c r="G484" s="165"/>
    </row>
    <row r="485" spans="1:7">
      <c r="A485" s="86"/>
      <c r="C485" s="165"/>
      <c r="D485" s="165"/>
      <c r="E485" s="165"/>
      <c r="F485" s="165"/>
      <c r="G485" s="165"/>
    </row>
    <row r="486" spans="1:7">
      <c r="A486" s="86"/>
      <c r="C486" s="165"/>
      <c r="D486" s="165"/>
      <c r="E486" s="165"/>
      <c r="F486" s="165"/>
      <c r="G486" s="165"/>
    </row>
    <row r="487" spans="1:7">
      <c r="A487" s="87"/>
      <c r="C487" s="165"/>
      <c r="D487" s="165"/>
      <c r="E487" s="165"/>
      <c r="F487" s="165"/>
      <c r="G487" s="165"/>
    </row>
    <row r="488" spans="1:7">
      <c r="A488" s="86"/>
      <c r="C488" s="165"/>
      <c r="D488" s="165"/>
      <c r="E488" s="165"/>
      <c r="F488" s="165"/>
      <c r="G488" s="165"/>
    </row>
    <row r="489" spans="1:7">
      <c r="A489" s="86"/>
      <c r="C489" s="165"/>
      <c r="D489" s="165"/>
      <c r="E489" s="165"/>
      <c r="F489" s="165"/>
      <c r="G489" s="165"/>
    </row>
    <row r="490" spans="1:7">
      <c r="A490" s="86"/>
      <c r="C490" s="165"/>
      <c r="D490" s="165"/>
      <c r="E490" s="165"/>
      <c r="F490" s="165"/>
      <c r="G490" s="165"/>
    </row>
    <row r="491" spans="1:7">
      <c r="A491" s="86"/>
      <c r="C491" s="165"/>
      <c r="D491" s="165"/>
      <c r="E491" s="165"/>
      <c r="F491" s="165"/>
      <c r="G491" s="165"/>
    </row>
    <row r="492" spans="1:7">
      <c r="A492" s="86"/>
      <c r="C492" s="165"/>
      <c r="D492" s="165"/>
      <c r="E492" s="165"/>
      <c r="F492" s="165"/>
      <c r="G492" s="165"/>
    </row>
    <row r="493" spans="1:7">
      <c r="A493" s="86"/>
      <c r="C493" s="165"/>
      <c r="D493" s="165"/>
      <c r="E493" s="165"/>
      <c r="F493" s="165"/>
      <c r="G493" s="165"/>
    </row>
    <row r="494" spans="1:7">
      <c r="A494" s="86"/>
      <c r="C494" s="165"/>
      <c r="D494" s="165"/>
      <c r="E494" s="165"/>
      <c r="F494" s="165"/>
      <c r="G494" s="165"/>
    </row>
    <row r="495" spans="1:7">
      <c r="A495" s="86"/>
      <c r="C495" s="165"/>
      <c r="D495" s="165"/>
      <c r="E495" s="165"/>
      <c r="F495" s="165"/>
      <c r="G495" s="165"/>
    </row>
    <row r="496" spans="1:7">
      <c r="A496" s="86"/>
      <c r="C496" s="165"/>
      <c r="D496" s="165"/>
      <c r="E496" s="165"/>
      <c r="F496" s="165"/>
      <c r="G496" s="165"/>
    </row>
    <row r="497" spans="1:7">
      <c r="A497" s="86"/>
      <c r="C497" s="165"/>
      <c r="D497" s="165"/>
      <c r="E497" s="165"/>
      <c r="F497" s="165"/>
      <c r="G497" s="165"/>
    </row>
    <row r="498" spans="1:7">
      <c r="A498" s="86"/>
      <c r="C498" s="165"/>
      <c r="D498" s="165"/>
      <c r="E498" s="165"/>
      <c r="F498" s="165"/>
      <c r="G498" s="165"/>
    </row>
    <row r="499" spans="1:7">
      <c r="A499" s="86"/>
      <c r="C499" s="165"/>
      <c r="D499" s="165"/>
      <c r="E499" s="165"/>
      <c r="F499" s="165"/>
      <c r="G499" s="165"/>
    </row>
    <row r="500" spans="1:7">
      <c r="A500" s="86"/>
      <c r="C500" s="165"/>
      <c r="D500" s="165"/>
      <c r="E500" s="165"/>
      <c r="F500" s="165"/>
      <c r="G500" s="165"/>
    </row>
    <row r="501" spans="1:7">
      <c r="A501" s="86"/>
      <c r="C501" s="165"/>
      <c r="D501" s="165"/>
      <c r="E501" s="165"/>
      <c r="F501" s="165"/>
      <c r="G501" s="165"/>
    </row>
    <row r="502" spans="1:7">
      <c r="A502" s="86"/>
      <c r="C502" s="165"/>
      <c r="D502" s="165"/>
      <c r="E502" s="165"/>
      <c r="F502" s="165"/>
      <c r="G502" s="165"/>
    </row>
    <row r="503" spans="1:7">
      <c r="A503" s="86"/>
      <c r="C503" s="165"/>
      <c r="D503" s="165"/>
      <c r="E503" s="165"/>
      <c r="F503" s="165"/>
      <c r="G503" s="165"/>
    </row>
    <row r="504" spans="1:7">
      <c r="A504" s="86"/>
      <c r="C504" s="165"/>
      <c r="D504" s="165"/>
      <c r="E504" s="165"/>
      <c r="F504" s="165"/>
      <c r="G504" s="165"/>
    </row>
    <row r="505" spans="1:7">
      <c r="A505" s="86"/>
      <c r="C505" s="165"/>
      <c r="D505" s="165"/>
      <c r="E505" s="165"/>
      <c r="F505" s="165"/>
      <c r="G505" s="165"/>
    </row>
    <row r="506" spans="1:7">
      <c r="A506" s="86"/>
      <c r="C506" s="165"/>
      <c r="D506" s="165"/>
      <c r="E506" s="165"/>
      <c r="F506" s="165"/>
      <c r="G506" s="165"/>
    </row>
    <row r="507" spans="1:7">
      <c r="A507" s="86"/>
      <c r="C507" s="165"/>
      <c r="D507" s="165"/>
      <c r="E507" s="165"/>
      <c r="F507" s="165"/>
      <c r="G507" s="165"/>
    </row>
    <row r="508" spans="1:7">
      <c r="A508" s="86"/>
      <c r="C508" s="165"/>
      <c r="D508" s="165"/>
      <c r="E508" s="165"/>
      <c r="F508" s="165"/>
      <c r="G508" s="165"/>
    </row>
    <row r="509" spans="1:7">
      <c r="A509" s="86"/>
      <c r="C509" s="165"/>
      <c r="D509" s="165"/>
      <c r="E509" s="165"/>
      <c r="F509" s="165"/>
      <c r="G509" s="165"/>
    </row>
    <row r="510" spans="1:7">
      <c r="A510" s="86"/>
      <c r="C510" s="165"/>
      <c r="D510" s="165"/>
      <c r="E510" s="165"/>
      <c r="F510" s="165"/>
      <c r="G510" s="165"/>
    </row>
    <row r="511" spans="1:7">
      <c r="A511" s="86"/>
      <c r="C511" s="165"/>
      <c r="D511" s="165"/>
      <c r="E511" s="165"/>
      <c r="F511" s="165"/>
      <c r="G511" s="165"/>
    </row>
    <row r="512" spans="1:7">
      <c r="A512" s="86"/>
      <c r="C512" s="165"/>
      <c r="D512" s="165"/>
      <c r="E512" s="165"/>
      <c r="F512" s="165"/>
      <c r="G512" s="165"/>
    </row>
    <row r="513" spans="1:7">
      <c r="A513" s="86"/>
      <c r="C513" s="165"/>
      <c r="D513" s="165"/>
      <c r="E513" s="165"/>
      <c r="F513" s="165"/>
      <c r="G513" s="165"/>
    </row>
    <row r="514" spans="1:7">
      <c r="A514" s="86"/>
      <c r="C514" s="165"/>
      <c r="D514" s="165"/>
      <c r="E514" s="165"/>
      <c r="F514" s="165"/>
      <c r="G514" s="165"/>
    </row>
    <row r="515" spans="1:7">
      <c r="A515" s="86"/>
      <c r="C515" s="165"/>
      <c r="D515" s="165"/>
      <c r="E515" s="165"/>
      <c r="F515" s="165"/>
      <c r="G515" s="165"/>
    </row>
    <row r="516" spans="1:7">
      <c r="A516" s="86"/>
      <c r="C516" s="165"/>
      <c r="D516" s="165"/>
      <c r="E516" s="165"/>
      <c r="F516" s="165"/>
      <c r="G516" s="165"/>
    </row>
    <row r="517" spans="1:7">
      <c r="A517" s="86"/>
      <c r="C517" s="165"/>
      <c r="D517" s="165"/>
      <c r="E517" s="165"/>
      <c r="F517" s="165"/>
      <c r="G517" s="165"/>
    </row>
    <row r="518" spans="1:7">
      <c r="A518" s="86"/>
      <c r="C518" s="165"/>
      <c r="D518" s="165"/>
      <c r="E518" s="165"/>
      <c r="F518" s="165"/>
      <c r="G518" s="165"/>
    </row>
    <row r="519" spans="1:7">
      <c r="A519" s="86"/>
      <c r="C519" s="165"/>
      <c r="D519" s="165"/>
      <c r="E519" s="165"/>
      <c r="F519" s="165"/>
      <c r="G519" s="165"/>
    </row>
    <row r="520" spans="1:7">
      <c r="A520" s="86"/>
      <c r="C520" s="165"/>
      <c r="D520" s="165"/>
      <c r="E520" s="165"/>
      <c r="F520" s="165"/>
      <c r="G520" s="165"/>
    </row>
    <row r="521" spans="1:7">
      <c r="A521" s="86"/>
      <c r="C521" s="165"/>
      <c r="D521" s="165"/>
      <c r="E521" s="165"/>
      <c r="F521" s="165"/>
      <c r="G521" s="165"/>
    </row>
    <row r="522" spans="1:7">
      <c r="A522" s="86"/>
      <c r="C522" s="165"/>
      <c r="D522" s="165"/>
      <c r="E522" s="165"/>
      <c r="F522" s="165"/>
      <c r="G522" s="165"/>
    </row>
    <row r="523" spans="1:7">
      <c r="A523" s="86"/>
      <c r="C523" s="165"/>
      <c r="D523" s="165"/>
      <c r="E523" s="165"/>
      <c r="F523" s="165"/>
      <c r="G523" s="165"/>
    </row>
    <row r="524" spans="1:7">
      <c r="A524" s="86"/>
      <c r="C524" s="165"/>
      <c r="D524" s="165"/>
      <c r="E524" s="165"/>
      <c r="F524" s="165"/>
      <c r="G524" s="165"/>
    </row>
    <row r="525" spans="1:7">
      <c r="A525" s="86"/>
      <c r="C525" s="165"/>
      <c r="D525" s="165"/>
      <c r="E525" s="165"/>
      <c r="F525" s="165"/>
      <c r="G525" s="165"/>
    </row>
    <row r="526" spans="1:7">
      <c r="A526" s="86"/>
      <c r="C526" s="165"/>
      <c r="D526" s="165"/>
      <c r="E526" s="165"/>
      <c r="F526" s="165"/>
      <c r="G526" s="165"/>
    </row>
    <row r="527" spans="1:7">
      <c r="A527" s="87"/>
      <c r="C527" s="165"/>
      <c r="D527" s="165"/>
      <c r="E527" s="165"/>
      <c r="F527" s="165"/>
      <c r="G527" s="165"/>
    </row>
    <row r="528" spans="1:7">
      <c r="A528" s="86"/>
      <c r="C528" s="165"/>
      <c r="D528" s="165"/>
      <c r="E528" s="165"/>
      <c r="F528" s="165"/>
      <c r="G528" s="165"/>
    </row>
    <row r="529" spans="1:7">
      <c r="A529" s="86"/>
      <c r="C529" s="165"/>
      <c r="D529" s="165"/>
      <c r="E529" s="165"/>
      <c r="F529" s="165"/>
      <c r="G529" s="165"/>
    </row>
    <row r="530" spans="1:7">
      <c r="A530" s="86"/>
      <c r="C530" s="165"/>
      <c r="D530" s="165"/>
      <c r="E530" s="165"/>
      <c r="F530" s="165"/>
      <c r="G530" s="165"/>
    </row>
    <row r="531" spans="1:7">
      <c r="A531" s="86"/>
      <c r="C531" s="165"/>
      <c r="D531" s="165"/>
      <c r="E531" s="165"/>
      <c r="F531" s="165"/>
      <c r="G531" s="165"/>
    </row>
    <row r="532" spans="1:7">
      <c r="A532" s="86"/>
      <c r="C532" s="165"/>
      <c r="D532" s="165"/>
      <c r="E532" s="165"/>
      <c r="F532" s="165"/>
      <c r="G532" s="165"/>
    </row>
    <row r="533" spans="1:7">
      <c r="A533" s="86"/>
      <c r="C533" s="165"/>
      <c r="D533" s="165"/>
      <c r="E533" s="165"/>
      <c r="F533" s="165"/>
      <c r="G533" s="165"/>
    </row>
    <row r="534" spans="1:7">
      <c r="A534" s="86"/>
      <c r="C534" s="165"/>
      <c r="D534" s="165"/>
      <c r="E534" s="165"/>
      <c r="F534" s="165"/>
      <c r="G534" s="165"/>
    </row>
    <row r="535" spans="1:7">
      <c r="A535" s="86"/>
      <c r="C535" s="165"/>
      <c r="D535" s="165"/>
      <c r="E535" s="165"/>
      <c r="F535" s="165"/>
      <c r="G535" s="165"/>
    </row>
    <row r="536" spans="1:7">
      <c r="A536" s="86"/>
      <c r="C536" s="165"/>
      <c r="D536" s="165"/>
      <c r="E536" s="165"/>
      <c r="F536" s="165"/>
      <c r="G536" s="165"/>
    </row>
    <row r="537" spans="1:7">
      <c r="A537" s="86"/>
      <c r="C537" s="165"/>
      <c r="D537" s="165"/>
      <c r="E537" s="165"/>
      <c r="F537" s="165"/>
      <c r="G537" s="165"/>
    </row>
    <row r="538" spans="1:7">
      <c r="A538" s="86"/>
      <c r="C538" s="165"/>
      <c r="D538" s="165"/>
      <c r="E538" s="165"/>
      <c r="F538" s="165"/>
      <c r="G538" s="165"/>
    </row>
    <row r="539" spans="1:7">
      <c r="A539" s="86"/>
      <c r="C539" s="165"/>
      <c r="D539" s="165"/>
      <c r="E539" s="165"/>
      <c r="F539" s="165"/>
      <c r="G539" s="165"/>
    </row>
    <row r="540" spans="1:7">
      <c r="A540" s="86"/>
      <c r="C540" s="165"/>
      <c r="D540" s="165"/>
      <c r="E540" s="165"/>
      <c r="F540" s="165"/>
      <c r="G540" s="165"/>
    </row>
    <row r="541" spans="1:7">
      <c r="A541" s="86"/>
      <c r="C541" s="165"/>
      <c r="D541" s="165"/>
      <c r="E541" s="165"/>
      <c r="F541" s="165"/>
      <c r="G541" s="165"/>
    </row>
    <row r="542" spans="1:7">
      <c r="A542" s="86"/>
      <c r="C542" s="165"/>
      <c r="D542" s="165"/>
      <c r="E542" s="165"/>
      <c r="F542" s="165"/>
      <c r="G542" s="165"/>
    </row>
    <row r="543" spans="1:7">
      <c r="A543" s="86"/>
      <c r="C543" s="165"/>
      <c r="D543" s="165"/>
      <c r="E543" s="165"/>
      <c r="F543" s="165"/>
      <c r="G543" s="165"/>
    </row>
    <row r="544" spans="1:7">
      <c r="A544" s="86"/>
      <c r="C544" s="165"/>
      <c r="D544" s="165"/>
      <c r="E544" s="165"/>
      <c r="F544" s="165"/>
      <c r="G544" s="165"/>
    </row>
    <row r="545" spans="1:7">
      <c r="A545" s="86"/>
      <c r="C545" s="165"/>
      <c r="D545" s="165"/>
      <c r="E545" s="165"/>
      <c r="F545" s="165"/>
      <c r="G545" s="165"/>
    </row>
    <row r="546" spans="1:7">
      <c r="A546" s="86"/>
      <c r="C546" s="165"/>
      <c r="D546" s="165"/>
      <c r="E546" s="165"/>
      <c r="F546" s="165"/>
      <c r="G546" s="165"/>
    </row>
    <row r="547" spans="1:7">
      <c r="A547" s="87"/>
      <c r="C547" s="165"/>
      <c r="D547" s="165"/>
      <c r="E547" s="165"/>
      <c r="F547" s="165"/>
      <c r="G547" s="165"/>
    </row>
    <row r="548" spans="1:7">
      <c r="A548" s="86"/>
      <c r="C548" s="165"/>
      <c r="D548" s="165"/>
      <c r="E548" s="165"/>
      <c r="F548" s="165"/>
      <c r="G548" s="165"/>
    </row>
    <row r="549" spans="1:7">
      <c r="A549" s="86"/>
      <c r="C549" s="165"/>
      <c r="D549" s="165"/>
      <c r="E549" s="165"/>
      <c r="F549" s="165"/>
      <c r="G549" s="165"/>
    </row>
    <row r="550" spans="1:7">
      <c r="A550" s="86"/>
      <c r="C550" s="165"/>
      <c r="D550" s="165"/>
      <c r="E550" s="165"/>
      <c r="F550" s="165"/>
      <c r="G550" s="165"/>
    </row>
    <row r="551" spans="1:7">
      <c r="A551" s="86"/>
      <c r="C551" s="165"/>
      <c r="D551" s="165"/>
      <c r="E551" s="165"/>
      <c r="F551" s="165"/>
      <c r="G551" s="165"/>
    </row>
    <row r="552" spans="1:7">
      <c r="A552" s="86"/>
      <c r="C552" s="165"/>
      <c r="D552" s="165"/>
      <c r="E552" s="165"/>
      <c r="F552" s="165"/>
      <c r="G552" s="165"/>
    </row>
    <row r="553" spans="1:7">
      <c r="A553" s="86"/>
      <c r="C553" s="165"/>
      <c r="D553" s="165"/>
      <c r="E553" s="165"/>
      <c r="F553" s="165"/>
      <c r="G553" s="165"/>
    </row>
    <row r="554" spans="1:7">
      <c r="A554" s="86"/>
      <c r="C554" s="165"/>
      <c r="D554" s="165"/>
      <c r="E554" s="165"/>
      <c r="F554" s="165"/>
      <c r="G554" s="165"/>
    </row>
    <row r="555" spans="1:7">
      <c r="A555" s="86"/>
      <c r="C555" s="165"/>
      <c r="D555" s="165"/>
      <c r="E555" s="165"/>
      <c r="F555" s="165"/>
      <c r="G555" s="165"/>
    </row>
    <row r="556" spans="1:7">
      <c r="A556" s="86"/>
      <c r="C556" s="165"/>
      <c r="D556" s="165"/>
      <c r="E556" s="165"/>
      <c r="F556" s="165"/>
      <c r="G556" s="165"/>
    </row>
    <row r="557" spans="1:7">
      <c r="A557" s="86"/>
      <c r="C557" s="165"/>
      <c r="D557" s="165"/>
      <c r="E557" s="165"/>
      <c r="F557" s="165"/>
      <c r="G557" s="165"/>
    </row>
    <row r="558" spans="1:7">
      <c r="A558" s="86"/>
      <c r="C558" s="165"/>
      <c r="D558" s="165"/>
      <c r="E558" s="165"/>
      <c r="F558" s="165"/>
      <c r="G558" s="165"/>
    </row>
    <row r="559" spans="1:7">
      <c r="A559" s="86"/>
      <c r="C559" s="165"/>
      <c r="D559" s="165"/>
      <c r="E559" s="165"/>
      <c r="F559" s="165"/>
      <c r="G559" s="165"/>
    </row>
    <row r="560" spans="1:7">
      <c r="A560" s="86"/>
      <c r="C560" s="165"/>
      <c r="D560" s="165"/>
      <c r="E560" s="165"/>
      <c r="F560" s="165"/>
      <c r="G560" s="165"/>
    </row>
    <row r="561" spans="1:7">
      <c r="A561" s="86"/>
      <c r="C561" s="165"/>
      <c r="D561" s="165"/>
      <c r="E561" s="165"/>
      <c r="F561" s="165"/>
      <c r="G561" s="165"/>
    </row>
    <row r="562" spans="1:7">
      <c r="A562" s="86"/>
      <c r="C562" s="165"/>
      <c r="D562" s="165"/>
      <c r="E562" s="165"/>
      <c r="F562" s="165"/>
      <c r="G562" s="165"/>
    </row>
    <row r="563" spans="1:7">
      <c r="A563" s="86"/>
      <c r="C563" s="165"/>
      <c r="D563" s="165"/>
      <c r="E563" s="165"/>
      <c r="F563" s="165"/>
      <c r="G563" s="165"/>
    </row>
    <row r="564" spans="1:7">
      <c r="A564" s="86"/>
      <c r="C564" s="165"/>
      <c r="D564" s="165"/>
      <c r="E564" s="165"/>
      <c r="F564" s="165"/>
      <c r="G564" s="165"/>
    </row>
    <row r="565" spans="1:7">
      <c r="A565" s="86"/>
      <c r="C565" s="165"/>
      <c r="D565" s="165"/>
      <c r="E565" s="165"/>
      <c r="F565" s="165"/>
      <c r="G565" s="165"/>
    </row>
    <row r="566" spans="1:7">
      <c r="A566" s="86"/>
      <c r="C566" s="165"/>
      <c r="D566" s="165"/>
      <c r="E566" s="165"/>
      <c r="F566" s="165"/>
      <c r="G566" s="165"/>
    </row>
    <row r="567" spans="1:7">
      <c r="A567" s="87"/>
      <c r="C567" s="165"/>
      <c r="D567" s="165"/>
      <c r="E567" s="165"/>
      <c r="F567" s="165"/>
      <c r="G567" s="165"/>
    </row>
    <row r="568" spans="1:7">
      <c r="A568" s="86"/>
      <c r="C568" s="165"/>
      <c r="D568" s="165"/>
      <c r="E568" s="165"/>
      <c r="F568" s="165"/>
      <c r="G568" s="165"/>
    </row>
    <row r="569" spans="1:7">
      <c r="A569" s="86"/>
      <c r="C569" s="165"/>
      <c r="D569" s="165"/>
      <c r="E569" s="165"/>
      <c r="F569" s="165"/>
      <c r="G569" s="165"/>
    </row>
    <row r="570" spans="1:7">
      <c r="A570" s="86"/>
      <c r="C570" s="165"/>
      <c r="D570" s="165"/>
      <c r="E570" s="165"/>
      <c r="F570" s="165"/>
      <c r="G570" s="165"/>
    </row>
    <row r="571" spans="1:7">
      <c r="A571" s="86"/>
      <c r="C571" s="165"/>
      <c r="D571" s="165"/>
      <c r="E571" s="165"/>
      <c r="F571" s="165"/>
      <c r="G571" s="165"/>
    </row>
    <row r="572" spans="1:7">
      <c r="A572" s="86"/>
      <c r="C572" s="165"/>
      <c r="D572" s="165"/>
      <c r="E572" s="165"/>
      <c r="F572" s="165"/>
      <c r="G572" s="165"/>
    </row>
    <row r="573" spans="1:7">
      <c r="A573" s="86"/>
      <c r="C573" s="165"/>
      <c r="D573" s="165"/>
      <c r="E573" s="165"/>
      <c r="F573" s="165"/>
      <c r="G573" s="165"/>
    </row>
    <row r="574" spans="1:7">
      <c r="A574" s="86"/>
      <c r="C574" s="165"/>
      <c r="D574" s="165"/>
      <c r="E574" s="165"/>
      <c r="F574" s="165"/>
      <c r="G574" s="165"/>
    </row>
    <row r="575" spans="1:7">
      <c r="A575" s="86"/>
      <c r="C575" s="165"/>
      <c r="D575" s="165"/>
      <c r="E575" s="165"/>
      <c r="F575" s="165"/>
      <c r="G575" s="165"/>
    </row>
    <row r="576" spans="1:7">
      <c r="A576" s="86"/>
      <c r="C576" s="165"/>
      <c r="D576" s="165"/>
      <c r="E576" s="165"/>
      <c r="F576" s="165"/>
      <c r="G576" s="165"/>
    </row>
    <row r="577" spans="1:7">
      <c r="A577" s="86"/>
      <c r="C577" s="165"/>
      <c r="D577" s="165"/>
      <c r="E577" s="165"/>
      <c r="F577" s="165"/>
      <c r="G577" s="165"/>
    </row>
    <row r="578" spans="1:7">
      <c r="A578" s="86"/>
      <c r="C578" s="165"/>
      <c r="D578" s="165"/>
      <c r="E578" s="165"/>
      <c r="F578" s="165"/>
      <c r="G578" s="165"/>
    </row>
    <row r="579" spans="1:7">
      <c r="A579" s="86"/>
      <c r="C579" s="165"/>
      <c r="D579" s="165"/>
      <c r="E579" s="165"/>
      <c r="F579" s="165"/>
      <c r="G579" s="165"/>
    </row>
    <row r="580" spans="1:7">
      <c r="A580" s="86"/>
      <c r="C580" s="165"/>
      <c r="D580" s="165"/>
      <c r="E580" s="165"/>
      <c r="F580" s="165"/>
      <c r="G580" s="165"/>
    </row>
    <row r="581" spans="1:7">
      <c r="A581" s="86"/>
      <c r="C581" s="165"/>
      <c r="D581" s="165"/>
      <c r="E581" s="165"/>
      <c r="F581" s="165"/>
      <c r="G581" s="165"/>
    </row>
    <row r="582" spans="1:7">
      <c r="A582" s="86"/>
      <c r="C582" s="165"/>
      <c r="D582" s="165"/>
      <c r="E582" s="165"/>
      <c r="F582" s="165"/>
      <c r="G582" s="165"/>
    </row>
    <row r="583" spans="1:7">
      <c r="A583" s="86"/>
      <c r="C583" s="165"/>
      <c r="D583" s="165"/>
      <c r="E583" s="165"/>
      <c r="F583" s="165"/>
      <c r="G583" s="165"/>
    </row>
    <row r="584" spans="1:7">
      <c r="A584" s="86"/>
      <c r="C584" s="165"/>
      <c r="D584" s="165"/>
      <c r="E584" s="165"/>
      <c r="F584" s="165"/>
      <c r="G584" s="165"/>
    </row>
    <row r="585" spans="1:7">
      <c r="A585" s="86"/>
      <c r="C585" s="165"/>
      <c r="D585" s="165"/>
      <c r="E585" s="165"/>
      <c r="F585" s="165"/>
      <c r="G585" s="165"/>
    </row>
    <row r="586" spans="1:7">
      <c r="A586" s="86"/>
      <c r="C586" s="165"/>
      <c r="D586" s="165"/>
      <c r="E586" s="165"/>
      <c r="F586" s="165"/>
      <c r="G586" s="165"/>
    </row>
    <row r="587" spans="1:7">
      <c r="A587" s="87"/>
      <c r="C587" s="165"/>
      <c r="D587" s="165"/>
      <c r="E587" s="165"/>
      <c r="F587" s="165"/>
      <c r="G587" s="165"/>
    </row>
    <row r="588" spans="1:7">
      <c r="A588" s="86"/>
      <c r="C588" s="165"/>
      <c r="D588" s="165"/>
      <c r="E588" s="165"/>
      <c r="F588" s="165"/>
      <c r="G588" s="165"/>
    </row>
    <row r="589" spans="1:7">
      <c r="A589" s="86"/>
      <c r="C589" s="165"/>
      <c r="D589" s="165"/>
      <c r="E589" s="165"/>
      <c r="F589" s="165"/>
      <c r="G589" s="165"/>
    </row>
    <row r="590" spans="1:7">
      <c r="A590" s="86"/>
      <c r="C590" s="165"/>
      <c r="D590" s="165"/>
      <c r="E590" s="165"/>
      <c r="F590" s="165"/>
      <c r="G590" s="165"/>
    </row>
    <row r="591" spans="1:7">
      <c r="A591" s="86"/>
      <c r="C591" s="165"/>
      <c r="D591" s="165"/>
      <c r="E591" s="165"/>
      <c r="F591" s="165"/>
      <c r="G591" s="165"/>
    </row>
    <row r="592" spans="1:7">
      <c r="A592" s="86"/>
      <c r="C592" s="165"/>
      <c r="D592" s="165"/>
      <c r="E592" s="165"/>
      <c r="F592" s="165"/>
      <c r="G592" s="165"/>
    </row>
    <row r="593" spans="1:7">
      <c r="A593" s="86"/>
      <c r="C593" s="165"/>
      <c r="D593" s="165"/>
      <c r="E593" s="165"/>
      <c r="F593" s="165"/>
      <c r="G593" s="165"/>
    </row>
    <row r="594" spans="1:7">
      <c r="A594" s="86"/>
      <c r="C594" s="165"/>
      <c r="D594" s="165"/>
      <c r="E594" s="165"/>
      <c r="F594" s="165"/>
      <c r="G594" s="165"/>
    </row>
    <row r="595" spans="1:7">
      <c r="A595" s="86"/>
      <c r="C595" s="165"/>
      <c r="D595" s="165"/>
      <c r="E595" s="165"/>
      <c r="F595" s="165"/>
      <c r="G595" s="165"/>
    </row>
    <row r="596" spans="1:7">
      <c r="A596" s="86"/>
      <c r="C596" s="165"/>
      <c r="D596" s="165"/>
      <c r="E596" s="165"/>
      <c r="F596" s="165"/>
      <c r="G596" s="165"/>
    </row>
    <row r="597" spans="1:7">
      <c r="A597" s="86"/>
      <c r="C597" s="165"/>
      <c r="D597" s="165"/>
      <c r="E597" s="165"/>
      <c r="F597" s="165"/>
      <c r="G597" s="165"/>
    </row>
    <row r="598" spans="1:7">
      <c r="A598" s="86"/>
      <c r="C598" s="165"/>
      <c r="D598" s="165"/>
      <c r="E598" s="165"/>
      <c r="F598" s="165"/>
      <c r="G598" s="165"/>
    </row>
    <row r="599" spans="1:7">
      <c r="A599" s="86"/>
      <c r="C599" s="165"/>
      <c r="D599" s="165"/>
      <c r="E599" s="165"/>
      <c r="F599" s="165"/>
      <c r="G599" s="165"/>
    </row>
    <row r="600" spans="1:7">
      <c r="A600" s="86"/>
      <c r="C600" s="165"/>
      <c r="D600" s="165"/>
      <c r="E600" s="165"/>
      <c r="F600" s="165"/>
      <c r="G600" s="165"/>
    </row>
    <row r="601" spans="1:7">
      <c r="A601" s="86"/>
      <c r="C601" s="165"/>
      <c r="D601" s="165"/>
      <c r="E601" s="165"/>
      <c r="F601" s="165"/>
      <c r="G601" s="165"/>
    </row>
    <row r="602" spans="1:7">
      <c r="A602" s="86"/>
      <c r="C602" s="165"/>
      <c r="D602" s="165"/>
      <c r="E602" s="165"/>
      <c r="F602" s="165"/>
      <c r="G602" s="165"/>
    </row>
    <row r="603" spans="1:7">
      <c r="A603" s="86"/>
      <c r="C603" s="165"/>
      <c r="D603" s="165"/>
      <c r="E603" s="165"/>
      <c r="F603" s="165"/>
      <c r="G603" s="165"/>
    </row>
    <row r="604" spans="1:7">
      <c r="A604" s="86"/>
      <c r="C604" s="165"/>
      <c r="D604" s="165"/>
      <c r="E604" s="165"/>
      <c r="F604" s="165"/>
      <c r="G604" s="165"/>
    </row>
    <row r="605" spans="1:7">
      <c r="A605" s="86"/>
      <c r="C605" s="165"/>
      <c r="D605" s="165"/>
      <c r="E605" s="165"/>
      <c r="F605" s="165"/>
      <c r="G605" s="165"/>
    </row>
    <row r="606" spans="1:7">
      <c r="A606" s="86"/>
      <c r="C606" s="165"/>
      <c r="D606" s="165"/>
      <c r="E606" s="165"/>
      <c r="F606" s="165"/>
      <c r="G606" s="165"/>
    </row>
    <row r="607" spans="1:7">
      <c r="A607" s="86"/>
      <c r="C607" s="165"/>
      <c r="D607" s="165"/>
      <c r="E607" s="165"/>
      <c r="F607" s="165"/>
      <c r="G607" s="165"/>
    </row>
    <row r="608" spans="1:7">
      <c r="A608" s="86"/>
      <c r="C608" s="165"/>
      <c r="D608" s="165"/>
      <c r="E608" s="165"/>
      <c r="F608" s="165"/>
      <c r="G608" s="165"/>
    </row>
    <row r="609" spans="1:7">
      <c r="A609" s="86"/>
      <c r="C609" s="165"/>
      <c r="D609" s="165"/>
      <c r="E609" s="165"/>
      <c r="F609" s="165"/>
      <c r="G609" s="165"/>
    </row>
    <row r="610" spans="1:7">
      <c r="A610" s="86"/>
      <c r="C610" s="165"/>
      <c r="D610" s="165"/>
      <c r="E610" s="165"/>
      <c r="F610" s="165"/>
      <c r="G610" s="165"/>
    </row>
    <row r="611" spans="1:7">
      <c r="A611" s="86"/>
      <c r="C611" s="165"/>
      <c r="D611" s="165"/>
      <c r="E611" s="165"/>
      <c r="F611" s="165"/>
      <c r="G611" s="165"/>
    </row>
    <row r="612" spans="1:7">
      <c r="A612" s="86"/>
      <c r="C612" s="165"/>
      <c r="D612" s="165"/>
      <c r="E612" s="165"/>
      <c r="F612" s="165"/>
      <c r="G612" s="165"/>
    </row>
    <row r="613" spans="1:7">
      <c r="A613" s="86"/>
      <c r="C613" s="165"/>
      <c r="D613" s="165"/>
      <c r="E613" s="165"/>
      <c r="F613" s="165"/>
      <c r="G613" s="165"/>
    </row>
    <row r="614" spans="1:7">
      <c r="A614" s="86"/>
      <c r="C614" s="165"/>
      <c r="D614" s="165"/>
      <c r="E614" s="165"/>
      <c r="F614" s="165"/>
      <c r="G614" s="165"/>
    </row>
    <row r="615" spans="1:7">
      <c r="A615" s="86"/>
      <c r="C615" s="165"/>
      <c r="D615" s="165"/>
      <c r="E615" s="165"/>
      <c r="F615" s="165"/>
      <c r="G615" s="165"/>
    </row>
    <row r="616" spans="1:7">
      <c r="A616" s="86"/>
      <c r="C616" s="165"/>
      <c r="D616" s="165"/>
      <c r="E616" s="165"/>
      <c r="F616" s="165"/>
      <c r="G616" s="165"/>
    </row>
    <row r="617" spans="1:7">
      <c r="A617" s="86"/>
      <c r="C617" s="165"/>
      <c r="D617" s="165"/>
      <c r="E617" s="165"/>
      <c r="F617" s="165"/>
      <c r="G617" s="165"/>
    </row>
    <row r="618" spans="1:7">
      <c r="A618" s="86"/>
      <c r="C618" s="165"/>
      <c r="D618" s="165"/>
      <c r="E618" s="165"/>
      <c r="F618" s="165"/>
      <c r="G618" s="165"/>
    </row>
    <row r="619" spans="1:7">
      <c r="A619" s="86"/>
      <c r="C619" s="165"/>
      <c r="D619" s="165"/>
      <c r="E619" s="165"/>
      <c r="F619" s="165"/>
      <c r="G619" s="165"/>
    </row>
    <row r="620" spans="1:7">
      <c r="A620" s="86"/>
      <c r="C620" s="165"/>
      <c r="D620" s="165"/>
      <c r="E620" s="165"/>
      <c r="F620" s="165"/>
      <c r="G620" s="165"/>
    </row>
    <row r="621" spans="1:7">
      <c r="A621" s="86"/>
      <c r="C621" s="165"/>
      <c r="D621" s="165"/>
      <c r="E621" s="165"/>
      <c r="F621" s="165"/>
      <c r="G621" s="165"/>
    </row>
    <row r="622" spans="1:7">
      <c r="A622" s="86"/>
      <c r="C622" s="165"/>
      <c r="D622" s="165"/>
      <c r="E622" s="165"/>
      <c r="F622" s="165"/>
      <c r="G622" s="165"/>
    </row>
    <row r="623" spans="1:7">
      <c r="A623" s="86"/>
      <c r="C623" s="165"/>
      <c r="D623" s="165"/>
      <c r="E623" s="165"/>
      <c r="F623" s="165"/>
      <c r="G623" s="165"/>
    </row>
    <row r="624" spans="1:7">
      <c r="A624" s="86"/>
      <c r="C624" s="165"/>
      <c r="D624" s="165"/>
      <c r="E624" s="165"/>
      <c r="F624" s="165"/>
      <c r="G624" s="165"/>
    </row>
    <row r="625" spans="1:7">
      <c r="A625" s="86"/>
      <c r="C625" s="165"/>
      <c r="D625" s="165"/>
      <c r="E625" s="165"/>
      <c r="F625" s="165"/>
      <c r="G625" s="165"/>
    </row>
    <row r="626" spans="1:7">
      <c r="A626" s="86"/>
      <c r="C626" s="165"/>
      <c r="D626" s="165"/>
      <c r="E626" s="165"/>
      <c r="F626" s="165"/>
      <c r="G626" s="165"/>
    </row>
    <row r="627" spans="1:7">
      <c r="A627" s="87"/>
      <c r="C627" s="165"/>
      <c r="D627" s="165"/>
      <c r="E627" s="165"/>
      <c r="F627" s="165"/>
      <c r="G627" s="165"/>
    </row>
    <row r="628" spans="1:7">
      <c r="A628" s="86"/>
      <c r="C628" s="165"/>
      <c r="D628" s="165"/>
      <c r="E628" s="165"/>
      <c r="F628" s="165"/>
      <c r="G628" s="165"/>
    </row>
    <row r="629" spans="1:7">
      <c r="A629" s="86"/>
      <c r="C629" s="165"/>
      <c r="D629" s="165"/>
      <c r="E629" s="165"/>
      <c r="F629" s="165"/>
      <c r="G629" s="165"/>
    </row>
    <row r="630" spans="1:7">
      <c r="A630" s="86"/>
      <c r="C630" s="165"/>
      <c r="D630" s="165"/>
      <c r="E630" s="165"/>
      <c r="F630" s="165"/>
      <c r="G630" s="165"/>
    </row>
    <row r="631" spans="1:7">
      <c r="A631" s="86"/>
      <c r="C631" s="165"/>
      <c r="D631" s="165"/>
      <c r="E631" s="165"/>
      <c r="F631" s="165"/>
      <c r="G631" s="165"/>
    </row>
    <row r="632" spans="1:7">
      <c r="A632" s="86"/>
      <c r="C632" s="165"/>
      <c r="D632" s="165"/>
      <c r="E632" s="165"/>
      <c r="F632" s="165"/>
      <c r="G632" s="165"/>
    </row>
    <row r="633" spans="1:7">
      <c r="A633" s="86"/>
      <c r="C633" s="165"/>
      <c r="D633" s="165"/>
      <c r="E633" s="165"/>
      <c r="F633" s="165"/>
      <c r="G633" s="165"/>
    </row>
    <row r="634" spans="1:7">
      <c r="A634" s="86"/>
      <c r="C634" s="165"/>
      <c r="D634" s="165"/>
      <c r="E634" s="165"/>
      <c r="F634" s="165"/>
      <c r="G634" s="165"/>
    </row>
    <row r="635" spans="1:7">
      <c r="A635" s="86"/>
      <c r="C635" s="165"/>
      <c r="D635" s="165"/>
      <c r="E635" s="165"/>
      <c r="F635" s="165"/>
      <c r="G635" s="165"/>
    </row>
    <row r="636" spans="1:7">
      <c r="A636" s="86"/>
      <c r="C636" s="165"/>
      <c r="D636" s="165"/>
      <c r="E636" s="165"/>
      <c r="F636" s="165"/>
      <c r="G636" s="165"/>
    </row>
    <row r="637" spans="1:7">
      <c r="A637" s="86"/>
      <c r="C637" s="165"/>
      <c r="D637" s="165"/>
      <c r="E637" s="165"/>
      <c r="F637" s="165"/>
      <c r="G637" s="165"/>
    </row>
    <row r="638" spans="1:7">
      <c r="A638" s="86"/>
      <c r="C638" s="165"/>
      <c r="D638" s="165"/>
      <c r="E638" s="165"/>
      <c r="F638" s="165"/>
      <c r="G638" s="165"/>
    </row>
    <row r="639" spans="1:7">
      <c r="A639" s="86"/>
      <c r="C639" s="165"/>
      <c r="D639" s="165"/>
      <c r="E639" s="165"/>
      <c r="F639" s="165"/>
      <c r="G639" s="165"/>
    </row>
    <row r="640" spans="1:7">
      <c r="A640" s="86"/>
      <c r="C640" s="165"/>
      <c r="D640" s="165"/>
      <c r="E640" s="165"/>
      <c r="F640" s="165"/>
      <c r="G640" s="165"/>
    </row>
    <row r="641" spans="1:7">
      <c r="A641" s="86"/>
      <c r="C641" s="165"/>
      <c r="D641" s="165"/>
      <c r="E641" s="165"/>
      <c r="F641" s="165"/>
      <c r="G641" s="165"/>
    </row>
    <row r="642" spans="1:7">
      <c r="A642" s="86"/>
      <c r="C642" s="165"/>
      <c r="D642" s="165"/>
      <c r="E642" s="165"/>
      <c r="F642" s="165"/>
      <c r="G642" s="165"/>
    </row>
    <row r="643" spans="1:7">
      <c r="A643" s="86"/>
      <c r="C643" s="165"/>
      <c r="D643" s="165"/>
      <c r="E643" s="165"/>
      <c r="F643" s="165"/>
      <c r="G643" s="165"/>
    </row>
    <row r="644" spans="1:7">
      <c r="A644" s="86"/>
      <c r="C644" s="165"/>
      <c r="D644" s="165"/>
      <c r="E644" s="165"/>
      <c r="F644" s="165"/>
      <c r="G644" s="165"/>
    </row>
    <row r="645" spans="1:7">
      <c r="A645" s="86"/>
      <c r="C645" s="165"/>
      <c r="D645" s="165"/>
      <c r="E645" s="165"/>
      <c r="F645" s="165"/>
      <c r="G645" s="165"/>
    </row>
    <row r="646" spans="1:7">
      <c r="A646" s="86"/>
      <c r="C646" s="165"/>
      <c r="D646" s="165"/>
      <c r="E646" s="165"/>
      <c r="F646" s="165"/>
      <c r="G646" s="165"/>
    </row>
    <row r="647" spans="1:7">
      <c r="A647" s="87"/>
      <c r="C647" s="165"/>
      <c r="D647" s="165"/>
      <c r="E647" s="165"/>
      <c r="F647" s="165"/>
      <c r="G647" s="165"/>
    </row>
    <row r="648" spans="1:7">
      <c r="A648" s="86"/>
      <c r="C648" s="165"/>
      <c r="D648" s="165"/>
      <c r="E648" s="165"/>
      <c r="F648" s="165"/>
      <c r="G648" s="165"/>
    </row>
    <row r="649" spans="1:7">
      <c r="A649" s="86"/>
      <c r="C649" s="165"/>
      <c r="D649" s="165"/>
      <c r="E649" s="165"/>
      <c r="F649" s="165"/>
      <c r="G649" s="165"/>
    </row>
    <row r="650" spans="1:7">
      <c r="A650" s="86"/>
      <c r="C650" s="165"/>
      <c r="D650" s="165"/>
      <c r="E650" s="165"/>
      <c r="F650" s="165"/>
      <c r="G650" s="165"/>
    </row>
    <row r="651" spans="1:7">
      <c r="A651" s="86"/>
      <c r="C651" s="165"/>
      <c r="D651" s="165"/>
      <c r="E651" s="165"/>
      <c r="F651" s="165"/>
      <c r="G651" s="165"/>
    </row>
    <row r="652" spans="1:7">
      <c r="A652" s="86"/>
      <c r="C652" s="165"/>
      <c r="D652" s="165"/>
      <c r="E652" s="165"/>
      <c r="F652" s="165"/>
      <c r="G652" s="165"/>
    </row>
    <row r="653" spans="1:7">
      <c r="A653" s="86"/>
      <c r="C653" s="165"/>
      <c r="D653" s="165"/>
      <c r="E653" s="165"/>
      <c r="F653" s="165"/>
      <c r="G653" s="165"/>
    </row>
    <row r="654" spans="1:7">
      <c r="A654" s="86"/>
      <c r="C654" s="165"/>
      <c r="D654" s="165"/>
      <c r="E654" s="165"/>
      <c r="F654" s="165"/>
      <c r="G654" s="165"/>
    </row>
    <row r="655" spans="1:7">
      <c r="A655" s="86"/>
      <c r="C655" s="165"/>
      <c r="D655" s="165"/>
      <c r="E655" s="165"/>
      <c r="F655" s="165"/>
      <c r="G655" s="165"/>
    </row>
    <row r="656" spans="1:7">
      <c r="A656" s="86"/>
      <c r="C656" s="165"/>
      <c r="D656" s="165"/>
      <c r="E656" s="165"/>
      <c r="F656" s="165"/>
      <c r="G656" s="165"/>
    </row>
    <row r="657" spans="1:7">
      <c r="A657" s="86"/>
      <c r="C657" s="165"/>
      <c r="D657" s="165"/>
      <c r="E657" s="165"/>
      <c r="F657" s="165"/>
      <c r="G657" s="165"/>
    </row>
    <row r="658" spans="1:7">
      <c r="A658" s="86"/>
      <c r="C658" s="165"/>
      <c r="D658" s="165"/>
      <c r="E658" s="165"/>
      <c r="F658" s="165"/>
      <c r="G658" s="165"/>
    </row>
    <row r="659" spans="1:7">
      <c r="A659" s="86"/>
      <c r="C659" s="165"/>
      <c r="D659" s="165"/>
      <c r="E659" s="165"/>
      <c r="F659" s="165"/>
      <c r="G659" s="165"/>
    </row>
    <row r="660" spans="1:7">
      <c r="A660" s="86"/>
      <c r="C660" s="165"/>
      <c r="D660" s="165"/>
      <c r="E660" s="165"/>
      <c r="F660" s="165"/>
      <c r="G660" s="165"/>
    </row>
    <row r="661" spans="1:7">
      <c r="A661" s="86"/>
      <c r="C661" s="165"/>
      <c r="D661" s="165"/>
      <c r="E661" s="165"/>
      <c r="F661" s="165"/>
      <c r="G661" s="165"/>
    </row>
    <row r="662" spans="1:7">
      <c r="A662" s="86"/>
      <c r="C662" s="165"/>
      <c r="D662" s="165"/>
      <c r="E662" s="165"/>
      <c r="F662" s="165"/>
      <c r="G662" s="165"/>
    </row>
    <row r="663" spans="1:7">
      <c r="A663" s="86"/>
      <c r="C663" s="165"/>
      <c r="D663" s="165"/>
      <c r="E663" s="165"/>
      <c r="F663" s="165"/>
      <c r="G663" s="165"/>
    </row>
    <row r="664" spans="1:7">
      <c r="A664" s="86"/>
      <c r="C664" s="165"/>
      <c r="D664" s="165"/>
      <c r="E664" s="165"/>
      <c r="F664" s="165"/>
      <c r="G664" s="165"/>
    </row>
    <row r="665" spans="1:7">
      <c r="A665" s="86"/>
      <c r="C665" s="165"/>
      <c r="D665" s="165"/>
      <c r="E665" s="165"/>
      <c r="F665" s="165"/>
      <c r="G665" s="165"/>
    </row>
    <row r="666" spans="1:7">
      <c r="A666" s="86"/>
      <c r="C666" s="165"/>
      <c r="D666" s="165"/>
      <c r="E666" s="165"/>
      <c r="F666" s="165"/>
      <c r="G666" s="165"/>
    </row>
    <row r="667" spans="1:7">
      <c r="A667" s="87"/>
      <c r="C667" s="165"/>
      <c r="D667" s="165"/>
      <c r="E667" s="165"/>
      <c r="F667" s="165"/>
      <c r="G667" s="165"/>
    </row>
    <row r="668" spans="1:7">
      <c r="A668" s="86"/>
      <c r="C668" s="165"/>
      <c r="D668" s="165"/>
      <c r="E668" s="165"/>
      <c r="F668" s="165"/>
      <c r="G668" s="165"/>
    </row>
    <row r="669" spans="1:7">
      <c r="A669" s="86"/>
      <c r="C669" s="165"/>
      <c r="D669" s="165"/>
      <c r="E669" s="165"/>
      <c r="F669" s="165"/>
      <c r="G669" s="165"/>
    </row>
    <row r="670" spans="1:7">
      <c r="A670" s="86"/>
      <c r="C670" s="165"/>
      <c r="D670" s="165"/>
      <c r="E670" s="165"/>
      <c r="F670" s="165"/>
      <c r="G670" s="165"/>
    </row>
    <row r="671" spans="1:7">
      <c r="A671" s="86"/>
      <c r="C671" s="165"/>
      <c r="D671" s="165"/>
      <c r="E671" s="165"/>
      <c r="F671" s="165"/>
      <c r="G671" s="165"/>
    </row>
    <row r="672" spans="1:7">
      <c r="A672" s="86"/>
      <c r="C672" s="165"/>
      <c r="D672" s="165"/>
      <c r="E672" s="165"/>
      <c r="F672" s="165"/>
      <c r="G672" s="165"/>
    </row>
    <row r="673" spans="1:7">
      <c r="A673" s="86"/>
      <c r="C673" s="165"/>
      <c r="D673" s="165"/>
      <c r="E673" s="165"/>
      <c r="F673" s="165"/>
      <c r="G673" s="165"/>
    </row>
    <row r="674" spans="1:7">
      <c r="A674" s="86"/>
      <c r="C674" s="165"/>
      <c r="D674" s="165"/>
      <c r="E674" s="165"/>
      <c r="F674" s="165"/>
      <c r="G674" s="165"/>
    </row>
    <row r="675" spans="1:7">
      <c r="A675" s="86"/>
      <c r="C675" s="165"/>
      <c r="D675" s="165"/>
      <c r="E675" s="165"/>
      <c r="F675" s="165"/>
      <c r="G675" s="165"/>
    </row>
    <row r="676" spans="1:7">
      <c r="A676" s="86"/>
      <c r="C676" s="165"/>
      <c r="D676" s="165"/>
      <c r="E676" s="165"/>
      <c r="F676" s="165"/>
      <c r="G676" s="165"/>
    </row>
    <row r="677" spans="1:7">
      <c r="A677" s="86"/>
      <c r="C677" s="165"/>
      <c r="D677" s="165"/>
      <c r="E677" s="165"/>
      <c r="F677" s="165"/>
      <c r="G677" s="165"/>
    </row>
    <row r="678" spans="1:7">
      <c r="A678" s="86"/>
      <c r="C678" s="165"/>
      <c r="D678" s="165"/>
      <c r="E678" s="165"/>
      <c r="F678" s="165"/>
      <c r="G678" s="165"/>
    </row>
    <row r="679" spans="1:7">
      <c r="A679" s="86"/>
      <c r="C679" s="165"/>
      <c r="D679" s="165"/>
      <c r="E679" s="165"/>
      <c r="F679" s="165"/>
      <c r="G679" s="165"/>
    </row>
    <row r="680" spans="1:7">
      <c r="A680" s="86"/>
      <c r="C680" s="165"/>
      <c r="D680" s="165"/>
      <c r="E680" s="165"/>
      <c r="F680" s="165"/>
      <c r="G680" s="165"/>
    </row>
    <row r="681" spans="1:7">
      <c r="A681" s="86"/>
      <c r="C681" s="165"/>
      <c r="D681" s="165"/>
      <c r="E681" s="165"/>
      <c r="F681" s="165"/>
      <c r="G681" s="165"/>
    </row>
    <row r="682" spans="1:7">
      <c r="A682" s="86"/>
      <c r="C682" s="165"/>
      <c r="D682" s="165"/>
      <c r="E682" s="165"/>
      <c r="F682" s="165"/>
      <c r="G682" s="165"/>
    </row>
    <row r="683" spans="1:7">
      <c r="A683" s="86"/>
      <c r="C683" s="165"/>
      <c r="D683" s="165"/>
      <c r="E683" s="165"/>
      <c r="F683" s="165"/>
      <c r="G683" s="165"/>
    </row>
    <row r="684" spans="1:7">
      <c r="A684" s="86"/>
      <c r="C684" s="165"/>
      <c r="D684" s="165"/>
      <c r="E684" s="165"/>
      <c r="F684" s="165"/>
      <c r="G684" s="165"/>
    </row>
    <row r="685" spans="1:7">
      <c r="A685" s="86"/>
      <c r="C685" s="165"/>
      <c r="D685" s="165"/>
      <c r="E685" s="165"/>
      <c r="F685" s="165"/>
      <c r="G685" s="165"/>
    </row>
    <row r="686" spans="1:7">
      <c r="A686" s="86"/>
      <c r="C686" s="165"/>
      <c r="D686" s="165"/>
      <c r="E686" s="165"/>
      <c r="F686" s="165"/>
      <c r="G686" s="165"/>
    </row>
    <row r="687" spans="1:7">
      <c r="A687" s="87"/>
      <c r="C687" s="165"/>
      <c r="D687" s="165"/>
      <c r="E687" s="165"/>
      <c r="F687" s="165"/>
      <c r="G687" s="165"/>
    </row>
    <row r="688" spans="1:7">
      <c r="A688" s="86"/>
      <c r="C688" s="165"/>
      <c r="D688" s="165"/>
      <c r="E688" s="165"/>
      <c r="F688" s="165"/>
      <c r="G688" s="165"/>
    </row>
    <row r="689" spans="1:7">
      <c r="A689" s="86"/>
      <c r="C689" s="165"/>
      <c r="D689" s="165"/>
      <c r="E689" s="165"/>
      <c r="F689" s="165"/>
      <c r="G689" s="165"/>
    </row>
    <row r="690" spans="1:7">
      <c r="A690" s="86"/>
      <c r="C690" s="165"/>
      <c r="D690" s="165"/>
      <c r="E690" s="165"/>
      <c r="F690" s="165"/>
      <c r="G690" s="165"/>
    </row>
    <row r="691" spans="1:7">
      <c r="A691" s="86"/>
      <c r="C691" s="165"/>
      <c r="D691" s="165"/>
      <c r="E691" s="165"/>
      <c r="F691" s="165"/>
      <c r="G691" s="165"/>
    </row>
    <row r="692" spans="1:7">
      <c r="A692" s="86"/>
      <c r="C692" s="165"/>
      <c r="D692" s="165"/>
      <c r="E692" s="165"/>
      <c r="F692" s="165"/>
      <c r="G692" s="165"/>
    </row>
    <row r="693" spans="1:7">
      <c r="A693" s="86"/>
      <c r="C693" s="165"/>
      <c r="D693" s="165"/>
      <c r="E693" s="165"/>
      <c r="F693" s="165"/>
      <c r="G693" s="165"/>
    </row>
    <row r="694" spans="1:7">
      <c r="A694" s="86"/>
      <c r="C694" s="165"/>
      <c r="D694" s="165"/>
      <c r="E694" s="165"/>
      <c r="F694" s="165"/>
      <c r="G694" s="165"/>
    </row>
    <row r="695" spans="1:7">
      <c r="A695" s="86"/>
      <c r="C695" s="165"/>
      <c r="D695" s="165"/>
      <c r="E695" s="165"/>
      <c r="F695" s="165"/>
      <c r="G695" s="165"/>
    </row>
    <row r="696" spans="1:7">
      <c r="A696" s="86"/>
      <c r="C696" s="165"/>
      <c r="D696" s="165"/>
      <c r="E696" s="165"/>
      <c r="F696" s="165"/>
      <c r="G696" s="165"/>
    </row>
    <row r="697" spans="1:7">
      <c r="A697" s="86"/>
      <c r="C697" s="165"/>
      <c r="D697" s="165"/>
      <c r="E697" s="165"/>
      <c r="F697" s="165"/>
      <c r="G697" s="165"/>
    </row>
    <row r="698" spans="1:7">
      <c r="A698" s="86"/>
      <c r="C698" s="165"/>
      <c r="D698" s="165"/>
      <c r="E698" s="165"/>
      <c r="F698" s="165"/>
      <c r="G698" s="165"/>
    </row>
    <row r="699" spans="1:7">
      <c r="A699" s="86"/>
      <c r="C699" s="165"/>
      <c r="D699" s="165"/>
      <c r="E699" s="165"/>
      <c r="F699" s="165"/>
      <c r="G699" s="165"/>
    </row>
    <row r="700" spans="1:7">
      <c r="A700" s="86"/>
      <c r="C700" s="165"/>
      <c r="D700" s="165"/>
      <c r="E700" s="165"/>
      <c r="F700" s="165"/>
      <c r="G700" s="165"/>
    </row>
    <row r="701" spans="1:7">
      <c r="A701" s="86"/>
      <c r="C701" s="165"/>
      <c r="D701" s="165"/>
      <c r="E701" s="165"/>
      <c r="F701" s="165"/>
      <c r="G701" s="165"/>
    </row>
    <row r="702" spans="1:7">
      <c r="A702" s="86"/>
      <c r="C702" s="165"/>
      <c r="D702" s="165"/>
      <c r="E702" s="165"/>
      <c r="F702" s="165"/>
      <c r="G702" s="165"/>
    </row>
    <row r="703" spans="1:7">
      <c r="A703" s="86"/>
      <c r="C703" s="165"/>
      <c r="D703" s="165"/>
      <c r="E703" s="165"/>
      <c r="F703" s="165"/>
      <c r="G703" s="165"/>
    </row>
    <row r="704" spans="1:7">
      <c r="A704" s="86"/>
      <c r="C704" s="165"/>
      <c r="D704" s="165"/>
      <c r="E704" s="165"/>
      <c r="F704" s="165"/>
      <c r="G704" s="165"/>
    </row>
    <row r="705" spans="1:7">
      <c r="A705" s="86"/>
      <c r="C705" s="165"/>
      <c r="D705" s="165"/>
      <c r="E705" s="165"/>
      <c r="F705" s="165"/>
      <c r="G705" s="165"/>
    </row>
    <row r="706" spans="1:7">
      <c r="A706" s="86"/>
      <c r="C706" s="165"/>
      <c r="D706" s="165"/>
      <c r="E706" s="165"/>
      <c r="F706" s="165"/>
      <c r="G706" s="165"/>
    </row>
    <row r="707" spans="1:7">
      <c r="A707" s="86"/>
      <c r="C707" s="165"/>
      <c r="D707" s="165"/>
      <c r="E707" s="165"/>
      <c r="F707" s="165"/>
      <c r="G707" s="165"/>
    </row>
    <row r="708" spans="1:7">
      <c r="A708" s="86"/>
      <c r="C708" s="165"/>
      <c r="D708" s="165"/>
      <c r="E708" s="165"/>
      <c r="F708" s="165"/>
      <c r="G708" s="165"/>
    </row>
    <row r="709" spans="1:7">
      <c r="A709" s="86"/>
      <c r="C709" s="165"/>
      <c r="D709" s="165"/>
      <c r="E709" s="165"/>
      <c r="F709" s="165"/>
      <c r="G709" s="165"/>
    </row>
    <row r="710" spans="1:7">
      <c r="A710" s="86"/>
      <c r="C710" s="165"/>
      <c r="D710" s="165"/>
      <c r="E710" s="165"/>
      <c r="F710" s="165"/>
      <c r="G710" s="165"/>
    </row>
    <row r="711" spans="1:7">
      <c r="A711" s="86"/>
      <c r="C711" s="165"/>
      <c r="D711" s="165"/>
      <c r="E711" s="165"/>
      <c r="F711" s="165"/>
      <c r="G711" s="165"/>
    </row>
    <row r="712" spans="1:7">
      <c r="A712" s="86"/>
      <c r="C712" s="165"/>
      <c r="D712" s="165"/>
      <c r="E712" s="165"/>
      <c r="F712" s="165"/>
      <c r="G712" s="165"/>
    </row>
    <row r="713" spans="1:7">
      <c r="A713" s="86"/>
      <c r="C713" s="165"/>
      <c r="D713" s="165"/>
      <c r="E713" s="165"/>
      <c r="F713" s="165"/>
      <c r="G713" s="165"/>
    </row>
    <row r="714" spans="1:7">
      <c r="A714" s="86"/>
      <c r="C714" s="165"/>
      <c r="D714" s="165"/>
      <c r="E714" s="165"/>
      <c r="F714" s="165"/>
      <c r="G714" s="165"/>
    </row>
    <row r="715" spans="1:7">
      <c r="A715" s="86"/>
      <c r="C715" s="165"/>
      <c r="D715" s="165"/>
      <c r="E715" s="165"/>
      <c r="F715" s="165"/>
      <c r="G715" s="165"/>
    </row>
    <row r="716" spans="1:7">
      <c r="A716" s="86"/>
      <c r="C716" s="165"/>
      <c r="D716" s="165"/>
      <c r="E716" s="165"/>
      <c r="F716" s="165"/>
      <c r="G716" s="165"/>
    </row>
    <row r="717" spans="1:7">
      <c r="A717" s="86"/>
      <c r="C717" s="165"/>
      <c r="D717" s="165"/>
      <c r="E717" s="165"/>
      <c r="F717" s="165"/>
      <c r="G717" s="165"/>
    </row>
    <row r="718" spans="1:7">
      <c r="A718" s="86"/>
      <c r="C718" s="165"/>
      <c r="D718" s="165"/>
      <c r="E718" s="165"/>
      <c r="F718" s="165"/>
      <c r="G718" s="165"/>
    </row>
    <row r="719" spans="1:7">
      <c r="A719" s="86"/>
      <c r="C719" s="165"/>
      <c r="D719" s="165"/>
      <c r="E719" s="165"/>
      <c r="F719" s="165"/>
      <c r="G719" s="165"/>
    </row>
    <row r="720" spans="1:7">
      <c r="A720" s="86"/>
      <c r="C720" s="165"/>
      <c r="D720" s="165"/>
      <c r="E720" s="165"/>
      <c r="F720" s="165"/>
      <c r="G720" s="165"/>
    </row>
    <row r="721" spans="1:7">
      <c r="A721" s="86"/>
      <c r="C721" s="165"/>
      <c r="D721" s="165"/>
      <c r="E721" s="165"/>
      <c r="F721" s="165"/>
      <c r="G721" s="165"/>
    </row>
    <row r="722" spans="1:7">
      <c r="A722" s="86"/>
      <c r="C722" s="165"/>
      <c r="D722" s="165"/>
      <c r="E722" s="165"/>
      <c r="F722" s="165"/>
      <c r="G722" s="165"/>
    </row>
    <row r="723" spans="1:7">
      <c r="A723" s="86"/>
      <c r="C723" s="165"/>
      <c r="D723" s="165"/>
      <c r="E723" s="165"/>
      <c r="F723" s="165"/>
      <c r="G723" s="165"/>
    </row>
    <row r="724" spans="1:7">
      <c r="A724" s="86"/>
      <c r="C724" s="165"/>
      <c r="D724" s="165"/>
      <c r="E724" s="165"/>
      <c r="F724" s="165"/>
      <c r="G724" s="165"/>
    </row>
    <row r="725" spans="1:7">
      <c r="A725" s="86"/>
      <c r="C725" s="165"/>
      <c r="D725" s="165"/>
      <c r="E725" s="165"/>
      <c r="F725" s="165"/>
      <c r="G725" s="165"/>
    </row>
    <row r="726" spans="1:7">
      <c r="A726" s="86"/>
      <c r="C726" s="165"/>
      <c r="D726" s="165"/>
      <c r="E726" s="165"/>
      <c r="F726" s="165"/>
      <c r="G726" s="165"/>
    </row>
    <row r="727" spans="1:7">
      <c r="A727" s="87"/>
      <c r="C727" s="165"/>
      <c r="D727" s="165"/>
      <c r="E727" s="165"/>
      <c r="F727" s="165"/>
      <c r="G727" s="165"/>
    </row>
    <row r="728" spans="1:7">
      <c r="A728" s="86"/>
      <c r="C728" s="165"/>
      <c r="D728" s="165"/>
      <c r="E728" s="165"/>
      <c r="F728" s="165"/>
      <c r="G728" s="165"/>
    </row>
    <row r="729" spans="1:7">
      <c r="A729" s="86"/>
      <c r="C729" s="165"/>
      <c r="D729" s="165"/>
      <c r="E729" s="165"/>
      <c r="F729" s="165"/>
      <c r="G729" s="165"/>
    </row>
    <row r="730" spans="1:7">
      <c r="A730" s="86"/>
      <c r="C730" s="165"/>
      <c r="D730" s="165"/>
      <c r="E730" s="165"/>
      <c r="F730" s="165"/>
      <c r="G730" s="165"/>
    </row>
    <row r="731" spans="1:7">
      <c r="A731" s="86"/>
      <c r="C731" s="165"/>
      <c r="D731" s="165"/>
      <c r="E731" s="165"/>
      <c r="F731" s="165"/>
      <c r="G731" s="165"/>
    </row>
    <row r="732" spans="1:7">
      <c r="A732" s="86"/>
      <c r="C732" s="165"/>
      <c r="D732" s="165"/>
      <c r="E732" s="165"/>
      <c r="F732" s="165"/>
      <c r="G732" s="165"/>
    </row>
    <row r="733" spans="1:7">
      <c r="A733" s="86"/>
      <c r="C733" s="165"/>
      <c r="D733" s="165"/>
      <c r="E733" s="165"/>
      <c r="F733" s="165"/>
      <c r="G733" s="165"/>
    </row>
    <row r="734" spans="1:7">
      <c r="A734" s="86"/>
      <c r="C734" s="165"/>
      <c r="D734" s="165"/>
      <c r="E734" s="165"/>
      <c r="F734" s="165"/>
      <c r="G734" s="165"/>
    </row>
    <row r="735" spans="1:7">
      <c r="A735" s="86"/>
      <c r="C735" s="165"/>
      <c r="D735" s="165"/>
      <c r="E735" s="165"/>
      <c r="F735" s="165"/>
      <c r="G735" s="165"/>
    </row>
    <row r="736" spans="1:7">
      <c r="A736" s="86"/>
      <c r="C736" s="165"/>
      <c r="D736" s="165"/>
      <c r="E736" s="165"/>
      <c r="F736" s="165"/>
      <c r="G736" s="165"/>
    </row>
    <row r="737" spans="1:7">
      <c r="A737" s="86"/>
      <c r="C737" s="165"/>
      <c r="D737" s="165"/>
      <c r="E737" s="165"/>
      <c r="F737" s="165"/>
      <c r="G737" s="165"/>
    </row>
    <row r="738" spans="1:7">
      <c r="A738" s="86"/>
      <c r="C738" s="165"/>
      <c r="D738" s="165"/>
      <c r="E738" s="165"/>
      <c r="F738" s="165"/>
      <c r="G738" s="165"/>
    </row>
    <row r="739" spans="1:7">
      <c r="A739" s="86"/>
      <c r="C739" s="165"/>
      <c r="D739" s="165"/>
      <c r="E739" s="165"/>
      <c r="F739" s="165"/>
      <c r="G739" s="165"/>
    </row>
    <row r="740" spans="1:7">
      <c r="A740" s="86"/>
      <c r="C740" s="165"/>
      <c r="D740" s="165"/>
      <c r="E740" s="165"/>
      <c r="F740" s="165"/>
      <c r="G740" s="165"/>
    </row>
    <row r="741" spans="1:7">
      <c r="A741" s="86"/>
      <c r="C741" s="165"/>
      <c r="D741" s="165"/>
      <c r="E741" s="165"/>
      <c r="F741" s="165"/>
      <c r="G741" s="165"/>
    </row>
    <row r="742" spans="1:7">
      <c r="A742" s="86"/>
      <c r="C742" s="165"/>
      <c r="D742" s="165"/>
      <c r="E742" s="165"/>
      <c r="F742" s="165"/>
      <c r="G742" s="165"/>
    </row>
    <row r="743" spans="1:7">
      <c r="A743" s="86"/>
      <c r="C743" s="165"/>
      <c r="D743" s="165"/>
      <c r="E743" s="165"/>
      <c r="F743" s="165"/>
      <c r="G743" s="165"/>
    </row>
    <row r="744" spans="1:7">
      <c r="A744" s="86"/>
      <c r="C744" s="165"/>
      <c r="D744" s="165"/>
      <c r="E744" s="165"/>
      <c r="F744" s="165"/>
      <c r="G744" s="165"/>
    </row>
    <row r="745" spans="1:7">
      <c r="A745" s="86"/>
      <c r="C745" s="165"/>
      <c r="D745" s="165"/>
      <c r="E745" s="165"/>
      <c r="F745" s="165"/>
      <c r="G745" s="165"/>
    </row>
    <row r="746" spans="1:7">
      <c r="A746" s="86"/>
      <c r="C746" s="165"/>
      <c r="D746" s="165"/>
      <c r="E746" s="165"/>
      <c r="F746" s="165"/>
      <c r="G746" s="165"/>
    </row>
    <row r="747" spans="1:7">
      <c r="A747" s="87"/>
      <c r="C747" s="165"/>
      <c r="D747" s="165"/>
      <c r="E747" s="165"/>
      <c r="F747" s="165"/>
      <c r="G747" s="165"/>
    </row>
    <row r="748" spans="1:7">
      <c r="A748" s="86"/>
      <c r="C748" s="165"/>
      <c r="D748" s="165"/>
      <c r="E748" s="165"/>
      <c r="F748" s="165"/>
      <c r="G748" s="165"/>
    </row>
    <row r="749" spans="1:7">
      <c r="A749" s="86"/>
      <c r="C749" s="165"/>
      <c r="D749" s="165"/>
      <c r="E749" s="165"/>
      <c r="F749" s="165"/>
      <c r="G749" s="165"/>
    </row>
    <row r="750" spans="1:7">
      <c r="A750" s="86"/>
      <c r="C750" s="165"/>
      <c r="D750" s="165"/>
      <c r="E750" s="165"/>
      <c r="F750" s="165"/>
      <c r="G750" s="165"/>
    </row>
    <row r="751" spans="1:7">
      <c r="A751" s="86"/>
      <c r="C751" s="165"/>
      <c r="D751" s="165"/>
      <c r="E751" s="165"/>
      <c r="F751" s="165"/>
      <c r="G751" s="165"/>
    </row>
    <row r="752" spans="1:7">
      <c r="A752" s="86"/>
      <c r="C752" s="165"/>
      <c r="D752" s="165"/>
      <c r="E752" s="165"/>
      <c r="F752" s="165"/>
      <c r="G752" s="165"/>
    </row>
    <row r="753" spans="1:7">
      <c r="A753" s="86"/>
      <c r="C753" s="165"/>
      <c r="D753" s="165"/>
      <c r="E753" s="165"/>
      <c r="F753" s="165"/>
      <c r="G753" s="165"/>
    </row>
    <row r="754" spans="1:7">
      <c r="A754" s="86"/>
      <c r="C754" s="165"/>
      <c r="D754" s="165"/>
      <c r="E754" s="165"/>
      <c r="F754" s="165"/>
      <c r="G754" s="165"/>
    </row>
    <row r="755" spans="1:7">
      <c r="A755" s="86"/>
      <c r="C755" s="165"/>
      <c r="D755" s="165"/>
      <c r="E755" s="165"/>
      <c r="F755" s="165"/>
      <c r="G755" s="165"/>
    </row>
    <row r="756" spans="1:7">
      <c r="A756" s="86"/>
      <c r="C756" s="165"/>
      <c r="D756" s="165"/>
      <c r="E756" s="165"/>
      <c r="F756" s="165"/>
      <c r="G756" s="165"/>
    </row>
    <row r="757" spans="1:7">
      <c r="A757" s="86"/>
      <c r="C757" s="165"/>
      <c r="D757" s="165"/>
      <c r="E757" s="165"/>
      <c r="F757" s="165"/>
      <c r="G757" s="165"/>
    </row>
    <row r="758" spans="1:7">
      <c r="A758" s="86"/>
      <c r="C758" s="165"/>
      <c r="D758" s="165"/>
      <c r="E758" s="165"/>
      <c r="F758" s="165"/>
      <c r="G758" s="165"/>
    </row>
    <row r="759" spans="1:7">
      <c r="A759" s="86"/>
      <c r="C759" s="165"/>
      <c r="D759" s="165"/>
      <c r="E759" s="165"/>
      <c r="F759" s="165"/>
      <c r="G759" s="165"/>
    </row>
    <row r="760" spans="1:7">
      <c r="A760" s="86"/>
      <c r="C760" s="165"/>
      <c r="D760" s="165"/>
      <c r="E760" s="165"/>
      <c r="F760" s="165"/>
      <c r="G760" s="165"/>
    </row>
    <row r="761" spans="1:7">
      <c r="A761" s="86"/>
      <c r="C761" s="165"/>
      <c r="D761" s="165"/>
      <c r="E761" s="165"/>
      <c r="F761" s="165"/>
      <c r="G761" s="165"/>
    </row>
    <row r="762" spans="1:7">
      <c r="A762" s="86"/>
      <c r="C762" s="165"/>
      <c r="D762" s="165"/>
      <c r="E762" s="165"/>
      <c r="F762" s="165"/>
      <c r="G762" s="165"/>
    </row>
    <row r="763" spans="1:7">
      <c r="A763" s="86"/>
      <c r="C763" s="165"/>
      <c r="D763" s="165"/>
      <c r="E763" s="165"/>
      <c r="F763" s="165"/>
      <c r="G763" s="165"/>
    </row>
    <row r="764" spans="1:7">
      <c r="A764" s="86"/>
      <c r="C764" s="165"/>
      <c r="D764" s="165"/>
      <c r="E764" s="165"/>
      <c r="F764" s="165"/>
      <c r="G764" s="165"/>
    </row>
    <row r="765" spans="1:7">
      <c r="A765" s="86"/>
      <c r="C765" s="165"/>
      <c r="D765" s="165"/>
      <c r="E765" s="165"/>
      <c r="F765" s="165"/>
      <c r="G765" s="165"/>
    </row>
    <row r="766" spans="1:7">
      <c r="A766" s="86"/>
      <c r="C766" s="165"/>
      <c r="D766" s="165"/>
      <c r="E766" s="165"/>
      <c r="F766" s="165"/>
      <c r="G766" s="165"/>
    </row>
    <row r="767" spans="1:7">
      <c r="A767" s="87"/>
      <c r="C767" s="165"/>
      <c r="D767" s="165"/>
      <c r="E767" s="165"/>
      <c r="F767" s="165"/>
      <c r="G767" s="165"/>
    </row>
    <row r="768" spans="1:7">
      <c r="A768" s="86"/>
      <c r="C768" s="165"/>
      <c r="D768" s="165"/>
      <c r="E768" s="165"/>
      <c r="F768" s="165"/>
      <c r="G768" s="165"/>
    </row>
    <row r="769" spans="1:7">
      <c r="A769" s="86"/>
      <c r="C769" s="165"/>
      <c r="D769" s="165"/>
      <c r="E769" s="165"/>
      <c r="F769" s="165"/>
      <c r="G769" s="165"/>
    </row>
    <row r="770" spans="1:7">
      <c r="A770" s="86"/>
      <c r="C770" s="165"/>
      <c r="D770" s="165"/>
      <c r="E770" s="165"/>
      <c r="F770" s="165"/>
      <c r="G770" s="165"/>
    </row>
    <row r="771" spans="1:7">
      <c r="A771" s="86"/>
      <c r="C771" s="165"/>
      <c r="D771" s="165"/>
      <c r="E771" s="165"/>
      <c r="F771" s="165"/>
      <c r="G771" s="165"/>
    </row>
    <row r="772" spans="1:7">
      <c r="A772" s="86"/>
      <c r="C772" s="165"/>
      <c r="D772" s="165"/>
      <c r="E772" s="165"/>
      <c r="F772" s="165"/>
      <c r="G772" s="165"/>
    </row>
    <row r="773" spans="1:7">
      <c r="A773" s="86"/>
      <c r="C773" s="165"/>
      <c r="D773" s="165"/>
      <c r="E773" s="165"/>
      <c r="F773" s="165"/>
      <c r="G773" s="165"/>
    </row>
    <row r="774" spans="1:7">
      <c r="A774" s="86"/>
      <c r="C774" s="165"/>
      <c r="D774" s="165"/>
      <c r="E774" s="165"/>
      <c r="F774" s="165"/>
      <c r="G774" s="165"/>
    </row>
    <row r="775" spans="1:7">
      <c r="A775" s="86"/>
      <c r="C775" s="165"/>
      <c r="D775" s="165"/>
      <c r="E775" s="165"/>
      <c r="F775" s="165"/>
      <c r="G775" s="165"/>
    </row>
    <row r="776" spans="1:7">
      <c r="A776" s="86"/>
      <c r="C776" s="165"/>
      <c r="D776" s="165"/>
      <c r="E776" s="165"/>
      <c r="F776" s="165"/>
      <c r="G776" s="165"/>
    </row>
    <row r="777" spans="1:7">
      <c r="A777" s="86"/>
      <c r="C777" s="165"/>
      <c r="D777" s="165"/>
      <c r="E777" s="165"/>
      <c r="F777" s="165"/>
      <c r="G777" s="165"/>
    </row>
    <row r="778" spans="1:7">
      <c r="A778" s="86"/>
      <c r="C778" s="165"/>
      <c r="D778" s="165"/>
      <c r="E778" s="165"/>
      <c r="F778" s="165"/>
      <c r="G778" s="165"/>
    </row>
    <row r="779" spans="1:7">
      <c r="A779" s="86"/>
      <c r="C779" s="165"/>
      <c r="D779" s="165"/>
      <c r="E779" s="165"/>
      <c r="F779" s="165"/>
      <c r="G779" s="165"/>
    </row>
    <row r="780" spans="1:7">
      <c r="A780" s="86"/>
      <c r="C780" s="165"/>
      <c r="D780" s="165"/>
      <c r="E780" s="165"/>
      <c r="F780" s="165"/>
      <c r="G780" s="165"/>
    </row>
    <row r="781" spans="1:7">
      <c r="A781" s="86"/>
      <c r="C781" s="165"/>
      <c r="D781" s="165"/>
      <c r="E781" s="165"/>
      <c r="F781" s="165"/>
      <c r="G781" s="165"/>
    </row>
    <row r="782" spans="1:7">
      <c r="A782" s="86"/>
      <c r="C782" s="165"/>
      <c r="D782" s="165"/>
      <c r="E782" s="165"/>
      <c r="F782" s="165"/>
      <c r="G782" s="165"/>
    </row>
    <row r="783" spans="1:7">
      <c r="A783" s="86"/>
      <c r="C783" s="165"/>
      <c r="D783" s="165"/>
      <c r="E783" s="165"/>
      <c r="F783" s="165"/>
      <c r="G783" s="165"/>
    </row>
    <row r="784" spans="1:7">
      <c r="A784" s="86"/>
      <c r="C784" s="165"/>
      <c r="D784" s="165"/>
      <c r="E784" s="165"/>
      <c r="F784" s="165"/>
      <c r="G784" s="165"/>
    </row>
    <row r="785" spans="1:7">
      <c r="A785" s="86"/>
      <c r="C785" s="165"/>
      <c r="D785" s="165"/>
      <c r="E785" s="165"/>
      <c r="F785" s="165"/>
      <c r="G785" s="165"/>
    </row>
    <row r="786" spans="1:7">
      <c r="A786" s="86"/>
      <c r="C786" s="165"/>
      <c r="D786" s="165"/>
      <c r="E786" s="165"/>
      <c r="F786" s="165"/>
      <c r="G786" s="165"/>
    </row>
    <row r="787" spans="1:7">
      <c r="A787" s="87"/>
      <c r="C787" s="165"/>
      <c r="D787" s="165"/>
      <c r="E787" s="165"/>
      <c r="F787" s="165"/>
      <c r="G787" s="165"/>
    </row>
    <row r="788" spans="1:7">
      <c r="A788" s="86"/>
      <c r="C788" s="165"/>
      <c r="D788" s="165"/>
      <c r="E788" s="165"/>
      <c r="F788" s="165"/>
      <c r="G788" s="165"/>
    </row>
    <row r="789" spans="1:7">
      <c r="A789" s="86"/>
      <c r="C789" s="165"/>
      <c r="D789" s="165"/>
      <c r="E789" s="165"/>
      <c r="F789" s="165"/>
      <c r="G789" s="165"/>
    </row>
    <row r="790" spans="1:7">
      <c r="A790" s="86"/>
      <c r="C790" s="165"/>
      <c r="D790" s="165"/>
      <c r="E790" s="165"/>
      <c r="F790" s="165"/>
      <c r="G790" s="165"/>
    </row>
    <row r="791" spans="1:7">
      <c r="A791" s="86"/>
      <c r="C791" s="165"/>
      <c r="D791" s="165"/>
      <c r="E791" s="165"/>
      <c r="F791" s="165"/>
      <c r="G791" s="165"/>
    </row>
    <row r="792" spans="1:7">
      <c r="A792" s="86"/>
      <c r="C792" s="165"/>
      <c r="D792" s="165"/>
      <c r="E792" s="165"/>
      <c r="F792" s="165"/>
      <c r="G792" s="165"/>
    </row>
    <row r="793" spans="1:7">
      <c r="A793" s="86"/>
      <c r="C793" s="165"/>
      <c r="D793" s="165"/>
      <c r="E793" s="165"/>
      <c r="F793" s="165"/>
      <c r="G793" s="165"/>
    </row>
    <row r="794" spans="1:7">
      <c r="A794" s="86"/>
      <c r="C794" s="165"/>
      <c r="D794" s="165"/>
      <c r="E794" s="165"/>
      <c r="F794" s="165"/>
      <c r="G794" s="165"/>
    </row>
    <row r="795" spans="1:7">
      <c r="A795" s="86"/>
      <c r="C795" s="165"/>
      <c r="D795" s="165"/>
      <c r="E795" s="165"/>
      <c r="F795" s="165"/>
      <c r="G795" s="165"/>
    </row>
    <row r="796" spans="1:7">
      <c r="A796" s="86"/>
      <c r="C796" s="165"/>
      <c r="D796" s="165"/>
      <c r="E796" s="165"/>
      <c r="F796" s="165"/>
      <c r="G796" s="165"/>
    </row>
    <row r="797" spans="1:7">
      <c r="A797" s="86"/>
      <c r="C797" s="165"/>
      <c r="D797" s="165"/>
      <c r="E797" s="165"/>
      <c r="F797" s="165"/>
      <c r="G797" s="165"/>
    </row>
    <row r="798" spans="1:7">
      <c r="A798" s="86"/>
      <c r="C798" s="165"/>
      <c r="D798" s="165"/>
      <c r="E798" s="165"/>
      <c r="F798" s="165"/>
      <c r="G798" s="165"/>
    </row>
    <row r="799" spans="1:7">
      <c r="A799" s="86"/>
      <c r="C799" s="165"/>
      <c r="D799" s="165"/>
      <c r="E799" s="165"/>
      <c r="F799" s="165"/>
      <c r="G799" s="165"/>
    </row>
    <row r="800" spans="1:7">
      <c r="A800" s="86"/>
      <c r="C800" s="165"/>
      <c r="D800" s="165"/>
      <c r="E800" s="165"/>
      <c r="F800" s="165"/>
      <c r="G800" s="165"/>
    </row>
    <row r="801" spans="1:7">
      <c r="A801" s="86"/>
      <c r="C801" s="165"/>
      <c r="D801" s="165"/>
      <c r="E801" s="165"/>
      <c r="F801" s="165"/>
      <c r="G801" s="165"/>
    </row>
    <row r="802" spans="1:7">
      <c r="A802" s="86"/>
      <c r="C802" s="165"/>
      <c r="D802" s="165"/>
      <c r="E802" s="165"/>
      <c r="F802" s="165"/>
      <c r="G802" s="165"/>
    </row>
    <row r="803" spans="1:7">
      <c r="A803" s="86"/>
      <c r="C803" s="165"/>
      <c r="D803" s="165"/>
      <c r="E803" s="165"/>
      <c r="F803" s="165"/>
      <c r="G803" s="165"/>
    </row>
    <row r="804" spans="1:7">
      <c r="A804" s="86"/>
      <c r="C804" s="165"/>
      <c r="D804" s="165"/>
      <c r="E804" s="165"/>
      <c r="F804" s="165"/>
      <c r="G804" s="165"/>
    </row>
    <row r="805" spans="1:7">
      <c r="A805" s="86"/>
      <c r="C805" s="165"/>
      <c r="D805" s="165"/>
      <c r="E805" s="165"/>
      <c r="F805" s="165"/>
      <c r="G805" s="165"/>
    </row>
    <row r="806" spans="1:7">
      <c r="A806" s="86"/>
      <c r="C806" s="165"/>
      <c r="D806" s="165"/>
      <c r="E806" s="165"/>
      <c r="F806" s="165"/>
      <c r="G806" s="165"/>
    </row>
    <row r="807" spans="1:7">
      <c r="A807" s="86"/>
      <c r="C807" s="165"/>
      <c r="D807" s="165"/>
      <c r="E807" s="165"/>
      <c r="F807" s="165"/>
      <c r="G807" s="165"/>
    </row>
  </sheetData>
  <mergeCells count="3">
    <mergeCell ref="O2:T3"/>
    <mergeCell ref="U2:Z3"/>
    <mergeCell ref="AA2:AA3"/>
  </mergeCells>
  <phoneticPr fontId="1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F54B-9C5C-4275-A732-72E63D1650F7}">
  <dimension ref="A1:BC786"/>
  <sheetViews>
    <sheetView workbookViewId="0">
      <selection activeCell="V41" sqref="V41"/>
    </sheetView>
  </sheetViews>
  <sheetFormatPr defaultRowHeight="18"/>
  <cols>
    <col min="1" max="1" width="6.75" style="54" bestFit="1" customWidth="1"/>
    <col min="2" max="2" width="9.375" style="82" bestFit="1" customWidth="1"/>
    <col min="3" max="3" width="10.625" style="77" bestFit="1" customWidth="1"/>
    <col min="4" max="4" width="3.25" style="38" customWidth="1"/>
    <col min="5" max="5" width="6.875" style="38" bestFit="1" customWidth="1"/>
    <col min="6" max="6" width="5.75" style="38" bestFit="1" customWidth="1"/>
    <col min="7" max="7" width="15.625" style="38" customWidth="1"/>
    <col min="8" max="8" width="2.75" style="38" customWidth="1"/>
    <col min="9" max="9" width="6.875" style="38" bestFit="1" customWidth="1"/>
    <col min="10" max="10" width="5.125" style="38" bestFit="1" customWidth="1"/>
    <col min="11" max="11" width="10.625" style="163" bestFit="1" customWidth="1"/>
    <col min="12" max="12" width="2.875" style="38" customWidth="1"/>
    <col min="13" max="13" width="6.875" style="38" bestFit="1" customWidth="1"/>
    <col min="14" max="14" width="6.25" style="38" bestFit="1" customWidth="1"/>
    <col min="15" max="15" width="10.625" style="165" bestFit="1" customWidth="1"/>
    <col min="16" max="16" width="3.125" style="38" customWidth="1"/>
    <col min="17" max="17" width="6.875" style="38" bestFit="1" customWidth="1"/>
    <col min="18" max="18" width="6.25" style="38" bestFit="1" customWidth="1"/>
    <col min="19" max="19" width="9.25" style="38" bestFit="1" customWidth="1"/>
    <col min="20" max="20" width="3.75" customWidth="1"/>
    <col min="21" max="21" width="13" customWidth="1"/>
    <col min="22" max="22" width="9.75" bestFit="1" customWidth="1"/>
    <col min="23" max="23" width="8.875" customWidth="1"/>
    <col min="24" max="24" width="14.125" bestFit="1" customWidth="1"/>
    <col min="25" max="25" width="16.375" bestFit="1" customWidth="1"/>
    <col min="26" max="26" width="14.125" bestFit="1" customWidth="1"/>
    <col min="27" max="27" width="18" customWidth="1"/>
    <col min="28" max="28" width="5.5" customWidth="1"/>
    <col min="29" max="29" width="6.75" style="54" bestFit="1" customWidth="1"/>
    <col min="30" max="30" width="9.375" style="82" bestFit="1" customWidth="1"/>
    <col min="31" max="31" width="10.625" style="77" bestFit="1" customWidth="1"/>
    <col min="32" max="32" width="5.5" customWidth="1"/>
    <col min="33" max="33" width="6.75" style="54" bestFit="1" customWidth="1"/>
    <col min="34" max="34" width="9.375" style="82" bestFit="1" customWidth="1"/>
    <col min="35" max="35" width="10.625" style="77" bestFit="1" customWidth="1"/>
    <col min="36" max="36" width="5.5" customWidth="1"/>
    <col min="37" max="37" width="6.75" style="54" bestFit="1" customWidth="1"/>
    <col min="38" max="38" width="9.375" style="82" bestFit="1" customWidth="1"/>
    <col min="39" max="39" width="10.625" style="77" bestFit="1" customWidth="1"/>
    <col min="40" max="40" width="5.5" customWidth="1"/>
    <col min="41" max="41" width="6.75" style="54" bestFit="1" customWidth="1"/>
    <col min="42" max="42" width="9.375" style="82" bestFit="1" customWidth="1"/>
    <col min="43" max="43" width="10.625" style="77" bestFit="1" customWidth="1"/>
    <col min="44" max="44" width="5.5" customWidth="1"/>
    <col min="45" max="45" width="6.75" style="54" bestFit="1" customWidth="1"/>
    <col min="46" max="46" width="9.375" style="82" bestFit="1" customWidth="1"/>
    <col min="47" max="47" width="10.625" style="77" bestFit="1" customWidth="1"/>
    <col min="48" max="48" width="5.5" customWidth="1"/>
    <col min="49" max="49" width="6.75" style="54" bestFit="1" customWidth="1"/>
    <col min="50" max="50" width="9.375" style="82" bestFit="1" customWidth="1"/>
    <col min="51" max="51" width="10.625" style="77" bestFit="1" customWidth="1"/>
    <col min="52" max="52" width="5.5" customWidth="1"/>
    <col min="53" max="53" width="6.75" style="54" bestFit="1" customWidth="1"/>
    <col min="54" max="54" width="9.375" style="82" bestFit="1" customWidth="1"/>
    <col min="55" max="55" width="10.625" style="77" bestFit="1" customWidth="1"/>
  </cols>
  <sheetData>
    <row r="1" spans="1:55">
      <c r="A1" s="199" t="s">
        <v>2112</v>
      </c>
      <c r="B1" s="199"/>
      <c r="C1" s="199"/>
      <c r="D1" s="199"/>
      <c r="AC1" s="81"/>
      <c r="AD1" s="85" t="s">
        <v>2112</v>
      </c>
      <c r="AE1" s="80"/>
      <c r="AG1" s="81"/>
      <c r="AH1" s="85" t="s">
        <v>2108</v>
      </c>
      <c r="AI1" s="80"/>
      <c r="AK1" s="81"/>
      <c r="AL1" s="85" t="s">
        <v>2110</v>
      </c>
      <c r="AM1" s="80"/>
      <c r="AO1" s="81"/>
      <c r="AP1" s="85" t="s">
        <v>2110</v>
      </c>
      <c r="AQ1" s="80"/>
      <c r="AS1" s="81"/>
      <c r="AT1" s="85" t="s">
        <v>2111</v>
      </c>
      <c r="AU1" s="80"/>
      <c r="AW1" s="81"/>
      <c r="AX1" s="80" t="s">
        <v>2109</v>
      </c>
      <c r="AY1" s="80"/>
      <c r="BA1" s="81"/>
      <c r="BB1" s="80"/>
      <c r="BC1" s="80"/>
    </row>
    <row r="2" spans="1:55">
      <c r="A2" s="199"/>
      <c r="B2" s="199"/>
      <c r="C2" s="199"/>
      <c r="D2" s="199"/>
      <c r="AC2" s="52"/>
      <c r="AD2" s="76"/>
      <c r="AE2" s="76"/>
      <c r="AG2" s="52"/>
      <c r="AH2" s="76"/>
      <c r="AI2" s="76"/>
      <c r="AK2" s="52"/>
      <c r="AL2" s="76"/>
      <c r="AM2" s="76"/>
      <c r="AO2" s="52"/>
      <c r="AP2" s="76"/>
      <c r="AQ2" s="76"/>
      <c r="AS2" s="52"/>
      <c r="AT2" s="76"/>
      <c r="AU2" s="76"/>
      <c r="AW2" s="52"/>
      <c r="AX2" s="76"/>
      <c r="AY2" s="76"/>
      <c r="BA2" s="52"/>
      <c r="BB2" s="76"/>
      <c r="BC2" s="76"/>
    </row>
    <row r="3" spans="1:55">
      <c r="A3" s="117"/>
      <c r="B3" s="85" t="s">
        <v>2108</v>
      </c>
      <c r="C3" s="126">
        <v>100</v>
      </c>
      <c r="E3" s="118" t="s">
        <v>2185</v>
      </c>
      <c r="F3" s="85" t="s">
        <v>2182</v>
      </c>
      <c r="G3" s="124">
        <v>1.2</v>
      </c>
      <c r="I3" s="119" t="s">
        <v>2239</v>
      </c>
      <c r="J3" s="85" t="s">
        <v>2109</v>
      </c>
      <c r="K3" s="124">
        <v>1.4</v>
      </c>
      <c r="M3" s="121" t="s">
        <v>2240</v>
      </c>
      <c r="N3" s="85" t="s">
        <v>2181</v>
      </c>
      <c r="O3" s="124">
        <v>1.7</v>
      </c>
      <c r="Q3" s="123" t="s">
        <v>2241</v>
      </c>
      <c r="R3" s="85" t="s">
        <v>2212</v>
      </c>
      <c r="S3" s="124">
        <v>2.1</v>
      </c>
      <c r="AC3" s="52"/>
      <c r="AD3" s="76"/>
      <c r="AE3" s="76"/>
      <c r="AG3" s="52"/>
      <c r="AH3" s="76"/>
      <c r="AI3" s="76"/>
      <c r="AK3" s="52"/>
      <c r="AL3" s="76"/>
      <c r="AM3" s="76"/>
      <c r="AO3" s="52"/>
      <c r="AP3" s="76"/>
      <c r="AQ3" s="76"/>
      <c r="AS3" s="52"/>
      <c r="AT3" s="76"/>
      <c r="AU3" s="76"/>
      <c r="AW3" s="52"/>
      <c r="AX3" s="76"/>
      <c r="AY3" s="76"/>
      <c r="BA3" s="52"/>
      <c r="BB3" s="76"/>
      <c r="BC3" s="76"/>
    </row>
    <row r="4" spans="1:55">
      <c r="A4" s="52"/>
      <c r="B4" s="76"/>
      <c r="C4" s="76"/>
      <c r="AC4" s="52"/>
      <c r="AD4" s="76"/>
      <c r="AE4" s="76"/>
      <c r="AG4" s="52"/>
      <c r="AH4" s="76"/>
      <c r="AI4" s="76"/>
      <c r="AK4" s="52"/>
      <c r="AL4" s="76"/>
      <c r="AM4" s="76"/>
      <c r="AO4" s="52"/>
      <c r="AP4" s="76"/>
      <c r="AQ4" s="76"/>
      <c r="AS4" s="52"/>
      <c r="AT4" s="76"/>
      <c r="AU4" s="76"/>
      <c r="AW4" s="52"/>
      <c r="AX4" s="76"/>
      <c r="AY4" s="76"/>
      <c r="BA4" s="52"/>
      <c r="BB4" s="76"/>
      <c r="BC4" s="76"/>
    </row>
    <row r="5" spans="1:55">
      <c r="A5" s="52"/>
      <c r="B5" s="76"/>
      <c r="C5" s="76"/>
      <c r="E5" s="147"/>
      <c r="I5" s="147"/>
      <c r="U5" s="195" t="s">
        <v>2192</v>
      </c>
      <c r="V5" s="195"/>
      <c r="W5" s="195"/>
      <c r="X5" s="195"/>
      <c r="Y5" s="195"/>
      <c r="Z5" s="195"/>
      <c r="AC5" s="54">
        <v>1</v>
      </c>
      <c r="AD5" s="82" t="s">
        <v>2106</v>
      </c>
      <c r="AE5" s="77">
        <v>100</v>
      </c>
      <c r="AG5" s="54">
        <v>1</v>
      </c>
      <c r="AH5" s="82" t="s">
        <v>2106</v>
      </c>
      <c r="AI5" s="77">
        <v>200</v>
      </c>
      <c r="AK5" s="54">
        <v>1</v>
      </c>
      <c r="AL5" s="82">
        <v>8.5</v>
      </c>
      <c r="AM5" s="77">
        <v>300</v>
      </c>
      <c r="AO5" s="54">
        <v>1</v>
      </c>
      <c r="AP5" s="82">
        <v>9</v>
      </c>
      <c r="AQ5" s="77">
        <v>325</v>
      </c>
      <c r="AS5" s="54">
        <v>1</v>
      </c>
      <c r="AT5" s="82">
        <v>9.5</v>
      </c>
      <c r="AU5" s="77">
        <v>350</v>
      </c>
      <c r="AW5" s="54">
        <v>1</v>
      </c>
      <c r="AX5" s="82">
        <v>10</v>
      </c>
      <c r="AY5" s="77">
        <v>450</v>
      </c>
      <c r="BA5" s="54">
        <v>1</v>
      </c>
      <c r="BB5" s="82" t="s">
        <v>2106</v>
      </c>
      <c r="BC5" s="77">
        <v>260</v>
      </c>
    </row>
    <row r="6" spans="1:55">
      <c r="A6" s="52"/>
      <c r="B6" s="76"/>
      <c r="C6" s="76"/>
      <c r="U6" s="195"/>
      <c r="V6" s="195"/>
      <c r="W6" s="195"/>
      <c r="X6" s="195"/>
      <c r="Y6" s="195"/>
      <c r="Z6" s="195"/>
      <c r="AC6" s="54">
        <v>2</v>
      </c>
      <c r="AD6" s="82" t="s">
        <v>2106</v>
      </c>
      <c r="AE6" s="77">
        <f>AE5+AD6</f>
        <v>108</v>
      </c>
      <c r="AG6" s="54">
        <v>2</v>
      </c>
      <c r="AH6" s="82" t="s">
        <v>2106</v>
      </c>
      <c r="AI6" s="77">
        <f>AI5+AH6</f>
        <v>208</v>
      </c>
      <c r="AK6" s="54">
        <v>2</v>
      </c>
      <c r="AL6" s="82">
        <v>8.5</v>
      </c>
      <c r="AM6" s="77">
        <f>AM5+AL6</f>
        <v>308.5</v>
      </c>
      <c r="AO6" s="54">
        <v>2</v>
      </c>
      <c r="AP6" s="82">
        <v>9</v>
      </c>
      <c r="AQ6" s="77">
        <f>AQ5+AP6</f>
        <v>334</v>
      </c>
      <c r="AS6" s="54">
        <v>2</v>
      </c>
      <c r="AT6" s="82">
        <v>9.5</v>
      </c>
      <c r="AU6" s="77">
        <f>AU5+AT6</f>
        <v>359.5</v>
      </c>
      <c r="AW6" s="54">
        <v>2</v>
      </c>
      <c r="AX6" s="82">
        <v>10</v>
      </c>
      <c r="AY6" s="77">
        <f>AY5+AX6</f>
        <v>460</v>
      </c>
      <c r="BA6" s="54">
        <v>2</v>
      </c>
      <c r="BB6" s="82" t="s">
        <v>2106</v>
      </c>
      <c r="BC6" s="77">
        <f>BC5+BB6</f>
        <v>268</v>
      </c>
    </row>
    <row r="7" spans="1:55">
      <c r="A7" s="54">
        <v>1</v>
      </c>
      <c r="B7" s="82">
        <v>5</v>
      </c>
      <c r="C7" s="134">
        <v>100</v>
      </c>
      <c r="E7" s="118" t="s">
        <v>2185</v>
      </c>
      <c r="G7" s="149">
        <f>C7*E7</f>
        <v>130</v>
      </c>
      <c r="I7" s="119" t="s">
        <v>2239</v>
      </c>
      <c r="K7" s="164">
        <f>C7*I7</f>
        <v>170</v>
      </c>
      <c r="M7" s="121" t="s">
        <v>2240</v>
      </c>
      <c r="O7" s="166">
        <f>C7*M7</f>
        <v>220</v>
      </c>
      <c r="Q7" s="123" t="s">
        <v>2241</v>
      </c>
      <c r="S7" s="131">
        <f>C7*Q7</f>
        <v>280</v>
      </c>
      <c r="U7" s="41" t="s">
        <v>2191</v>
      </c>
      <c r="V7" s="41" t="s">
        <v>2216</v>
      </c>
      <c r="W7" s="41" t="s">
        <v>2217</v>
      </c>
      <c r="X7" s="135" t="s">
        <v>2193</v>
      </c>
      <c r="Y7" s="146" t="s">
        <v>2194</v>
      </c>
      <c r="Z7" s="41" t="s">
        <v>2195</v>
      </c>
      <c r="AA7">
        <v>140</v>
      </c>
      <c r="AC7" s="54">
        <v>3</v>
      </c>
      <c r="AD7" s="82" t="s">
        <v>2106</v>
      </c>
      <c r="AE7" s="77">
        <f>AE6+AD7</f>
        <v>116</v>
      </c>
      <c r="AG7" s="54">
        <v>3</v>
      </c>
      <c r="AH7" s="82" t="s">
        <v>2106</v>
      </c>
      <c r="AI7" s="77">
        <f>AI6+AH7</f>
        <v>216</v>
      </c>
      <c r="AK7" s="54">
        <v>3</v>
      </c>
      <c r="AL7" s="82">
        <v>8.5</v>
      </c>
      <c r="AM7" s="77">
        <f>AM6+AL7</f>
        <v>317</v>
      </c>
      <c r="AO7" s="54">
        <v>3</v>
      </c>
      <c r="AP7" s="82">
        <v>9</v>
      </c>
      <c r="AQ7" s="77">
        <f>AQ6+AP7</f>
        <v>343</v>
      </c>
      <c r="AS7" s="54">
        <v>3</v>
      </c>
      <c r="AT7" s="82">
        <v>9.5</v>
      </c>
      <c r="AU7" s="77">
        <f>AU6+AT7</f>
        <v>369</v>
      </c>
      <c r="AW7" s="54">
        <v>3</v>
      </c>
      <c r="AX7" s="82">
        <v>10</v>
      </c>
      <c r="AY7" s="77">
        <f>AY6+AX7</f>
        <v>470</v>
      </c>
      <c r="BA7" s="54">
        <v>3</v>
      </c>
      <c r="BB7" s="82" t="s">
        <v>2106</v>
      </c>
      <c r="BC7" s="77">
        <f>BC6+BB7</f>
        <v>276</v>
      </c>
    </row>
    <row r="8" spans="1:55">
      <c r="A8" s="54">
        <v>2</v>
      </c>
      <c r="B8" s="82">
        <v>5</v>
      </c>
      <c r="C8" s="78">
        <f t="shared" ref="C8:C39" si="0">C7+B8</f>
        <v>105</v>
      </c>
      <c r="E8" s="129">
        <f>G3</f>
        <v>1.2</v>
      </c>
      <c r="F8" s="38">
        <f>B8*E8</f>
        <v>6</v>
      </c>
      <c r="G8" s="162">
        <f>G7+F8</f>
        <v>136</v>
      </c>
      <c r="I8" s="129">
        <f>K3</f>
        <v>1.4</v>
      </c>
      <c r="J8" s="38">
        <f>B8*I8</f>
        <v>7</v>
      </c>
      <c r="K8" s="164">
        <f>K7+J8</f>
        <v>177</v>
      </c>
      <c r="M8" s="129">
        <f>O3</f>
        <v>1.7</v>
      </c>
      <c r="N8" s="38">
        <f>B8*M8</f>
        <v>8.5</v>
      </c>
      <c r="O8" s="166">
        <f>O7+N8</f>
        <v>228.5</v>
      </c>
      <c r="Q8" s="129">
        <f>S3</f>
        <v>2.1</v>
      </c>
      <c r="R8" s="38">
        <f>B8*Q8</f>
        <v>10.5</v>
      </c>
      <c r="S8" s="131">
        <f>S7+R8</f>
        <v>290.5</v>
      </c>
      <c r="U8" s="138" t="s">
        <v>2205</v>
      </c>
      <c r="V8" s="138" t="s">
        <v>2210</v>
      </c>
      <c r="W8" s="139" t="s">
        <v>2108</v>
      </c>
      <c r="X8" s="139" t="s">
        <v>2201</v>
      </c>
      <c r="Y8" s="139" t="s">
        <v>2201</v>
      </c>
      <c r="Z8" s="139" t="s">
        <v>2200</v>
      </c>
      <c r="AA8">
        <f>AA7+J8</f>
        <v>147</v>
      </c>
      <c r="AC8" s="54">
        <v>4</v>
      </c>
      <c r="AD8" s="82" t="s">
        <v>2106</v>
      </c>
      <c r="AE8" s="77">
        <f>AE7+AD8</f>
        <v>124</v>
      </c>
      <c r="AG8" s="54">
        <v>4</v>
      </c>
      <c r="AH8" s="82" t="s">
        <v>2106</v>
      </c>
      <c r="AI8" s="77">
        <f>AI7+AH8</f>
        <v>224</v>
      </c>
      <c r="AK8" s="54">
        <v>4</v>
      </c>
      <c r="AL8" s="82">
        <v>8.5</v>
      </c>
      <c r="AM8" s="77">
        <f>AM7+AL8</f>
        <v>325.5</v>
      </c>
      <c r="AO8" s="54">
        <v>4</v>
      </c>
      <c r="AP8" s="82">
        <v>9</v>
      </c>
      <c r="AQ8" s="77">
        <f>AQ7+AP8</f>
        <v>352</v>
      </c>
      <c r="AS8" s="54">
        <v>4</v>
      </c>
      <c r="AT8" s="82">
        <v>9.5</v>
      </c>
      <c r="AU8" s="77">
        <f>AU7+AT8</f>
        <v>378.5</v>
      </c>
      <c r="AW8" s="54">
        <v>4</v>
      </c>
      <c r="AX8" s="82">
        <v>10</v>
      </c>
      <c r="AY8" s="77">
        <f>AY7+AX8</f>
        <v>480</v>
      </c>
      <c r="BA8" s="54">
        <v>4</v>
      </c>
      <c r="BB8" s="82" t="s">
        <v>2106</v>
      </c>
      <c r="BC8" s="77">
        <f>BC7+BB8</f>
        <v>284</v>
      </c>
    </row>
    <row r="9" spans="1:55">
      <c r="A9" s="54">
        <v>3</v>
      </c>
      <c r="B9" s="82">
        <v>5</v>
      </c>
      <c r="C9" s="78">
        <f t="shared" si="0"/>
        <v>110</v>
      </c>
      <c r="E9" s="129">
        <f>E8</f>
        <v>1.2</v>
      </c>
      <c r="F9" s="38">
        <f t="shared" ref="F9:F72" si="1">B9*E9</f>
        <v>6</v>
      </c>
      <c r="G9" s="162">
        <f>G8+F9</f>
        <v>142</v>
      </c>
      <c r="I9" s="129">
        <f>I8</f>
        <v>1.4</v>
      </c>
      <c r="J9" s="38">
        <f t="shared" ref="J9:J72" si="2">B9*I9</f>
        <v>7</v>
      </c>
      <c r="K9" s="164">
        <f t="shared" ref="K9:K72" si="3">K8+J9</f>
        <v>184</v>
      </c>
      <c r="M9" s="129">
        <f>M8</f>
        <v>1.7</v>
      </c>
      <c r="N9" s="38">
        <f t="shared" ref="N9:N72" si="4">B9*M9</f>
        <v>8.5</v>
      </c>
      <c r="O9" s="166">
        <f t="shared" ref="O9:O72" si="5">O8+N9</f>
        <v>237</v>
      </c>
      <c r="Q9" s="129">
        <f>Q8</f>
        <v>2.1</v>
      </c>
      <c r="R9" s="38">
        <f t="shared" ref="R9:R72" si="6">B9*Q9</f>
        <v>10.5</v>
      </c>
      <c r="S9" s="131">
        <f t="shared" ref="S9:S72" si="7">S8+R9</f>
        <v>301</v>
      </c>
      <c r="U9" s="140" t="s">
        <v>2206</v>
      </c>
      <c r="V9" s="140" t="s">
        <v>2211</v>
      </c>
      <c r="W9" s="141" t="s">
        <v>2182</v>
      </c>
      <c r="X9" s="141" t="s">
        <v>2218</v>
      </c>
      <c r="Y9" s="141" t="s">
        <v>2224</v>
      </c>
      <c r="Z9" s="141" t="s">
        <v>2196</v>
      </c>
      <c r="AA9">
        <f t="shared" ref="AA9:AA72" si="8">AA8+J9</f>
        <v>154</v>
      </c>
      <c r="AC9" s="54">
        <v>5</v>
      </c>
      <c r="AD9" s="82" t="s">
        <v>2106</v>
      </c>
      <c r="AE9" s="77">
        <f t="shared" ref="AE9:AE22" si="9">AE8+AD9</f>
        <v>132</v>
      </c>
      <c r="AG9" s="54">
        <v>5</v>
      </c>
      <c r="AH9" s="82" t="s">
        <v>2106</v>
      </c>
      <c r="AI9" s="77">
        <f t="shared" ref="AI9:AI22" si="10">AI8+AH9</f>
        <v>232</v>
      </c>
      <c r="AK9" s="54">
        <v>5</v>
      </c>
      <c r="AL9" s="82">
        <v>8.5</v>
      </c>
      <c r="AM9" s="77">
        <f t="shared" ref="AM9:AM22" si="11">AM8+AL9</f>
        <v>334</v>
      </c>
      <c r="AO9" s="54">
        <v>5</v>
      </c>
      <c r="AP9" s="82">
        <v>9</v>
      </c>
      <c r="AQ9" s="77">
        <f t="shared" ref="AQ9:AQ22" si="12">AQ8+AP9</f>
        <v>361</v>
      </c>
      <c r="AS9" s="54">
        <v>5</v>
      </c>
      <c r="AT9" s="82">
        <v>9.5</v>
      </c>
      <c r="AU9" s="77">
        <f t="shared" ref="AU9:AU22" si="13">AU8+AT9</f>
        <v>388</v>
      </c>
      <c r="AW9" s="54">
        <v>5</v>
      </c>
      <c r="AX9" s="82">
        <v>10</v>
      </c>
      <c r="AY9" s="77">
        <f t="shared" ref="AY9:AY22" si="14">AY8+AX9</f>
        <v>490</v>
      </c>
      <c r="BA9" s="54">
        <v>5</v>
      </c>
      <c r="BB9" s="82" t="s">
        <v>2106</v>
      </c>
      <c r="BC9" s="77">
        <f t="shared" ref="BC9:BC22" si="15">BC8+BB9</f>
        <v>292</v>
      </c>
    </row>
    <row r="10" spans="1:55">
      <c r="A10" s="54">
        <v>4</v>
      </c>
      <c r="B10" s="82">
        <v>5</v>
      </c>
      <c r="C10" s="78">
        <f t="shared" si="0"/>
        <v>115</v>
      </c>
      <c r="E10" s="129">
        <f t="shared" ref="E10:E73" si="16">E9</f>
        <v>1.2</v>
      </c>
      <c r="F10" s="38">
        <f t="shared" si="1"/>
        <v>6</v>
      </c>
      <c r="G10" s="162">
        <f t="shared" ref="G10:G72" si="17">G9+F10</f>
        <v>148</v>
      </c>
      <c r="I10" s="129">
        <f t="shared" ref="I10:I73" si="18">I9</f>
        <v>1.4</v>
      </c>
      <c r="J10" s="38">
        <f t="shared" si="2"/>
        <v>7</v>
      </c>
      <c r="K10" s="164">
        <f t="shared" si="3"/>
        <v>191</v>
      </c>
      <c r="M10" s="129">
        <f t="shared" ref="M10:M73" si="19">M9</f>
        <v>1.7</v>
      </c>
      <c r="N10" s="38">
        <f t="shared" si="4"/>
        <v>8.5</v>
      </c>
      <c r="O10" s="166">
        <f t="shared" si="5"/>
        <v>245.5</v>
      </c>
      <c r="Q10" s="129">
        <f t="shared" ref="Q10:Q73" si="20">Q9</f>
        <v>2.1</v>
      </c>
      <c r="R10" s="38">
        <f t="shared" si="6"/>
        <v>10.5</v>
      </c>
      <c r="S10" s="131">
        <f t="shared" si="7"/>
        <v>311.5</v>
      </c>
      <c r="U10" s="142" t="s">
        <v>2207</v>
      </c>
      <c r="V10" s="142" t="s">
        <v>2213</v>
      </c>
      <c r="W10" s="143" t="s">
        <v>2202</v>
      </c>
      <c r="X10" s="143" t="s">
        <v>2219</v>
      </c>
      <c r="Y10" s="143" t="s">
        <v>2225</v>
      </c>
      <c r="Z10" s="143" t="s">
        <v>2199</v>
      </c>
      <c r="AA10">
        <f t="shared" si="8"/>
        <v>161</v>
      </c>
      <c r="AC10" s="54">
        <v>6</v>
      </c>
      <c r="AD10" s="82" t="s">
        <v>2106</v>
      </c>
      <c r="AE10" s="77">
        <f t="shared" si="9"/>
        <v>140</v>
      </c>
      <c r="AG10" s="54">
        <v>6</v>
      </c>
      <c r="AH10" s="82" t="s">
        <v>2106</v>
      </c>
      <c r="AI10" s="77">
        <f t="shared" si="10"/>
        <v>240</v>
      </c>
      <c r="AK10" s="54">
        <v>6</v>
      </c>
      <c r="AL10" s="82">
        <v>8.5</v>
      </c>
      <c r="AM10" s="77">
        <f t="shared" si="11"/>
        <v>342.5</v>
      </c>
      <c r="AO10" s="54">
        <v>6</v>
      </c>
      <c r="AP10" s="82">
        <v>9</v>
      </c>
      <c r="AQ10" s="77">
        <f t="shared" si="12"/>
        <v>370</v>
      </c>
      <c r="AS10" s="54">
        <v>6</v>
      </c>
      <c r="AT10" s="82">
        <v>9.5</v>
      </c>
      <c r="AU10" s="77">
        <f t="shared" si="13"/>
        <v>397.5</v>
      </c>
      <c r="AW10" s="54">
        <v>6</v>
      </c>
      <c r="AX10" s="82">
        <v>10</v>
      </c>
      <c r="AY10" s="77">
        <f t="shared" si="14"/>
        <v>500</v>
      </c>
      <c r="BA10" s="54">
        <v>6</v>
      </c>
      <c r="BB10" s="82" t="s">
        <v>2106</v>
      </c>
      <c r="BC10" s="77">
        <f t="shared" si="15"/>
        <v>300</v>
      </c>
    </row>
    <row r="11" spans="1:55">
      <c r="A11" s="54">
        <v>5</v>
      </c>
      <c r="B11" s="82">
        <v>5</v>
      </c>
      <c r="C11" s="78">
        <f t="shared" si="0"/>
        <v>120</v>
      </c>
      <c r="E11" s="129">
        <f t="shared" si="16"/>
        <v>1.2</v>
      </c>
      <c r="F11" s="38">
        <f t="shared" si="1"/>
        <v>6</v>
      </c>
      <c r="G11" s="162">
        <f t="shared" si="17"/>
        <v>154</v>
      </c>
      <c r="I11" s="129">
        <f t="shared" si="18"/>
        <v>1.4</v>
      </c>
      <c r="J11" s="38">
        <f t="shared" si="2"/>
        <v>7</v>
      </c>
      <c r="K11" s="164">
        <f t="shared" si="3"/>
        <v>198</v>
      </c>
      <c r="M11" s="129">
        <f t="shared" si="19"/>
        <v>1.7</v>
      </c>
      <c r="N11" s="38">
        <f t="shared" si="4"/>
        <v>8.5</v>
      </c>
      <c r="O11" s="166">
        <f t="shared" si="5"/>
        <v>254</v>
      </c>
      <c r="Q11" s="129">
        <f t="shared" si="20"/>
        <v>2.1</v>
      </c>
      <c r="R11" s="38">
        <f t="shared" si="6"/>
        <v>10.5</v>
      </c>
      <c r="S11" s="131">
        <f t="shared" si="7"/>
        <v>322</v>
      </c>
      <c r="U11" s="144" t="s">
        <v>2208</v>
      </c>
      <c r="V11" s="144" t="s">
        <v>2214</v>
      </c>
      <c r="W11" s="145" t="s">
        <v>2203</v>
      </c>
      <c r="X11" s="145" t="s">
        <v>2220</v>
      </c>
      <c r="Y11" s="145" t="s">
        <v>2223</v>
      </c>
      <c r="Z11" s="145" t="s">
        <v>2197</v>
      </c>
      <c r="AA11">
        <f t="shared" si="8"/>
        <v>168</v>
      </c>
      <c r="AC11" s="54">
        <v>7</v>
      </c>
      <c r="AD11" s="82" t="s">
        <v>2106</v>
      </c>
      <c r="AE11" s="77">
        <f t="shared" si="9"/>
        <v>148</v>
      </c>
      <c r="AG11" s="54">
        <v>7</v>
      </c>
      <c r="AH11" s="82" t="s">
        <v>2106</v>
      </c>
      <c r="AI11" s="77">
        <f t="shared" si="10"/>
        <v>248</v>
      </c>
      <c r="AK11" s="54">
        <v>7</v>
      </c>
      <c r="AL11" s="82">
        <v>8.5</v>
      </c>
      <c r="AM11" s="77">
        <f t="shared" si="11"/>
        <v>351</v>
      </c>
      <c r="AO11" s="54">
        <v>7</v>
      </c>
      <c r="AP11" s="82">
        <v>9</v>
      </c>
      <c r="AQ11" s="77">
        <f t="shared" si="12"/>
        <v>379</v>
      </c>
      <c r="AS11" s="54">
        <v>7</v>
      </c>
      <c r="AT11" s="82">
        <v>9.5</v>
      </c>
      <c r="AU11" s="77">
        <f t="shared" si="13"/>
        <v>407</v>
      </c>
      <c r="AW11" s="54">
        <v>7</v>
      </c>
      <c r="AX11" s="82">
        <v>10</v>
      </c>
      <c r="AY11" s="77">
        <f t="shared" si="14"/>
        <v>510</v>
      </c>
      <c r="BA11" s="54">
        <v>7</v>
      </c>
      <c r="BB11" s="82" t="s">
        <v>2106</v>
      </c>
      <c r="BC11" s="77">
        <f t="shared" si="15"/>
        <v>308</v>
      </c>
    </row>
    <row r="12" spans="1:55">
      <c r="A12" s="54">
        <v>6</v>
      </c>
      <c r="B12" s="82">
        <v>5</v>
      </c>
      <c r="C12" s="78">
        <f t="shared" si="0"/>
        <v>125</v>
      </c>
      <c r="E12" s="129">
        <f t="shared" si="16"/>
        <v>1.2</v>
      </c>
      <c r="F12" s="38">
        <f t="shared" si="1"/>
        <v>6</v>
      </c>
      <c r="G12" s="162">
        <f t="shared" si="17"/>
        <v>160</v>
      </c>
      <c r="I12" s="129">
        <f t="shared" si="18"/>
        <v>1.4</v>
      </c>
      <c r="J12" s="38">
        <f t="shared" si="2"/>
        <v>7</v>
      </c>
      <c r="K12" s="164">
        <f t="shared" si="3"/>
        <v>205</v>
      </c>
      <c r="M12" s="129">
        <f t="shared" si="19"/>
        <v>1.7</v>
      </c>
      <c r="N12" s="38">
        <f t="shared" si="4"/>
        <v>8.5</v>
      </c>
      <c r="O12" s="166">
        <f t="shared" si="5"/>
        <v>262.5</v>
      </c>
      <c r="Q12" s="129">
        <f t="shared" si="20"/>
        <v>2.1</v>
      </c>
      <c r="R12" s="38">
        <f t="shared" si="6"/>
        <v>10.5</v>
      </c>
      <c r="S12" s="131">
        <f t="shared" si="7"/>
        <v>332.5</v>
      </c>
      <c r="U12" s="137" t="s">
        <v>2209</v>
      </c>
      <c r="V12" s="137" t="s">
        <v>2215</v>
      </c>
      <c r="W12" s="136" t="s">
        <v>2204</v>
      </c>
      <c r="X12" s="136" t="s">
        <v>2221</v>
      </c>
      <c r="Y12" s="136" t="s">
        <v>2222</v>
      </c>
      <c r="Z12" s="136" t="s">
        <v>2198</v>
      </c>
      <c r="AA12">
        <f t="shared" si="8"/>
        <v>175</v>
      </c>
      <c r="AC12" s="54">
        <v>8</v>
      </c>
      <c r="AD12" s="82" t="s">
        <v>2106</v>
      </c>
      <c r="AE12" s="77">
        <f t="shared" si="9"/>
        <v>156</v>
      </c>
      <c r="AG12" s="54">
        <v>8</v>
      </c>
      <c r="AH12" s="82" t="s">
        <v>2106</v>
      </c>
      <c r="AI12" s="77">
        <f t="shared" si="10"/>
        <v>256</v>
      </c>
      <c r="AK12" s="54">
        <v>8</v>
      </c>
      <c r="AL12" s="82">
        <v>8.5</v>
      </c>
      <c r="AM12" s="77">
        <f t="shared" si="11"/>
        <v>359.5</v>
      </c>
      <c r="AO12" s="54">
        <v>8</v>
      </c>
      <c r="AP12" s="82">
        <v>9</v>
      </c>
      <c r="AQ12" s="77">
        <f t="shared" si="12"/>
        <v>388</v>
      </c>
      <c r="AS12" s="54">
        <v>8</v>
      </c>
      <c r="AT12" s="82">
        <v>9.5</v>
      </c>
      <c r="AU12" s="77">
        <f t="shared" si="13"/>
        <v>416.5</v>
      </c>
      <c r="AW12" s="54">
        <v>8</v>
      </c>
      <c r="AX12" s="82">
        <v>10</v>
      </c>
      <c r="AY12" s="77">
        <f t="shared" si="14"/>
        <v>520</v>
      </c>
      <c r="BA12" s="54">
        <v>8</v>
      </c>
      <c r="BB12" s="82" t="s">
        <v>2106</v>
      </c>
      <c r="BC12" s="77">
        <f t="shared" si="15"/>
        <v>316</v>
      </c>
    </row>
    <row r="13" spans="1:55">
      <c r="A13" s="54">
        <v>7</v>
      </c>
      <c r="B13" s="82">
        <v>5</v>
      </c>
      <c r="C13" s="78">
        <f t="shared" si="0"/>
        <v>130</v>
      </c>
      <c r="E13" s="129">
        <f t="shared" si="16"/>
        <v>1.2</v>
      </c>
      <c r="F13" s="38">
        <f t="shared" si="1"/>
        <v>6</v>
      </c>
      <c r="G13" s="162">
        <f t="shared" si="17"/>
        <v>166</v>
      </c>
      <c r="I13" s="129">
        <f t="shared" si="18"/>
        <v>1.4</v>
      </c>
      <c r="J13" s="38">
        <f t="shared" si="2"/>
        <v>7</v>
      </c>
      <c r="K13" s="164">
        <f t="shared" si="3"/>
        <v>212</v>
      </c>
      <c r="M13" s="129">
        <f t="shared" si="19"/>
        <v>1.7</v>
      </c>
      <c r="N13" s="38">
        <f t="shared" si="4"/>
        <v>8.5</v>
      </c>
      <c r="O13" s="166">
        <f t="shared" si="5"/>
        <v>271</v>
      </c>
      <c r="Q13" s="129">
        <f t="shared" si="20"/>
        <v>2.1</v>
      </c>
      <c r="R13" s="38">
        <f t="shared" si="6"/>
        <v>10.5</v>
      </c>
      <c r="S13" s="131">
        <f t="shared" si="7"/>
        <v>343</v>
      </c>
      <c r="U13" s="131"/>
      <c r="V13" s="131"/>
      <c r="W13" s="131"/>
      <c r="X13" s="131"/>
      <c r="Y13" s="131"/>
      <c r="Z13" s="131"/>
      <c r="AA13">
        <f t="shared" si="8"/>
        <v>182</v>
      </c>
      <c r="AC13" s="54">
        <v>9</v>
      </c>
      <c r="AD13" s="82" t="s">
        <v>2106</v>
      </c>
      <c r="AE13" s="77">
        <f t="shared" si="9"/>
        <v>164</v>
      </c>
      <c r="AG13" s="54">
        <v>9</v>
      </c>
      <c r="AH13" s="82" t="s">
        <v>2106</v>
      </c>
      <c r="AI13" s="77">
        <f t="shared" si="10"/>
        <v>264</v>
      </c>
      <c r="AK13" s="54">
        <v>9</v>
      </c>
      <c r="AL13" s="82">
        <v>8.5</v>
      </c>
      <c r="AM13" s="77">
        <f t="shared" si="11"/>
        <v>368</v>
      </c>
      <c r="AO13" s="54">
        <v>9</v>
      </c>
      <c r="AP13" s="82">
        <v>9</v>
      </c>
      <c r="AQ13" s="77">
        <f t="shared" si="12"/>
        <v>397</v>
      </c>
      <c r="AS13" s="54">
        <v>9</v>
      </c>
      <c r="AT13" s="82">
        <v>9.5</v>
      </c>
      <c r="AU13" s="77">
        <f t="shared" si="13"/>
        <v>426</v>
      </c>
      <c r="AW13" s="54">
        <v>9</v>
      </c>
      <c r="AX13" s="82">
        <v>10</v>
      </c>
      <c r="AY13" s="77">
        <f t="shared" si="14"/>
        <v>530</v>
      </c>
      <c r="BA13" s="54">
        <v>9</v>
      </c>
      <c r="BB13" s="82" t="s">
        <v>2106</v>
      </c>
      <c r="BC13" s="77">
        <f t="shared" si="15"/>
        <v>324</v>
      </c>
    </row>
    <row r="14" spans="1:55">
      <c r="A14" s="54">
        <v>8</v>
      </c>
      <c r="B14" s="82">
        <v>5</v>
      </c>
      <c r="C14" s="78">
        <f t="shared" si="0"/>
        <v>135</v>
      </c>
      <c r="E14" s="129">
        <f t="shared" si="16"/>
        <v>1.2</v>
      </c>
      <c r="F14" s="38">
        <f t="shared" si="1"/>
        <v>6</v>
      </c>
      <c r="G14" s="162">
        <f t="shared" si="17"/>
        <v>172</v>
      </c>
      <c r="I14" s="129">
        <f t="shared" si="18"/>
        <v>1.4</v>
      </c>
      <c r="J14" s="38">
        <f t="shared" si="2"/>
        <v>7</v>
      </c>
      <c r="K14" s="164">
        <f t="shared" si="3"/>
        <v>219</v>
      </c>
      <c r="M14" s="129">
        <f t="shared" si="19"/>
        <v>1.7</v>
      </c>
      <c r="N14" s="38">
        <f t="shared" si="4"/>
        <v>8.5</v>
      </c>
      <c r="O14" s="166">
        <f t="shared" si="5"/>
        <v>279.5</v>
      </c>
      <c r="Q14" s="129">
        <f t="shared" si="20"/>
        <v>2.1</v>
      </c>
      <c r="R14" s="38">
        <f t="shared" si="6"/>
        <v>10.5</v>
      </c>
      <c r="S14" s="131">
        <f t="shared" si="7"/>
        <v>353.5</v>
      </c>
      <c r="U14" s="131"/>
      <c r="V14" s="131"/>
      <c r="W14" s="131"/>
      <c r="X14" s="131"/>
      <c r="Y14" s="131"/>
      <c r="Z14" s="131"/>
      <c r="AA14">
        <f t="shared" si="8"/>
        <v>189</v>
      </c>
      <c r="AC14" s="54">
        <v>10</v>
      </c>
      <c r="AD14" s="82" t="s">
        <v>2106</v>
      </c>
      <c r="AE14" s="77">
        <f t="shared" si="9"/>
        <v>172</v>
      </c>
      <c r="AG14" s="54">
        <v>10</v>
      </c>
      <c r="AH14" s="82" t="s">
        <v>2106</v>
      </c>
      <c r="AI14" s="77">
        <f t="shared" si="10"/>
        <v>272</v>
      </c>
      <c r="AK14" s="54">
        <v>10</v>
      </c>
      <c r="AL14" s="82">
        <v>8.5</v>
      </c>
      <c r="AM14" s="77">
        <f t="shared" si="11"/>
        <v>376.5</v>
      </c>
      <c r="AO14" s="54">
        <v>10</v>
      </c>
      <c r="AP14" s="82">
        <v>9</v>
      </c>
      <c r="AQ14" s="77">
        <f t="shared" si="12"/>
        <v>406</v>
      </c>
      <c r="AS14" s="54">
        <v>10</v>
      </c>
      <c r="AT14" s="82">
        <v>9.5</v>
      </c>
      <c r="AU14" s="77">
        <f t="shared" si="13"/>
        <v>435.5</v>
      </c>
      <c r="AW14" s="54">
        <v>10</v>
      </c>
      <c r="AX14" s="82">
        <v>10</v>
      </c>
      <c r="AY14" s="77">
        <f t="shared" si="14"/>
        <v>540</v>
      </c>
      <c r="BA14" s="54">
        <v>10</v>
      </c>
      <c r="BB14" s="82" t="s">
        <v>2106</v>
      </c>
      <c r="BC14" s="77">
        <f t="shared" si="15"/>
        <v>332</v>
      </c>
    </row>
    <row r="15" spans="1:55">
      <c r="A15" s="54">
        <v>9</v>
      </c>
      <c r="B15" s="82">
        <v>5</v>
      </c>
      <c r="C15" s="78">
        <f t="shared" si="0"/>
        <v>140</v>
      </c>
      <c r="E15" s="129">
        <f t="shared" si="16"/>
        <v>1.2</v>
      </c>
      <c r="F15" s="38">
        <f t="shared" si="1"/>
        <v>6</v>
      </c>
      <c r="G15" s="162">
        <f t="shared" si="17"/>
        <v>178</v>
      </c>
      <c r="I15" s="129">
        <f t="shared" si="18"/>
        <v>1.4</v>
      </c>
      <c r="J15" s="38">
        <f t="shared" si="2"/>
        <v>7</v>
      </c>
      <c r="K15" s="164">
        <f t="shared" si="3"/>
        <v>226</v>
      </c>
      <c r="M15" s="129">
        <f t="shared" si="19"/>
        <v>1.7</v>
      </c>
      <c r="N15" s="38">
        <f t="shared" si="4"/>
        <v>8.5</v>
      </c>
      <c r="O15" s="166">
        <f t="shared" si="5"/>
        <v>288</v>
      </c>
      <c r="Q15" s="129">
        <f t="shared" si="20"/>
        <v>2.1</v>
      </c>
      <c r="R15" s="38">
        <f t="shared" si="6"/>
        <v>10.5</v>
      </c>
      <c r="S15" s="131">
        <f t="shared" si="7"/>
        <v>364</v>
      </c>
      <c r="U15" s="195" t="s">
        <v>2226</v>
      </c>
      <c r="V15" s="195"/>
      <c r="W15" s="195"/>
      <c r="X15" s="195"/>
      <c r="Y15" s="195"/>
      <c r="Z15" s="195"/>
      <c r="AA15">
        <f t="shared" si="8"/>
        <v>196</v>
      </c>
      <c r="AC15" s="54">
        <v>11</v>
      </c>
      <c r="AD15" s="82" t="s">
        <v>2106</v>
      </c>
      <c r="AE15" s="77">
        <f t="shared" si="9"/>
        <v>180</v>
      </c>
      <c r="AG15" s="54">
        <v>11</v>
      </c>
      <c r="AH15" s="82" t="s">
        <v>2106</v>
      </c>
      <c r="AI15" s="77">
        <f t="shared" si="10"/>
        <v>280</v>
      </c>
      <c r="AK15" s="54">
        <v>11</v>
      </c>
      <c r="AL15" s="82">
        <v>8.5</v>
      </c>
      <c r="AM15" s="77">
        <f t="shared" si="11"/>
        <v>385</v>
      </c>
      <c r="AO15" s="54">
        <v>11</v>
      </c>
      <c r="AP15" s="82">
        <v>9</v>
      </c>
      <c r="AQ15" s="77">
        <f t="shared" si="12"/>
        <v>415</v>
      </c>
      <c r="AS15" s="54">
        <v>11</v>
      </c>
      <c r="AT15" s="82">
        <v>9.5</v>
      </c>
      <c r="AU15" s="77">
        <f t="shared" si="13"/>
        <v>445</v>
      </c>
      <c r="AW15" s="54">
        <v>11</v>
      </c>
      <c r="AX15" s="82">
        <v>10</v>
      </c>
      <c r="AY15" s="77">
        <f t="shared" si="14"/>
        <v>550</v>
      </c>
      <c r="BA15" s="54">
        <v>11</v>
      </c>
      <c r="BB15" s="82" t="s">
        <v>2106</v>
      </c>
      <c r="BC15" s="77">
        <f t="shared" si="15"/>
        <v>340</v>
      </c>
    </row>
    <row r="16" spans="1:55">
      <c r="A16" s="54">
        <v>10</v>
      </c>
      <c r="B16" s="82">
        <v>5</v>
      </c>
      <c r="C16" s="78">
        <f t="shared" si="0"/>
        <v>145</v>
      </c>
      <c r="E16" s="129">
        <f t="shared" si="16"/>
        <v>1.2</v>
      </c>
      <c r="F16" s="38">
        <f t="shared" si="1"/>
        <v>6</v>
      </c>
      <c r="G16" s="162">
        <f t="shared" si="17"/>
        <v>184</v>
      </c>
      <c r="I16" s="129">
        <f t="shared" si="18"/>
        <v>1.4</v>
      </c>
      <c r="J16" s="38">
        <f t="shared" si="2"/>
        <v>7</v>
      </c>
      <c r="K16" s="164">
        <f t="shared" si="3"/>
        <v>233</v>
      </c>
      <c r="M16" s="129">
        <f t="shared" si="19"/>
        <v>1.7</v>
      </c>
      <c r="N16" s="38">
        <f t="shared" si="4"/>
        <v>8.5</v>
      </c>
      <c r="O16" s="166">
        <f t="shared" si="5"/>
        <v>296.5</v>
      </c>
      <c r="Q16" s="129">
        <f t="shared" si="20"/>
        <v>2.1</v>
      </c>
      <c r="R16" s="38">
        <f t="shared" si="6"/>
        <v>10.5</v>
      </c>
      <c r="S16" s="131">
        <f t="shared" si="7"/>
        <v>374.5</v>
      </c>
      <c r="U16" s="195"/>
      <c r="V16" s="195"/>
      <c r="W16" s="195"/>
      <c r="X16" s="195"/>
      <c r="Y16" s="195"/>
      <c r="Z16" s="195"/>
      <c r="AA16">
        <f t="shared" si="8"/>
        <v>203</v>
      </c>
      <c r="AC16" s="54">
        <v>12</v>
      </c>
      <c r="AD16" s="82" t="s">
        <v>2106</v>
      </c>
      <c r="AE16" s="77">
        <f t="shared" si="9"/>
        <v>188</v>
      </c>
      <c r="AG16" s="54">
        <v>12</v>
      </c>
      <c r="AH16" s="82" t="s">
        <v>2106</v>
      </c>
      <c r="AI16" s="77">
        <f t="shared" si="10"/>
        <v>288</v>
      </c>
      <c r="AK16" s="54">
        <v>12</v>
      </c>
      <c r="AL16" s="82">
        <v>8.5</v>
      </c>
      <c r="AM16" s="77">
        <f t="shared" si="11"/>
        <v>393.5</v>
      </c>
      <c r="AO16" s="54">
        <v>12</v>
      </c>
      <c r="AP16" s="82">
        <v>9</v>
      </c>
      <c r="AQ16" s="77">
        <f t="shared" si="12"/>
        <v>424</v>
      </c>
      <c r="AS16" s="54">
        <v>12</v>
      </c>
      <c r="AT16" s="82">
        <v>9.5</v>
      </c>
      <c r="AU16" s="77">
        <f t="shared" si="13"/>
        <v>454.5</v>
      </c>
      <c r="AW16" s="54">
        <v>12</v>
      </c>
      <c r="AX16" s="82">
        <v>10</v>
      </c>
      <c r="AY16" s="77">
        <f t="shared" si="14"/>
        <v>560</v>
      </c>
      <c r="BA16" s="54">
        <v>12</v>
      </c>
      <c r="BB16" s="82" t="s">
        <v>2106</v>
      </c>
      <c r="BC16" s="77">
        <f t="shared" si="15"/>
        <v>348</v>
      </c>
    </row>
    <row r="17" spans="1:55">
      <c r="A17" s="54">
        <v>11</v>
      </c>
      <c r="B17" s="82">
        <v>5</v>
      </c>
      <c r="C17" s="78">
        <f t="shared" si="0"/>
        <v>150</v>
      </c>
      <c r="E17" s="129">
        <f t="shared" si="16"/>
        <v>1.2</v>
      </c>
      <c r="F17" s="38">
        <f t="shared" si="1"/>
        <v>6</v>
      </c>
      <c r="G17" s="162">
        <f t="shared" si="17"/>
        <v>190</v>
      </c>
      <c r="I17" s="129">
        <f t="shared" si="18"/>
        <v>1.4</v>
      </c>
      <c r="J17" s="38">
        <f t="shared" si="2"/>
        <v>7</v>
      </c>
      <c r="K17" s="164">
        <f t="shared" si="3"/>
        <v>240</v>
      </c>
      <c r="M17" s="129">
        <f t="shared" si="19"/>
        <v>1.7</v>
      </c>
      <c r="N17" s="38">
        <f t="shared" si="4"/>
        <v>8.5</v>
      </c>
      <c r="O17" s="166">
        <f t="shared" si="5"/>
        <v>305</v>
      </c>
      <c r="Q17" s="129">
        <f t="shared" si="20"/>
        <v>2.1</v>
      </c>
      <c r="R17" s="38">
        <f t="shared" si="6"/>
        <v>10.5</v>
      </c>
      <c r="S17" s="131">
        <f t="shared" si="7"/>
        <v>385</v>
      </c>
      <c r="U17" s="41" t="s">
        <v>2191</v>
      </c>
      <c r="V17" s="41" t="s">
        <v>2216</v>
      </c>
      <c r="W17" s="41" t="s">
        <v>2217</v>
      </c>
      <c r="X17" s="135" t="s">
        <v>2227</v>
      </c>
      <c r="Y17" s="146" t="s">
        <v>2228</v>
      </c>
      <c r="Z17" s="41" t="s">
        <v>2229</v>
      </c>
      <c r="AA17">
        <f t="shared" si="8"/>
        <v>210</v>
      </c>
      <c r="AC17" s="54">
        <v>13</v>
      </c>
      <c r="AD17" s="82" t="s">
        <v>2106</v>
      </c>
      <c r="AE17" s="77">
        <f t="shared" si="9"/>
        <v>196</v>
      </c>
      <c r="AG17" s="54">
        <v>13</v>
      </c>
      <c r="AH17" s="82" t="s">
        <v>2106</v>
      </c>
      <c r="AI17" s="77">
        <f t="shared" si="10"/>
        <v>296</v>
      </c>
      <c r="AK17" s="54">
        <v>13</v>
      </c>
      <c r="AL17" s="82">
        <v>8.5</v>
      </c>
      <c r="AM17" s="77">
        <f t="shared" si="11"/>
        <v>402</v>
      </c>
      <c r="AO17" s="54">
        <v>13</v>
      </c>
      <c r="AP17" s="82">
        <v>9</v>
      </c>
      <c r="AQ17" s="77">
        <f t="shared" si="12"/>
        <v>433</v>
      </c>
      <c r="AS17" s="54">
        <v>13</v>
      </c>
      <c r="AT17" s="82">
        <v>9.5</v>
      </c>
      <c r="AU17" s="77">
        <f t="shared" si="13"/>
        <v>464</v>
      </c>
      <c r="AW17" s="54">
        <v>13</v>
      </c>
      <c r="AX17" s="82">
        <v>10</v>
      </c>
      <c r="AY17" s="77">
        <f t="shared" si="14"/>
        <v>570</v>
      </c>
      <c r="BA17" s="54">
        <v>13</v>
      </c>
      <c r="BB17" s="82" t="s">
        <v>2106</v>
      </c>
      <c r="BC17" s="77">
        <f t="shared" si="15"/>
        <v>356</v>
      </c>
    </row>
    <row r="18" spans="1:55">
      <c r="A18" s="54">
        <v>12</v>
      </c>
      <c r="B18" s="82">
        <v>5</v>
      </c>
      <c r="C18" s="78">
        <f t="shared" si="0"/>
        <v>155</v>
      </c>
      <c r="E18" s="129">
        <f t="shared" si="16"/>
        <v>1.2</v>
      </c>
      <c r="F18" s="38">
        <f t="shared" si="1"/>
        <v>6</v>
      </c>
      <c r="G18" s="162">
        <f t="shared" si="17"/>
        <v>196</v>
      </c>
      <c r="I18" s="129">
        <f t="shared" si="18"/>
        <v>1.4</v>
      </c>
      <c r="J18" s="38">
        <f t="shared" si="2"/>
        <v>7</v>
      </c>
      <c r="K18" s="164">
        <f t="shared" si="3"/>
        <v>247</v>
      </c>
      <c r="M18" s="129">
        <f t="shared" si="19"/>
        <v>1.7</v>
      </c>
      <c r="N18" s="38">
        <f t="shared" si="4"/>
        <v>8.5</v>
      </c>
      <c r="O18" s="166">
        <f t="shared" si="5"/>
        <v>313.5</v>
      </c>
      <c r="Q18" s="129">
        <f t="shared" si="20"/>
        <v>2.1</v>
      </c>
      <c r="R18" s="38">
        <f t="shared" si="6"/>
        <v>10.5</v>
      </c>
      <c r="S18" s="131">
        <f t="shared" si="7"/>
        <v>395.5</v>
      </c>
      <c r="U18" s="138" t="s">
        <v>2205</v>
      </c>
      <c r="V18" s="138" t="s">
        <v>2210</v>
      </c>
      <c r="W18" s="139" t="s">
        <v>2108</v>
      </c>
      <c r="X18" s="139" t="s">
        <v>2201</v>
      </c>
      <c r="Y18" s="139" t="s">
        <v>2201</v>
      </c>
      <c r="Z18" s="139" t="s">
        <v>2201</v>
      </c>
      <c r="AA18">
        <f t="shared" si="8"/>
        <v>217</v>
      </c>
      <c r="AC18" s="54">
        <v>14</v>
      </c>
      <c r="AD18" s="82" t="s">
        <v>2106</v>
      </c>
      <c r="AE18" s="77">
        <f t="shared" si="9"/>
        <v>204</v>
      </c>
      <c r="AG18" s="54">
        <v>14</v>
      </c>
      <c r="AH18" s="82" t="s">
        <v>2106</v>
      </c>
      <c r="AI18" s="77">
        <f t="shared" si="10"/>
        <v>304</v>
      </c>
      <c r="AK18" s="54">
        <v>14</v>
      </c>
      <c r="AL18" s="82">
        <v>8.5</v>
      </c>
      <c r="AM18" s="77">
        <f t="shared" si="11"/>
        <v>410.5</v>
      </c>
      <c r="AO18" s="54">
        <v>14</v>
      </c>
      <c r="AP18" s="82">
        <v>9</v>
      </c>
      <c r="AQ18" s="77">
        <f t="shared" si="12"/>
        <v>442</v>
      </c>
      <c r="AS18" s="54">
        <v>14</v>
      </c>
      <c r="AT18" s="82">
        <v>9.5</v>
      </c>
      <c r="AU18" s="77">
        <f t="shared" si="13"/>
        <v>473.5</v>
      </c>
      <c r="AW18" s="54">
        <v>14</v>
      </c>
      <c r="AX18" s="82">
        <v>10</v>
      </c>
      <c r="AY18" s="77">
        <f t="shared" si="14"/>
        <v>580</v>
      </c>
      <c r="BA18" s="54">
        <v>14</v>
      </c>
      <c r="BB18" s="82" t="s">
        <v>2106</v>
      </c>
      <c r="BC18" s="77">
        <f t="shared" si="15"/>
        <v>364</v>
      </c>
    </row>
    <row r="19" spans="1:55">
      <c r="A19" s="54">
        <v>13</v>
      </c>
      <c r="B19" s="82">
        <v>5</v>
      </c>
      <c r="C19" s="78">
        <f t="shared" si="0"/>
        <v>160</v>
      </c>
      <c r="E19" s="129">
        <f t="shared" si="16"/>
        <v>1.2</v>
      </c>
      <c r="F19" s="38">
        <f t="shared" si="1"/>
        <v>6</v>
      </c>
      <c r="G19" s="162">
        <f t="shared" si="17"/>
        <v>202</v>
      </c>
      <c r="I19" s="129">
        <f t="shared" si="18"/>
        <v>1.4</v>
      </c>
      <c r="J19" s="38">
        <f t="shared" si="2"/>
        <v>7</v>
      </c>
      <c r="K19" s="164">
        <f t="shared" si="3"/>
        <v>254</v>
      </c>
      <c r="M19" s="129">
        <f t="shared" si="19"/>
        <v>1.7</v>
      </c>
      <c r="N19" s="38">
        <f t="shared" si="4"/>
        <v>8.5</v>
      </c>
      <c r="O19" s="166">
        <f t="shared" si="5"/>
        <v>322</v>
      </c>
      <c r="Q19" s="129">
        <f t="shared" si="20"/>
        <v>2.1</v>
      </c>
      <c r="R19" s="38">
        <f t="shared" si="6"/>
        <v>10.5</v>
      </c>
      <c r="S19" s="131">
        <f t="shared" si="7"/>
        <v>406</v>
      </c>
      <c r="U19" s="140" t="s">
        <v>2206</v>
      </c>
      <c r="V19" s="140" t="s">
        <v>2211</v>
      </c>
      <c r="W19" s="141" t="s">
        <v>2182</v>
      </c>
      <c r="X19" s="141" t="s">
        <v>2230</v>
      </c>
      <c r="Y19" s="141" t="s">
        <v>2218</v>
      </c>
      <c r="Z19" s="141" t="s">
        <v>2234</v>
      </c>
      <c r="AA19">
        <f t="shared" si="8"/>
        <v>224</v>
      </c>
      <c r="AC19" s="54">
        <v>15</v>
      </c>
      <c r="AD19" s="82" t="s">
        <v>2106</v>
      </c>
      <c r="AE19" s="77">
        <f t="shared" si="9"/>
        <v>212</v>
      </c>
      <c r="AG19" s="54">
        <v>15</v>
      </c>
      <c r="AH19" s="82" t="s">
        <v>2106</v>
      </c>
      <c r="AI19" s="77">
        <f t="shared" si="10"/>
        <v>312</v>
      </c>
      <c r="AK19" s="54">
        <v>15</v>
      </c>
      <c r="AL19" s="82">
        <v>8.5</v>
      </c>
      <c r="AM19" s="77">
        <f t="shared" si="11"/>
        <v>419</v>
      </c>
      <c r="AO19" s="54">
        <v>15</v>
      </c>
      <c r="AP19" s="82">
        <v>9</v>
      </c>
      <c r="AQ19" s="77">
        <f t="shared" si="12"/>
        <v>451</v>
      </c>
      <c r="AS19" s="54">
        <v>15</v>
      </c>
      <c r="AT19" s="82">
        <v>9.5</v>
      </c>
      <c r="AU19" s="77">
        <f t="shared" si="13"/>
        <v>483</v>
      </c>
      <c r="AW19" s="54">
        <v>15</v>
      </c>
      <c r="AX19" s="82">
        <v>10</v>
      </c>
      <c r="AY19" s="77">
        <f t="shared" si="14"/>
        <v>590</v>
      </c>
      <c r="BA19" s="54">
        <v>15</v>
      </c>
      <c r="BB19" s="82" t="s">
        <v>2106</v>
      </c>
      <c r="BC19" s="77">
        <f t="shared" si="15"/>
        <v>372</v>
      </c>
    </row>
    <row r="20" spans="1:55">
      <c r="A20" s="54">
        <v>14</v>
      </c>
      <c r="B20" s="82">
        <v>5</v>
      </c>
      <c r="C20" s="78">
        <f t="shared" si="0"/>
        <v>165</v>
      </c>
      <c r="E20" s="129">
        <f t="shared" si="16"/>
        <v>1.2</v>
      </c>
      <c r="F20" s="38">
        <f t="shared" si="1"/>
        <v>6</v>
      </c>
      <c r="G20" s="162">
        <f t="shared" si="17"/>
        <v>208</v>
      </c>
      <c r="I20" s="129">
        <f t="shared" si="18"/>
        <v>1.4</v>
      </c>
      <c r="J20" s="38">
        <f t="shared" si="2"/>
        <v>7</v>
      </c>
      <c r="K20" s="164">
        <f t="shared" si="3"/>
        <v>261</v>
      </c>
      <c r="M20" s="129">
        <f t="shared" si="19"/>
        <v>1.7</v>
      </c>
      <c r="N20" s="38">
        <f t="shared" si="4"/>
        <v>8.5</v>
      </c>
      <c r="O20" s="166">
        <f t="shared" si="5"/>
        <v>330.5</v>
      </c>
      <c r="Q20" s="129">
        <f t="shared" si="20"/>
        <v>2.1</v>
      </c>
      <c r="R20" s="38">
        <f t="shared" si="6"/>
        <v>10.5</v>
      </c>
      <c r="S20" s="131">
        <f t="shared" si="7"/>
        <v>416.5</v>
      </c>
      <c r="U20" s="142" t="s">
        <v>2207</v>
      </c>
      <c r="V20" s="142" t="s">
        <v>2213</v>
      </c>
      <c r="W20" s="143" t="s">
        <v>2202</v>
      </c>
      <c r="X20" s="143" t="s">
        <v>2224</v>
      </c>
      <c r="Y20" s="143" t="s">
        <v>2233</v>
      </c>
      <c r="Z20" s="143" t="s">
        <v>2230</v>
      </c>
      <c r="AA20">
        <f t="shared" si="8"/>
        <v>231</v>
      </c>
      <c r="AC20" s="54">
        <v>16</v>
      </c>
      <c r="AD20" s="82" t="s">
        <v>2106</v>
      </c>
      <c r="AE20" s="77">
        <f t="shared" si="9"/>
        <v>220</v>
      </c>
      <c r="AG20" s="54">
        <v>16</v>
      </c>
      <c r="AH20" s="82" t="s">
        <v>2106</v>
      </c>
      <c r="AI20" s="77">
        <f t="shared" si="10"/>
        <v>320</v>
      </c>
      <c r="AK20" s="54">
        <v>16</v>
      </c>
      <c r="AL20" s="82">
        <v>8.5</v>
      </c>
      <c r="AM20" s="77">
        <f t="shared" si="11"/>
        <v>427.5</v>
      </c>
      <c r="AO20" s="54">
        <v>16</v>
      </c>
      <c r="AP20" s="82">
        <v>9</v>
      </c>
      <c r="AQ20" s="77">
        <f t="shared" si="12"/>
        <v>460</v>
      </c>
      <c r="AS20" s="54">
        <v>16</v>
      </c>
      <c r="AT20" s="82">
        <v>9.5</v>
      </c>
      <c r="AU20" s="77">
        <f t="shared" si="13"/>
        <v>492.5</v>
      </c>
      <c r="AW20" s="54">
        <v>16</v>
      </c>
      <c r="AX20" s="82">
        <v>10</v>
      </c>
      <c r="AY20" s="77">
        <f t="shared" si="14"/>
        <v>600</v>
      </c>
      <c r="BA20" s="54">
        <v>16</v>
      </c>
      <c r="BB20" s="82" t="s">
        <v>2106</v>
      </c>
      <c r="BC20" s="77">
        <f t="shared" si="15"/>
        <v>380</v>
      </c>
    </row>
    <row r="21" spans="1:55">
      <c r="A21" s="54">
        <v>15</v>
      </c>
      <c r="B21" s="82">
        <v>5</v>
      </c>
      <c r="C21" s="78">
        <f t="shared" si="0"/>
        <v>170</v>
      </c>
      <c r="E21" s="129">
        <f t="shared" si="16"/>
        <v>1.2</v>
      </c>
      <c r="F21" s="38">
        <f t="shared" si="1"/>
        <v>6</v>
      </c>
      <c r="G21" s="162">
        <f t="shared" si="17"/>
        <v>214</v>
      </c>
      <c r="I21" s="129">
        <f t="shared" si="18"/>
        <v>1.4</v>
      </c>
      <c r="J21" s="38">
        <f t="shared" si="2"/>
        <v>7</v>
      </c>
      <c r="K21" s="164">
        <f t="shared" si="3"/>
        <v>268</v>
      </c>
      <c r="M21" s="129">
        <f t="shared" si="19"/>
        <v>1.7</v>
      </c>
      <c r="N21" s="38">
        <f t="shared" si="4"/>
        <v>8.5</v>
      </c>
      <c r="O21" s="166">
        <f t="shared" si="5"/>
        <v>339</v>
      </c>
      <c r="Q21" s="129">
        <f t="shared" si="20"/>
        <v>2.1</v>
      </c>
      <c r="R21" s="38">
        <f t="shared" si="6"/>
        <v>10.5</v>
      </c>
      <c r="S21" s="131">
        <f t="shared" si="7"/>
        <v>427</v>
      </c>
      <c r="U21" s="144" t="s">
        <v>2208</v>
      </c>
      <c r="V21" s="144" t="s">
        <v>2214</v>
      </c>
      <c r="W21" s="145" t="s">
        <v>2203</v>
      </c>
      <c r="X21" s="145" t="s">
        <v>2219</v>
      </c>
      <c r="Y21" s="145" t="s">
        <v>2232</v>
      </c>
      <c r="Z21" s="145" t="s">
        <v>2218</v>
      </c>
      <c r="AA21">
        <f t="shared" si="8"/>
        <v>238</v>
      </c>
      <c r="AC21" s="54">
        <v>17</v>
      </c>
      <c r="AD21" s="82" t="s">
        <v>2106</v>
      </c>
      <c r="AE21" s="77">
        <f t="shared" si="9"/>
        <v>228</v>
      </c>
      <c r="AG21" s="54">
        <v>17</v>
      </c>
      <c r="AH21" s="82" t="s">
        <v>2106</v>
      </c>
      <c r="AI21" s="77">
        <f t="shared" si="10"/>
        <v>328</v>
      </c>
      <c r="AK21" s="54">
        <v>17</v>
      </c>
      <c r="AL21" s="82">
        <v>8.5</v>
      </c>
      <c r="AM21" s="77">
        <f t="shared" si="11"/>
        <v>436</v>
      </c>
      <c r="AO21" s="54">
        <v>17</v>
      </c>
      <c r="AP21" s="82">
        <v>9</v>
      </c>
      <c r="AQ21" s="77">
        <f t="shared" si="12"/>
        <v>469</v>
      </c>
      <c r="AS21" s="54">
        <v>17</v>
      </c>
      <c r="AT21" s="82">
        <v>9.5</v>
      </c>
      <c r="AU21" s="77">
        <f t="shared" si="13"/>
        <v>502</v>
      </c>
      <c r="AW21" s="54">
        <v>17</v>
      </c>
      <c r="AX21" s="82">
        <v>10</v>
      </c>
      <c r="AY21" s="77">
        <f t="shared" si="14"/>
        <v>610</v>
      </c>
      <c r="BA21" s="54">
        <v>17</v>
      </c>
      <c r="BB21" s="82" t="s">
        <v>2106</v>
      </c>
      <c r="BC21" s="77">
        <f t="shared" si="15"/>
        <v>388</v>
      </c>
    </row>
    <row r="22" spans="1:55">
      <c r="A22" s="54">
        <v>16</v>
      </c>
      <c r="B22" s="82">
        <v>5</v>
      </c>
      <c r="C22" s="78">
        <f t="shared" si="0"/>
        <v>175</v>
      </c>
      <c r="E22" s="129">
        <f t="shared" si="16"/>
        <v>1.2</v>
      </c>
      <c r="F22" s="38">
        <f t="shared" si="1"/>
        <v>6</v>
      </c>
      <c r="G22" s="162">
        <f t="shared" si="17"/>
        <v>220</v>
      </c>
      <c r="I22" s="129">
        <f t="shared" si="18"/>
        <v>1.4</v>
      </c>
      <c r="J22" s="38">
        <f t="shared" si="2"/>
        <v>7</v>
      </c>
      <c r="K22" s="164">
        <f t="shared" si="3"/>
        <v>275</v>
      </c>
      <c r="M22" s="129">
        <f t="shared" si="19"/>
        <v>1.7</v>
      </c>
      <c r="N22" s="38">
        <f t="shared" si="4"/>
        <v>8.5</v>
      </c>
      <c r="O22" s="166">
        <f t="shared" si="5"/>
        <v>347.5</v>
      </c>
      <c r="Q22" s="129">
        <f t="shared" si="20"/>
        <v>2.1</v>
      </c>
      <c r="R22" s="38">
        <f t="shared" si="6"/>
        <v>10.5</v>
      </c>
      <c r="S22" s="131">
        <f t="shared" si="7"/>
        <v>437.5</v>
      </c>
      <c r="U22" s="137" t="s">
        <v>2209</v>
      </c>
      <c r="V22" s="137" t="s">
        <v>2215</v>
      </c>
      <c r="W22" s="136" t="s">
        <v>2204</v>
      </c>
      <c r="X22" s="136" t="s">
        <v>2231</v>
      </c>
      <c r="Y22" s="136" t="s">
        <v>2223</v>
      </c>
      <c r="Z22" s="136" t="s">
        <v>2224</v>
      </c>
      <c r="AA22">
        <f t="shared" si="8"/>
        <v>245</v>
      </c>
      <c r="AC22" s="54">
        <v>18</v>
      </c>
      <c r="AD22" s="82" t="s">
        <v>2106</v>
      </c>
      <c r="AE22" s="77">
        <f t="shared" si="9"/>
        <v>236</v>
      </c>
      <c r="AG22" s="54">
        <v>18</v>
      </c>
      <c r="AH22" s="82" t="s">
        <v>2106</v>
      </c>
      <c r="AI22" s="77">
        <f t="shared" si="10"/>
        <v>336</v>
      </c>
      <c r="AK22" s="54">
        <v>18</v>
      </c>
      <c r="AL22" s="82">
        <v>8.5</v>
      </c>
      <c r="AM22" s="77">
        <f t="shared" si="11"/>
        <v>444.5</v>
      </c>
      <c r="AO22" s="54">
        <v>18</v>
      </c>
      <c r="AP22" s="82">
        <v>9</v>
      </c>
      <c r="AQ22" s="77">
        <f t="shared" si="12"/>
        <v>478</v>
      </c>
      <c r="AS22" s="54">
        <v>18</v>
      </c>
      <c r="AT22" s="82">
        <v>9.5</v>
      </c>
      <c r="AU22" s="77">
        <f t="shared" si="13"/>
        <v>511.5</v>
      </c>
      <c r="AW22" s="54">
        <v>18</v>
      </c>
      <c r="AX22" s="82">
        <v>10</v>
      </c>
      <c r="AY22" s="77">
        <f t="shared" si="14"/>
        <v>620</v>
      </c>
      <c r="BA22" s="54">
        <v>18</v>
      </c>
      <c r="BB22" s="82" t="s">
        <v>2106</v>
      </c>
      <c r="BC22" s="77">
        <f t="shared" si="15"/>
        <v>396</v>
      </c>
    </row>
    <row r="23" spans="1:55">
      <c r="A23" s="54">
        <v>17</v>
      </c>
      <c r="B23" s="82">
        <v>5</v>
      </c>
      <c r="C23" s="78">
        <f t="shared" si="0"/>
        <v>180</v>
      </c>
      <c r="E23" s="129">
        <f t="shared" si="16"/>
        <v>1.2</v>
      </c>
      <c r="F23" s="38">
        <f t="shared" si="1"/>
        <v>6</v>
      </c>
      <c r="G23" s="162">
        <f t="shared" si="17"/>
        <v>226</v>
      </c>
      <c r="I23" s="129">
        <f t="shared" si="18"/>
        <v>1.4</v>
      </c>
      <c r="J23" s="38">
        <f t="shared" si="2"/>
        <v>7</v>
      </c>
      <c r="K23" s="164">
        <f t="shared" si="3"/>
        <v>282</v>
      </c>
      <c r="M23" s="129">
        <f t="shared" si="19"/>
        <v>1.7</v>
      </c>
      <c r="N23" s="38">
        <f t="shared" si="4"/>
        <v>8.5</v>
      </c>
      <c r="O23" s="166">
        <f t="shared" si="5"/>
        <v>356</v>
      </c>
      <c r="Q23" s="129">
        <f t="shared" si="20"/>
        <v>2.1</v>
      </c>
      <c r="R23" s="38">
        <f t="shared" si="6"/>
        <v>10.5</v>
      </c>
      <c r="S23" s="131">
        <f t="shared" si="7"/>
        <v>448</v>
      </c>
      <c r="U23" s="131"/>
      <c r="V23" s="131"/>
      <c r="W23" s="131"/>
      <c r="X23" s="131"/>
      <c r="Y23" s="131"/>
      <c r="Z23" s="131"/>
      <c r="AA23">
        <f t="shared" si="8"/>
        <v>252</v>
      </c>
      <c r="AC23" s="54">
        <v>19</v>
      </c>
      <c r="AD23" s="82" t="s">
        <v>2106</v>
      </c>
      <c r="AE23" s="77">
        <f>AE22+AD23</f>
        <v>244</v>
      </c>
      <c r="AG23" s="54">
        <v>19</v>
      </c>
      <c r="AH23" s="82" t="s">
        <v>2106</v>
      </c>
      <c r="AI23" s="77">
        <f>AI22+AH23</f>
        <v>344</v>
      </c>
      <c r="AK23" s="54">
        <v>19</v>
      </c>
      <c r="AL23" s="82">
        <v>8.5</v>
      </c>
      <c r="AM23" s="77">
        <f>AM22+AL23</f>
        <v>453</v>
      </c>
      <c r="AO23" s="54">
        <v>19</v>
      </c>
      <c r="AP23" s="82">
        <v>9</v>
      </c>
      <c r="AQ23" s="77">
        <f>AQ22+AP23</f>
        <v>487</v>
      </c>
      <c r="AS23" s="54">
        <v>19</v>
      </c>
      <c r="AT23" s="82">
        <v>9.5</v>
      </c>
      <c r="AU23" s="77">
        <f>AU22+AT23</f>
        <v>521</v>
      </c>
      <c r="AW23" s="54">
        <v>19</v>
      </c>
      <c r="AX23" s="82">
        <v>10</v>
      </c>
      <c r="AY23" s="77">
        <f>AY22+AX23</f>
        <v>630</v>
      </c>
      <c r="BA23" s="54">
        <v>19</v>
      </c>
      <c r="BB23" s="82" t="s">
        <v>2106</v>
      </c>
      <c r="BC23" s="77">
        <f>BC22+BB23</f>
        <v>404</v>
      </c>
    </row>
    <row r="24" spans="1:55">
      <c r="A24" s="54">
        <v>18</v>
      </c>
      <c r="B24" s="82">
        <v>5</v>
      </c>
      <c r="C24" s="78">
        <f t="shared" si="0"/>
        <v>185</v>
      </c>
      <c r="E24" s="129">
        <f t="shared" si="16"/>
        <v>1.2</v>
      </c>
      <c r="F24" s="38">
        <f t="shared" si="1"/>
        <v>6</v>
      </c>
      <c r="G24" s="162">
        <f t="shared" si="17"/>
        <v>232</v>
      </c>
      <c r="I24" s="129">
        <f t="shared" si="18"/>
        <v>1.4</v>
      </c>
      <c r="J24" s="38">
        <f t="shared" si="2"/>
        <v>7</v>
      </c>
      <c r="K24" s="164">
        <f t="shared" si="3"/>
        <v>289</v>
      </c>
      <c r="M24" s="129">
        <f t="shared" si="19"/>
        <v>1.7</v>
      </c>
      <c r="N24" s="38">
        <f t="shared" si="4"/>
        <v>8.5</v>
      </c>
      <c r="O24" s="166">
        <f t="shared" si="5"/>
        <v>364.5</v>
      </c>
      <c r="Q24" s="129">
        <f t="shared" si="20"/>
        <v>2.1</v>
      </c>
      <c r="R24" s="38">
        <f t="shared" si="6"/>
        <v>10.5</v>
      </c>
      <c r="S24" s="131">
        <f t="shared" si="7"/>
        <v>458.5</v>
      </c>
      <c r="U24" s="131"/>
      <c r="V24" s="131"/>
      <c r="W24" s="131"/>
      <c r="X24" s="131"/>
      <c r="Y24" s="131"/>
      <c r="Z24" s="131"/>
      <c r="AA24">
        <f t="shared" si="8"/>
        <v>259</v>
      </c>
      <c r="AC24" s="54">
        <v>20</v>
      </c>
      <c r="AD24" s="83">
        <v>150</v>
      </c>
      <c r="AE24" s="78">
        <f>AE23+AD24</f>
        <v>394</v>
      </c>
      <c r="AG24" s="54">
        <v>20</v>
      </c>
      <c r="AH24" s="83">
        <v>150</v>
      </c>
      <c r="AI24" s="78">
        <f>AI23+AH24</f>
        <v>494</v>
      </c>
      <c r="AK24" s="54">
        <v>20</v>
      </c>
      <c r="AL24" s="83">
        <v>175</v>
      </c>
      <c r="AM24" s="78">
        <f>AM23+AL24</f>
        <v>628</v>
      </c>
      <c r="AO24" s="54">
        <v>20</v>
      </c>
      <c r="AP24" s="83">
        <v>175</v>
      </c>
      <c r="AQ24" s="78">
        <f>AQ23+AP24</f>
        <v>662</v>
      </c>
      <c r="AS24" s="54">
        <v>20</v>
      </c>
      <c r="AT24" s="83">
        <v>175</v>
      </c>
      <c r="AU24" s="78">
        <f>AU23+AT24</f>
        <v>696</v>
      </c>
      <c r="AW24" s="54">
        <v>20</v>
      </c>
      <c r="AX24" s="83">
        <v>200</v>
      </c>
      <c r="AY24" s="78">
        <f>AY23+AX24</f>
        <v>830</v>
      </c>
      <c r="BA24" s="54">
        <v>20</v>
      </c>
      <c r="BB24" s="83">
        <v>150</v>
      </c>
      <c r="BC24" s="78">
        <f>BC23+BB24</f>
        <v>554</v>
      </c>
    </row>
    <row r="25" spans="1:55">
      <c r="A25" s="54">
        <v>19</v>
      </c>
      <c r="B25" s="82">
        <v>5</v>
      </c>
      <c r="C25" s="78">
        <f t="shared" si="0"/>
        <v>190</v>
      </c>
      <c r="E25" s="129">
        <f t="shared" si="16"/>
        <v>1.2</v>
      </c>
      <c r="F25" s="38">
        <f t="shared" si="1"/>
        <v>6</v>
      </c>
      <c r="G25" s="162">
        <f t="shared" si="17"/>
        <v>238</v>
      </c>
      <c r="I25" s="129">
        <f t="shared" si="18"/>
        <v>1.4</v>
      </c>
      <c r="J25" s="38">
        <f t="shared" si="2"/>
        <v>7</v>
      </c>
      <c r="K25" s="164">
        <f t="shared" si="3"/>
        <v>296</v>
      </c>
      <c r="M25" s="129">
        <f t="shared" si="19"/>
        <v>1.7</v>
      </c>
      <c r="N25" s="38">
        <f t="shared" si="4"/>
        <v>8.5</v>
      </c>
      <c r="O25" s="166">
        <f t="shared" si="5"/>
        <v>373</v>
      </c>
      <c r="Q25" s="129">
        <f t="shared" si="20"/>
        <v>2.1</v>
      </c>
      <c r="R25" s="38">
        <f t="shared" si="6"/>
        <v>10.5</v>
      </c>
      <c r="S25" s="131">
        <f t="shared" si="7"/>
        <v>469</v>
      </c>
      <c r="U25" s="131"/>
      <c r="V25" s="131"/>
      <c r="W25" s="131"/>
      <c r="X25" s="131"/>
      <c r="Y25" s="131"/>
      <c r="Z25" s="131"/>
      <c r="AA25">
        <f t="shared" si="8"/>
        <v>266</v>
      </c>
      <c r="AC25" s="54">
        <v>21</v>
      </c>
      <c r="AD25" s="82">
        <v>12</v>
      </c>
      <c r="AE25" s="78">
        <f t="shared" ref="AE25:AE88" si="21">AE24+AD25</f>
        <v>406</v>
      </c>
      <c r="AG25" s="54">
        <v>21</v>
      </c>
      <c r="AH25" s="82">
        <v>10</v>
      </c>
      <c r="AI25" s="78">
        <f t="shared" ref="AI25:AI88" si="22">AI24+AH25</f>
        <v>504</v>
      </c>
      <c r="AK25" s="54">
        <v>21</v>
      </c>
      <c r="AL25" s="82">
        <v>10.5</v>
      </c>
      <c r="AM25" s="78">
        <f t="shared" ref="AM25:AM88" si="23">AM24+AL25</f>
        <v>638.5</v>
      </c>
      <c r="AO25" s="54">
        <v>21</v>
      </c>
      <c r="AP25" s="82">
        <v>11</v>
      </c>
      <c r="AQ25" s="78">
        <f t="shared" ref="AQ25:AQ88" si="24">AQ24+AP25</f>
        <v>673</v>
      </c>
      <c r="AS25" s="54">
        <v>21</v>
      </c>
      <c r="AT25" s="82">
        <v>11.5</v>
      </c>
      <c r="AU25" s="78">
        <f t="shared" ref="AU25:AU88" si="25">AU24+AT25</f>
        <v>707.5</v>
      </c>
      <c r="AW25" s="54">
        <v>21</v>
      </c>
      <c r="AX25" s="82">
        <v>12</v>
      </c>
      <c r="AY25" s="78">
        <f t="shared" ref="AY25:AY88" si="26">AY24+AX25</f>
        <v>842</v>
      </c>
      <c r="BA25" s="54">
        <v>21</v>
      </c>
      <c r="BB25" s="82">
        <v>12</v>
      </c>
      <c r="BC25" s="78">
        <f t="shared" ref="BC25:BC88" si="27">BC24+BB25</f>
        <v>566</v>
      </c>
    </row>
    <row r="26" spans="1:55">
      <c r="A26" s="54">
        <v>20</v>
      </c>
      <c r="B26" s="83">
        <v>20</v>
      </c>
      <c r="C26" s="78">
        <f t="shared" si="0"/>
        <v>210</v>
      </c>
      <c r="E26" s="129">
        <f t="shared" si="16"/>
        <v>1.2</v>
      </c>
      <c r="F26" s="38">
        <f t="shared" si="1"/>
        <v>24</v>
      </c>
      <c r="G26" s="162">
        <f t="shared" si="17"/>
        <v>262</v>
      </c>
      <c r="I26" s="129">
        <f t="shared" si="18"/>
        <v>1.4</v>
      </c>
      <c r="J26" s="38">
        <f t="shared" si="2"/>
        <v>28</v>
      </c>
      <c r="K26" s="164">
        <f t="shared" si="3"/>
        <v>324</v>
      </c>
      <c r="M26" s="129">
        <f t="shared" si="19"/>
        <v>1.7</v>
      </c>
      <c r="N26" s="38">
        <f t="shared" si="4"/>
        <v>34</v>
      </c>
      <c r="O26" s="166">
        <f t="shared" si="5"/>
        <v>407</v>
      </c>
      <c r="Q26" s="129">
        <f t="shared" si="20"/>
        <v>2.1</v>
      </c>
      <c r="R26" s="38">
        <f t="shared" si="6"/>
        <v>42</v>
      </c>
      <c r="S26" s="131">
        <f t="shared" si="7"/>
        <v>511</v>
      </c>
      <c r="U26" s="131" t="s">
        <v>2235</v>
      </c>
      <c r="V26" s="131"/>
      <c r="W26" s="131"/>
      <c r="X26" s="131"/>
      <c r="Y26" s="131"/>
      <c r="Z26" s="131"/>
      <c r="AA26">
        <f t="shared" si="8"/>
        <v>294</v>
      </c>
      <c r="AC26" s="54">
        <v>22</v>
      </c>
      <c r="AD26" s="82">
        <v>12</v>
      </c>
      <c r="AE26" s="78">
        <f t="shared" si="21"/>
        <v>418</v>
      </c>
      <c r="AG26" s="54">
        <v>22</v>
      </c>
      <c r="AH26" s="82">
        <v>10</v>
      </c>
      <c r="AI26" s="78">
        <f t="shared" si="22"/>
        <v>514</v>
      </c>
      <c r="AK26" s="54">
        <v>22</v>
      </c>
      <c r="AL26" s="82">
        <v>10.5</v>
      </c>
      <c r="AM26" s="78">
        <f t="shared" si="23"/>
        <v>649</v>
      </c>
      <c r="AO26" s="54">
        <v>22</v>
      </c>
      <c r="AP26" s="82">
        <v>11</v>
      </c>
      <c r="AQ26" s="78">
        <f t="shared" si="24"/>
        <v>684</v>
      </c>
      <c r="AS26" s="54">
        <v>22</v>
      </c>
      <c r="AT26" s="82">
        <v>11.5</v>
      </c>
      <c r="AU26" s="78">
        <f t="shared" si="25"/>
        <v>719</v>
      </c>
      <c r="AW26" s="54">
        <v>22</v>
      </c>
      <c r="AX26" s="82">
        <v>12</v>
      </c>
      <c r="AY26" s="78">
        <f t="shared" si="26"/>
        <v>854</v>
      </c>
      <c r="BA26" s="54">
        <v>22</v>
      </c>
      <c r="BB26" s="82">
        <v>12</v>
      </c>
      <c r="BC26" s="78">
        <f t="shared" si="27"/>
        <v>578</v>
      </c>
    </row>
    <row r="27" spans="1:55">
      <c r="A27" s="54">
        <v>21</v>
      </c>
      <c r="B27" s="82">
        <v>6</v>
      </c>
      <c r="C27" s="78">
        <f t="shared" si="0"/>
        <v>216</v>
      </c>
      <c r="E27" s="129">
        <f t="shared" si="16"/>
        <v>1.2</v>
      </c>
      <c r="F27" s="38">
        <f t="shared" si="1"/>
        <v>7.2</v>
      </c>
      <c r="G27" s="162">
        <f t="shared" si="17"/>
        <v>269.2</v>
      </c>
      <c r="I27" s="129">
        <f t="shared" si="18"/>
        <v>1.4</v>
      </c>
      <c r="J27" s="38">
        <f t="shared" si="2"/>
        <v>8.4</v>
      </c>
      <c r="K27" s="164">
        <f t="shared" si="3"/>
        <v>332.4</v>
      </c>
      <c r="M27" s="129">
        <f t="shared" si="19"/>
        <v>1.7</v>
      </c>
      <c r="N27" s="38">
        <f t="shared" si="4"/>
        <v>10.199999999999999</v>
      </c>
      <c r="O27" s="166">
        <f t="shared" si="5"/>
        <v>417.2</v>
      </c>
      <c r="Q27" s="129">
        <f t="shared" si="20"/>
        <v>2.1</v>
      </c>
      <c r="R27" s="38">
        <f t="shared" si="6"/>
        <v>12.6</v>
      </c>
      <c r="S27" s="131">
        <f t="shared" si="7"/>
        <v>523.6</v>
      </c>
      <c r="U27" s="131"/>
      <c r="V27" s="131"/>
      <c r="W27" s="131"/>
      <c r="X27" s="131"/>
      <c r="Y27" s="131"/>
      <c r="Z27" s="131"/>
      <c r="AA27">
        <f t="shared" si="8"/>
        <v>302.39999999999998</v>
      </c>
      <c r="AC27" s="54">
        <v>23</v>
      </c>
      <c r="AD27" s="82">
        <v>12</v>
      </c>
      <c r="AE27" s="78">
        <f t="shared" si="21"/>
        <v>430</v>
      </c>
      <c r="AG27" s="54">
        <v>23</v>
      </c>
      <c r="AH27" s="82">
        <v>10</v>
      </c>
      <c r="AI27" s="78">
        <f t="shared" si="22"/>
        <v>524</v>
      </c>
      <c r="AK27" s="54">
        <v>23</v>
      </c>
      <c r="AL27" s="82">
        <v>10.5</v>
      </c>
      <c r="AM27" s="78">
        <f t="shared" si="23"/>
        <v>659.5</v>
      </c>
      <c r="AO27" s="54">
        <v>23</v>
      </c>
      <c r="AP27" s="82">
        <v>11</v>
      </c>
      <c r="AQ27" s="78">
        <f t="shared" si="24"/>
        <v>695</v>
      </c>
      <c r="AS27" s="54">
        <v>23</v>
      </c>
      <c r="AT27" s="82">
        <v>11.5</v>
      </c>
      <c r="AU27" s="78">
        <f t="shared" si="25"/>
        <v>730.5</v>
      </c>
      <c r="AW27" s="54">
        <v>23</v>
      </c>
      <c r="AX27" s="82">
        <v>12</v>
      </c>
      <c r="AY27" s="78">
        <f t="shared" si="26"/>
        <v>866</v>
      </c>
      <c r="BA27" s="54">
        <v>23</v>
      </c>
      <c r="BB27" s="82">
        <v>12</v>
      </c>
      <c r="BC27" s="78">
        <f t="shared" si="27"/>
        <v>590</v>
      </c>
    </row>
    <row r="28" spans="1:55">
      <c r="A28" s="54">
        <v>22</v>
      </c>
      <c r="B28" s="82">
        <v>6</v>
      </c>
      <c r="C28" s="78">
        <f t="shared" si="0"/>
        <v>222</v>
      </c>
      <c r="E28" s="129">
        <f t="shared" si="16"/>
        <v>1.2</v>
      </c>
      <c r="F28" s="38">
        <f t="shared" si="1"/>
        <v>7.2</v>
      </c>
      <c r="G28" s="162">
        <f t="shared" si="17"/>
        <v>276.39999999999998</v>
      </c>
      <c r="I28" s="129">
        <f t="shared" si="18"/>
        <v>1.4</v>
      </c>
      <c r="J28" s="38">
        <f t="shared" si="2"/>
        <v>8.4</v>
      </c>
      <c r="K28" s="164">
        <f t="shared" si="3"/>
        <v>340.8</v>
      </c>
      <c r="M28" s="129">
        <f t="shared" si="19"/>
        <v>1.7</v>
      </c>
      <c r="N28" s="38">
        <f t="shared" si="4"/>
        <v>10.199999999999999</v>
      </c>
      <c r="O28" s="166">
        <f t="shared" si="5"/>
        <v>427.4</v>
      </c>
      <c r="Q28" s="129">
        <f t="shared" si="20"/>
        <v>2.1</v>
      </c>
      <c r="R28" s="38">
        <f t="shared" si="6"/>
        <v>12.6</v>
      </c>
      <c r="S28" s="131">
        <f t="shared" si="7"/>
        <v>536.20000000000005</v>
      </c>
      <c r="U28" s="131"/>
      <c r="V28" s="131"/>
      <c r="W28" s="131"/>
      <c r="X28" s="131"/>
      <c r="Y28" s="131"/>
      <c r="Z28" s="131"/>
      <c r="AA28">
        <f t="shared" si="8"/>
        <v>310.8</v>
      </c>
      <c r="AC28" s="54">
        <v>24</v>
      </c>
      <c r="AD28" s="82">
        <v>12</v>
      </c>
      <c r="AE28" s="78">
        <f t="shared" si="21"/>
        <v>442</v>
      </c>
      <c r="AG28" s="54">
        <v>24</v>
      </c>
      <c r="AH28" s="82">
        <v>10</v>
      </c>
      <c r="AI28" s="78">
        <f t="shared" si="22"/>
        <v>534</v>
      </c>
      <c r="AK28" s="54">
        <v>24</v>
      </c>
      <c r="AL28" s="82">
        <v>10.5</v>
      </c>
      <c r="AM28" s="78">
        <f t="shared" si="23"/>
        <v>670</v>
      </c>
      <c r="AO28" s="54">
        <v>24</v>
      </c>
      <c r="AP28" s="82">
        <v>11</v>
      </c>
      <c r="AQ28" s="78">
        <f t="shared" si="24"/>
        <v>706</v>
      </c>
      <c r="AS28" s="54">
        <v>24</v>
      </c>
      <c r="AT28" s="82">
        <v>11.5</v>
      </c>
      <c r="AU28" s="78">
        <f t="shared" si="25"/>
        <v>742</v>
      </c>
      <c r="AW28" s="54">
        <v>24</v>
      </c>
      <c r="AX28" s="82">
        <v>12</v>
      </c>
      <c r="AY28" s="78">
        <f t="shared" si="26"/>
        <v>878</v>
      </c>
      <c r="BA28" s="54">
        <v>24</v>
      </c>
      <c r="BB28" s="82">
        <v>12</v>
      </c>
      <c r="BC28" s="78">
        <f t="shared" si="27"/>
        <v>602</v>
      </c>
    </row>
    <row r="29" spans="1:55">
      <c r="A29" s="54">
        <v>23</v>
      </c>
      <c r="B29" s="82">
        <v>6</v>
      </c>
      <c r="C29" s="78">
        <f t="shared" si="0"/>
        <v>228</v>
      </c>
      <c r="E29" s="129">
        <f t="shared" si="16"/>
        <v>1.2</v>
      </c>
      <c r="F29" s="38">
        <f t="shared" si="1"/>
        <v>7.2</v>
      </c>
      <c r="G29" s="162">
        <f t="shared" si="17"/>
        <v>283.60000000000002</v>
      </c>
      <c r="I29" s="129">
        <f t="shared" si="18"/>
        <v>1.4</v>
      </c>
      <c r="J29" s="38">
        <f t="shared" si="2"/>
        <v>8.4</v>
      </c>
      <c r="K29" s="164">
        <f t="shared" si="3"/>
        <v>349.2</v>
      </c>
      <c r="M29" s="129">
        <f t="shared" si="19"/>
        <v>1.7</v>
      </c>
      <c r="N29" s="38">
        <f t="shared" si="4"/>
        <v>10.199999999999999</v>
      </c>
      <c r="O29" s="166">
        <f t="shared" si="5"/>
        <v>437.6</v>
      </c>
      <c r="Q29" s="129">
        <f t="shared" si="20"/>
        <v>2.1</v>
      </c>
      <c r="R29" s="38">
        <f t="shared" si="6"/>
        <v>12.6</v>
      </c>
      <c r="S29" s="131">
        <f t="shared" si="7"/>
        <v>548.79999999999995</v>
      </c>
      <c r="U29" s="131" t="s">
        <v>2236</v>
      </c>
      <c r="V29" s="131"/>
      <c r="W29" s="131"/>
      <c r="X29" s="131"/>
      <c r="Y29" s="131"/>
      <c r="Z29" s="131"/>
      <c r="AA29">
        <f t="shared" si="8"/>
        <v>319.2</v>
      </c>
      <c r="AC29" s="54">
        <v>25</v>
      </c>
      <c r="AD29" s="82">
        <v>12</v>
      </c>
      <c r="AE29" s="78">
        <f t="shared" si="21"/>
        <v>454</v>
      </c>
      <c r="AG29" s="54">
        <v>25</v>
      </c>
      <c r="AH29" s="82">
        <v>10</v>
      </c>
      <c r="AI29" s="78">
        <f t="shared" si="22"/>
        <v>544</v>
      </c>
      <c r="AK29" s="54">
        <v>25</v>
      </c>
      <c r="AL29" s="82">
        <v>10.5</v>
      </c>
      <c r="AM29" s="78">
        <f t="shared" si="23"/>
        <v>680.5</v>
      </c>
      <c r="AO29" s="54">
        <v>25</v>
      </c>
      <c r="AP29" s="82">
        <v>11</v>
      </c>
      <c r="AQ29" s="78">
        <f t="shared" si="24"/>
        <v>717</v>
      </c>
      <c r="AS29" s="54">
        <v>25</v>
      </c>
      <c r="AT29" s="82">
        <v>11.5</v>
      </c>
      <c r="AU29" s="78">
        <f t="shared" si="25"/>
        <v>753.5</v>
      </c>
      <c r="AW29" s="54">
        <v>25</v>
      </c>
      <c r="AX29" s="82">
        <v>12</v>
      </c>
      <c r="AY29" s="78">
        <f t="shared" si="26"/>
        <v>890</v>
      </c>
      <c r="BA29" s="54">
        <v>25</v>
      </c>
      <c r="BB29" s="82">
        <v>12</v>
      </c>
      <c r="BC29" s="78">
        <f t="shared" si="27"/>
        <v>614</v>
      </c>
    </row>
    <row r="30" spans="1:55">
      <c r="A30" s="54">
        <v>24</v>
      </c>
      <c r="B30" s="82">
        <v>6</v>
      </c>
      <c r="C30" s="78">
        <f t="shared" si="0"/>
        <v>234</v>
      </c>
      <c r="E30" s="129">
        <f t="shared" si="16"/>
        <v>1.2</v>
      </c>
      <c r="F30" s="38">
        <f t="shared" si="1"/>
        <v>7.2</v>
      </c>
      <c r="G30" s="162">
        <f t="shared" si="17"/>
        <v>290.8</v>
      </c>
      <c r="I30" s="129">
        <f t="shared" si="18"/>
        <v>1.4</v>
      </c>
      <c r="J30" s="38">
        <f t="shared" si="2"/>
        <v>8.4</v>
      </c>
      <c r="K30" s="164">
        <f t="shared" si="3"/>
        <v>357.6</v>
      </c>
      <c r="M30" s="129">
        <f t="shared" si="19"/>
        <v>1.7</v>
      </c>
      <c r="N30" s="38">
        <f t="shared" si="4"/>
        <v>10.199999999999999</v>
      </c>
      <c r="O30" s="166">
        <f t="shared" si="5"/>
        <v>447.8</v>
      </c>
      <c r="Q30" s="129">
        <f t="shared" si="20"/>
        <v>2.1</v>
      </c>
      <c r="R30" s="38">
        <f t="shared" si="6"/>
        <v>12.6</v>
      </c>
      <c r="S30" s="131">
        <f t="shared" si="7"/>
        <v>561.4</v>
      </c>
      <c r="U30" s="131" t="s">
        <v>2237</v>
      </c>
      <c r="V30" s="131"/>
      <c r="W30" s="131"/>
      <c r="X30" s="131"/>
      <c r="Y30" s="131"/>
      <c r="Z30" s="131"/>
      <c r="AA30">
        <f t="shared" si="8"/>
        <v>327.60000000000002</v>
      </c>
      <c r="AC30" s="54">
        <v>26</v>
      </c>
      <c r="AD30" s="82">
        <v>12</v>
      </c>
      <c r="AE30" s="78">
        <f t="shared" si="21"/>
        <v>466</v>
      </c>
      <c r="AG30" s="54">
        <v>26</v>
      </c>
      <c r="AH30" s="82">
        <v>10</v>
      </c>
      <c r="AI30" s="78">
        <f t="shared" si="22"/>
        <v>554</v>
      </c>
      <c r="AK30" s="54">
        <v>26</v>
      </c>
      <c r="AL30" s="82">
        <v>10.5</v>
      </c>
      <c r="AM30" s="78">
        <f t="shared" si="23"/>
        <v>691</v>
      </c>
      <c r="AO30" s="54">
        <v>26</v>
      </c>
      <c r="AP30" s="82">
        <v>11</v>
      </c>
      <c r="AQ30" s="78">
        <f t="shared" si="24"/>
        <v>728</v>
      </c>
      <c r="AS30" s="54">
        <v>26</v>
      </c>
      <c r="AT30" s="82">
        <v>11.5</v>
      </c>
      <c r="AU30" s="78">
        <f t="shared" si="25"/>
        <v>765</v>
      </c>
      <c r="AW30" s="54">
        <v>26</v>
      </c>
      <c r="AX30" s="82">
        <v>12</v>
      </c>
      <c r="AY30" s="78">
        <f t="shared" si="26"/>
        <v>902</v>
      </c>
      <c r="BA30" s="54">
        <v>26</v>
      </c>
      <c r="BB30" s="82">
        <v>12</v>
      </c>
      <c r="BC30" s="78">
        <f t="shared" si="27"/>
        <v>626</v>
      </c>
    </row>
    <row r="31" spans="1:55">
      <c r="A31" s="54">
        <v>25</v>
      </c>
      <c r="B31" s="82">
        <v>6</v>
      </c>
      <c r="C31" s="78">
        <f t="shared" si="0"/>
        <v>240</v>
      </c>
      <c r="E31" s="129">
        <f t="shared" si="16"/>
        <v>1.2</v>
      </c>
      <c r="F31" s="38">
        <f t="shared" si="1"/>
        <v>7.2</v>
      </c>
      <c r="G31" s="162">
        <f t="shared" si="17"/>
        <v>298</v>
      </c>
      <c r="I31" s="129">
        <f t="shared" si="18"/>
        <v>1.4</v>
      </c>
      <c r="J31" s="38">
        <f t="shared" si="2"/>
        <v>8.4</v>
      </c>
      <c r="K31" s="164">
        <f t="shared" si="3"/>
        <v>366</v>
      </c>
      <c r="M31" s="129">
        <f t="shared" si="19"/>
        <v>1.7</v>
      </c>
      <c r="N31" s="38">
        <f t="shared" si="4"/>
        <v>10.199999999999999</v>
      </c>
      <c r="O31" s="166">
        <f t="shared" si="5"/>
        <v>458</v>
      </c>
      <c r="Q31" s="129">
        <f t="shared" si="20"/>
        <v>2.1</v>
      </c>
      <c r="R31" s="38">
        <f t="shared" si="6"/>
        <v>12.6</v>
      </c>
      <c r="S31" s="131">
        <f t="shared" si="7"/>
        <v>574</v>
      </c>
      <c r="AA31">
        <f t="shared" si="8"/>
        <v>336</v>
      </c>
      <c r="AC31" s="54">
        <v>27</v>
      </c>
      <c r="AD31" s="82">
        <v>12</v>
      </c>
      <c r="AE31" s="78">
        <f t="shared" si="21"/>
        <v>478</v>
      </c>
      <c r="AG31" s="54">
        <v>27</v>
      </c>
      <c r="AH31" s="82">
        <v>10</v>
      </c>
      <c r="AI31" s="78">
        <f t="shared" si="22"/>
        <v>564</v>
      </c>
      <c r="AK31" s="54">
        <v>27</v>
      </c>
      <c r="AL31" s="82">
        <v>10.5</v>
      </c>
      <c r="AM31" s="78">
        <f t="shared" si="23"/>
        <v>701.5</v>
      </c>
      <c r="AO31" s="54">
        <v>27</v>
      </c>
      <c r="AP31" s="82">
        <v>11</v>
      </c>
      <c r="AQ31" s="78">
        <f t="shared" si="24"/>
        <v>739</v>
      </c>
      <c r="AS31" s="54">
        <v>27</v>
      </c>
      <c r="AT31" s="82">
        <v>11.5</v>
      </c>
      <c r="AU31" s="78">
        <f t="shared" si="25"/>
        <v>776.5</v>
      </c>
      <c r="AW31" s="54">
        <v>27</v>
      </c>
      <c r="AX31" s="82">
        <v>12</v>
      </c>
      <c r="AY31" s="78">
        <f t="shared" si="26"/>
        <v>914</v>
      </c>
      <c r="BA31" s="54">
        <v>27</v>
      </c>
      <c r="BB31" s="82">
        <v>12</v>
      </c>
      <c r="BC31" s="78">
        <f t="shared" si="27"/>
        <v>638</v>
      </c>
    </row>
    <row r="32" spans="1:55">
      <c r="A32" s="54">
        <v>26</v>
      </c>
      <c r="B32" s="82">
        <v>6</v>
      </c>
      <c r="C32" s="78">
        <f t="shared" si="0"/>
        <v>246</v>
      </c>
      <c r="E32" s="129">
        <f t="shared" si="16"/>
        <v>1.2</v>
      </c>
      <c r="F32" s="38">
        <f t="shared" si="1"/>
        <v>7.2</v>
      </c>
      <c r="G32" s="162">
        <f t="shared" si="17"/>
        <v>305.2</v>
      </c>
      <c r="I32" s="129">
        <f t="shared" si="18"/>
        <v>1.4</v>
      </c>
      <c r="J32" s="38">
        <f t="shared" si="2"/>
        <v>8.4</v>
      </c>
      <c r="K32" s="164">
        <f t="shared" si="3"/>
        <v>374.4</v>
      </c>
      <c r="M32" s="129">
        <f t="shared" si="19"/>
        <v>1.7</v>
      </c>
      <c r="N32" s="38">
        <f t="shared" si="4"/>
        <v>10.199999999999999</v>
      </c>
      <c r="O32" s="166">
        <f t="shared" si="5"/>
        <v>468.2</v>
      </c>
      <c r="Q32" s="129">
        <f t="shared" si="20"/>
        <v>2.1</v>
      </c>
      <c r="R32" s="38">
        <f t="shared" si="6"/>
        <v>12.6</v>
      </c>
      <c r="S32" s="131">
        <f t="shared" si="7"/>
        <v>586.6</v>
      </c>
      <c r="AA32">
        <f t="shared" si="8"/>
        <v>344.4</v>
      </c>
      <c r="AC32" s="54">
        <v>28</v>
      </c>
      <c r="AD32" s="82">
        <v>12</v>
      </c>
      <c r="AE32" s="78">
        <f t="shared" si="21"/>
        <v>490</v>
      </c>
      <c r="AG32" s="54">
        <v>28</v>
      </c>
      <c r="AH32" s="82">
        <v>10</v>
      </c>
      <c r="AI32" s="78">
        <f t="shared" si="22"/>
        <v>574</v>
      </c>
      <c r="AK32" s="54">
        <v>28</v>
      </c>
      <c r="AL32" s="82">
        <v>10.5</v>
      </c>
      <c r="AM32" s="78">
        <f t="shared" si="23"/>
        <v>712</v>
      </c>
      <c r="AO32" s="54">
        <v>28</v>
      </c>
      <c r="AP32" s="82">
        <v>11</v>
      </c>
      <c r="AQ32" s="78">
        <f t="shared" si="24"/>
        <v>750</v>
      </c>
      <c r="AS32" s="54">
        <v>28</v>
      </c>
      <c r="AT32" s="82">
        <v>11.5</v>
      </c>
      <c r="AU32" s="78">
        <f t="shared" si="25"/>
        <v>788</v>
      </c>
      <c r="AW32" s="54">
        <v>28</v>
      </c>
      <c r="AX32" s="82">
        <v>12</v>
      </c>
      <c r="AY32" s="78">
        <f t="shared" si="26"/>
        <v>926</v>
      </c>
      <c r="BA32" s="54">
        <v>28</v>
      </c>
      <c r="BB32" s="82">
        <v>12</v>
      </c>
      <c r="BC32" s="78">
        <f t="shared" si="27"/>
        <v>650</v>
      </c>
    </row>
    <row r="33" spans="1:55">
      <c r="A33" s="54">
        <v>27</v>
      </c>
      <c r="B33" s="82">
        <v>6</v>
      </c>
      <c r="C33" s="78">
        <f t="shared" si="0"/>
        <v>252</v>
      </c>
      <c r="E33" s="129">
        <f t="shared" si="16"/>
        <v>1.2</v>
      </c>
      <c r="F33" s="38">
        <f t="shared" si="1"/>
        <v>7.2</v>
      </c>
      <c r="G33" s="162">
        <f t="shared" si="17"/>
        <v>312.39999999999998</v>
      </c>
      <c r="I33" s="129">
        <f t="shared" si="18"/>
        <v>1.4</v>
      </c>
      <c r="J33" s="38">
        <f t="shared" si="2"/>
        <v>8.4</v>
      </c>
      <c r="K33" s="164">
        <f t="shared" si="3"/>
        <v>382.8</v>
      </c>
      <c r="M33" s="129">
        <f t="shared" si="19"/>
        <v>1.7</v>
      </c>
      <c r="N33" s="38">
        <f t="shared" si="4"/>
        <v>10.199999999999999</v>
      </c>
      <c r="O33" s="166">
        <f t="shared" si="5"/>
        <v>478.4</v>
      </c>
      <c r="Q33" s="129">
        <f t="shared" si="20"/>
        <v>2.1</v>
      </c>
      <c r="R33" s="38">
        <f t="shared" si="6"/>
        <v>12.6</v>
      </c>
      <c r="S33" s="131">
        <f t="shared" si="7"/>
        <v>599.20000000000005</v>
      </c>
      <c r="AA33">
        <f t="shared" si="8"/>
        <v>352.8</v>
      </c>
      <c r="AC33" s="54">
        <v>29</v>
      </c>
      <c r="AD33" s="82">
        <v>12</v>
      </c>
      <c r="AE33" s="78">
        <f t="shared" si="21"/>
        <v>502</v>
      </c>
      <c r="AG33" s="54">
        <v>29</v>
      </c>
      <c r="AH33" s="82">
        <v>10</v>
      </c>
      <c r="AI33" s="78">
        <f t="shared" si="22"/>
        <v>584</v>
      </c>
      <c r="AK33" s="54">
        <v>29</v>
      </c>
      <c r="AL33" s="82">
        <v>10.5</v>
      </c>
      <c r="AM33" s="78">
        <f t="shared" si="23"/>
        <v>722.5</v>
      </c>
      <c r="AO33" s="54">
        <v>29</v>
      </c>
      <c r="AP33" s="82">
        <v>11</v>
      </c>
      <c r="AQ33" s="78">
        <f t="shared" si="24"/>
        <v>761</v>
      </c>
      <c r="AS33" s="54">
        <v>29</v>
      </c>
      <c r="AT33" s="82">
        <v>11.5</v>
      </c>
      <c r="AU33" s="78">
        <f t="shared" si="25"/>
        <v>799.5</v>
      </c>
      <c r="AW33" s="54">
        <v>29</v>
      </c>
      <c r="AX33" s="82">
        <v>12</v>
      </c>
      <c r="AY33" s="78">
        <f t="shared" si="26"/>
        <v>938</v>
      </c>
      <c r="BA33" s="54">
        <v>29</v>
      </c>
      <c r="BB33" s="82">
        <v>12</v>
      </c>
      <c r="BC33" s="78">
        <f t="shared" si="27"/>
        <v>662</v>
      </c>
    </row>
    <row r="34" spans="1:55">
      <c r="A34" s="54">
        <v>28</v>
      </c>
      <c r="B34" s="82">
        <v>6</v>
      </c>
      <c r="C34" s="78">
        <f t="shared" si="0"/>
        <v>258</v>
      </c>
      <c r="E34" s="129">
        <f t="shared" si="16"/>
        <v>1.2</v>
      </c>
      <c r="F34" s="38">
        <f t="shared" si="1"/>
        <v>7.2</v>
      </c>
      <c r="G34" s="162">
        <f t="shared" si="17"/>
        <v>319.60000000000002</v>
      </c>
      <c r="I34" s="129">
        <f t="shared" si="18"/>
        <v>1.4</v>
      </c>
      <c r="J34" s="38">
        <f t="shared" si="2"/>
        <v>8.4</v>
      </c>
      <c r="K34" s="164">
        <f t="shared" si="3"/>
        <v>391.2</v>
      </c>
      <c r="M34" s="129">
        <f t="shared" si="19"/>
        <v>1.7</v>
      </c>
      <c r="N34" s="38">
        <f t="shared" si="4"/>
        <v>10.199999999999999</v>
      </c>
      <c r="O34" s="166">
        <f t="shared" si="5"/>
        <v>488.6</v>
      </c>
      <c r="Q34" s="129">
        <f t="shared" si="20"/>
        <v>2.1</v>
      </c>
      <c r="R34" s="38">
        <f t="shared" si="6"/>
        <v>12.6</v>
      </c>
      <c r="S34" s="131">
        <f t="shared" si="7"/>
        <v>611.79999999999995</v>
      </c>
      <c r="AA34">
        <f t="shared" si="8"/>
        <v>361.2</v>
      </c>
      <c r="AC34" s="54">
        <v>30</v>
      </c>
      <c r="AD34" s="82">
        <v>16</v>
      </c>
      <c r="AE34" s="78">
        <f t="shared" si="21"/>
        <v>518</v>
      </c>
      <c r="AG34" s="54">
        <v>30</v>
      </c>
      <c r="AH34" s="82">
        <v>10</v>
      </c>
      <c r="AI34" s="78">
        <f t="shared" si="22"/>
        <v>594</v>
      </c>
      <c r="AK34" s="54">
        <v>30</v>
      </c>
      <c r="AL34" s="82">
        <v>10.5</v>
      </c>
      <c r="AM34" s="78">
        <f t="shared" si="23"/>
        <v>733</v>
      </c>
      <c r="AO34" s="54">
        <v>30</v>
      </c>
      <c r="AP34" s="82">
        <v>11</v>
      </c>
      <c r="AQ34" s="78">
        <f t="shared" si="24"/>
        <v>772</v>
      </c>
      <c r="AS34" s="54">
        <v>30</v>
      </c>
      <c r="AT34" s="82">
        <v>11.5</v>
      </c>
      <c r="AU34" s="78">
        <f t="shared" si="25"/>
        <v>811</v>
      </c>
      <c r="AW34" s="54">
        <v>30</v>
      </c>
      <c r="AX34" s="82">
        <v>12</v>
      </c>
      <c r="AY34" s="78">
        <f t="shared" si="26"/>
        <v>950</v>
      </c>
      <c r="BA34" s="54">
        <v>30</v>
      </c>
      <c r="BB34" s="82">
        <v>16</v>
      </c>
      <c r="BC34" s="78">
        <f t="shared" si="27"/>
        <v>678</v>
      </c>
    </row>
    <row r="35" spans="1:55">
      <c r="A35" s="54">
        <v>29</v>
      </c>
      <c r="B35" s="82">
        <v>6</v>
      </c>
      <c r="C35" s="78">
        <f t="shared" si="0"/>
        <v>264</v>
      </c>
      <c r="E35" s="129">
        <f t="shared" si="16"/>
        <v>1.2</v>
      </c>
      <c r="F35" s="38">
        <f t="shared" si="1"/>
        <v>7.2</v>
      </c>
      <c r="G35" s="162">
        <f t="shared" si="17"/>
        <v>326.8</v>
      </c>
      <c r="I35" s="129">
        <f t="shared" si="18"/>
        <v>1.4</v>
      </c>
      <c r="J35" s="38">
        <f t="shared" si="2"/>
        <v>8.4</v>
      </c>
      <c r="K35" s="164">
        <f t="shared" si="3"/>
        <v>399.6</v>
      </c>
      <c r="M35" s="129">
        <f t="shared" si="19"/>
        <v>1.7</v>
      </c>
      <c r="N35" s="38">
        <f t="shared" si="4"/>
        <v>10.199999999999999</v>
      </c>
      <c r="O35" s="166">
        <f t="shared" si="5"/>
        <v>498.8</v>
      </c>
      <c r="Q35" s="129">
        <f t="shared" si="20"/>
        <v>2.1</v>
      </c>
      <c r="R35" s="38">
        <f t="shared" si="6"/>
        <v>12.6</v>
      </c>
      <c r="S35" s="131">
        <f t="shared" si="7"/>
        <v>624.4</v>
      </c>
      <c r="AA35">
        <f t="shared" si="8"/>
        <v>369.6</v>
      </c>
      <c r="AC35" s="54">
        <v>31</v>
      </c>
      <c r="AD35" s="82">
        <v>16</v>
      </c>
      <c r="AE35" s="78">
        <f t="shared" si="21"/>
        <v>534</v>
      </c>
      <c r="AG35" s="54">
        <v>31</v>
      </c>
      <c r="AH35" s="82">
        <v>10</v>
      </c>
      <c r="AI35" s="78">
        <f t="shared" si="22"/>
        <v>604</v>
      </c>
      <c r="AK35" s="54">
        <v>31</v>
      </c>
      <c r="AL35" s="82">
        <v>10.5</v>
      </c>
      <c r="AM35" s="78">
        <f t="shared" si="23"/>
        <v>743.5</v>
      </c>
      <c r="AO35" s="54">
        <v>31</v>
      </c>
      <c r="AP35" s="82">
        <v>11</v>
      </c>
      <c r="AQ35" s="78">
        <f t="shared" si="24"/>
        <v>783</v>
      </c>
      <c r="AS35" s="54">
        <v>31</v>
      </c>
      <c r="AT35" s="82">
        <v>11.5</v>
      </c>
      <c r="AU35" s="78">
        <f t="shared" si="25"/>
        <v>822.5</v>
      </c>
      <c r="AW35" s="54">
        <v>31</v>
      </c>
      <c r="AX35" s="82">
        <v>12</v>
      </c>
      <c r="AY35" s="78">
        <f t="shared" si="26"/>
        <v>962</v>
      </c>
      <c r="BA35" s="54">
        <v>31</v>
      </c>
      <c r="BB35" s="82">
        <v>16</v>
      </c>
      <c r="BC35" s="78">
        <f t="shared" si="27"/>
        <v>694</v>
      </c>
    </row>
    <row r="36" spans="1:55">
      <c r="A36" s="54">
        <v>30</v>
      </c>
      <c r="B36" s="82">
        <v>6</v>
      </c>
      <c r="C36" s="78">
        <f t="shared" si="0"/>
        <v>270</v>
      </c>
      <c r="E36" s="129">
        <f t="shared" si="16"/>
        <v>1.2</v>
      </c>
      <c r="F36" s="38">
        <f t="shared" si="1"/>
        <v>7.2</v>
      </c>
      <c r="G36" s="162">
        <f t="shared" si="17"/>
        <v>334</v>
      </c>
      <c r="I36" s="129">
        <f t="shared" si="18"/>
        <v>1.4</v>
      </c>
      <c r="J36" s="38">
        <f t="shared" si="2"/>
        <v>8.4</v>
      </c>
      <c r="K36" s="164">
        <f t="shared" si="3"/>
        <v>408</v>
      </c>
      <c r="M36" s="129">
        <f t="shared" si="19"/>
        <v>1.7</v>
      </c>
      <c r="N36" s="38">
        <f t="shared" si="4"/>
        <v>10.199999999999999</v>
      </c>
      <c r="O36" s="166">
        <f t="shared" si="5"/>
        <v>509</v>
      </c>
      <c r="Q36" s="129">
        <f t="shared" si="20"/>
        <v>2.1</v>
      </c>
      <c r="R36" s="38">
        <f t="shared" si="6"/>
        <v>12.6</v>
      </c>
      <c r="S36" s="131">
        <f t="shared" si="7"/>
        <v>637</v>
      </c>
      <c r="W36">
        <v>10</v>
      </c>
      <c r="AA36">
        <f t="shared" si="8"/>
        <v>378</v>
      </c>
      <c r="AC36" s="54">
        <v>32</v>
      </c>
      <c r="AD36" s="82">
        <v>16</v>
      </c>
      <c r="AE36" s="78">
        <f t="shared" si="21"/>
        <v>550</v>
      </c>
      <c r="AG36" s="54">
        <v>32</v>
      </c>
      <c r="AH36" s="82">
        <v>10</v>
      </c>
      <c r="AI36" s="78">
        <f t="shared" si="22"/>
        <v>614</v>
      </c>
      <c r="AK36" s="54">
        <v>32</v>
      </c>
      <c r="AL36" s="82">
        <v>10.5</v>
      </c>
      <c r="AM36" s="78">
        <f t="shared" si="23"/>
        <v>754</v>
      </c>
      <c r="AO36" s="54">
        <v>32</v>
      </c>
      <c r="AP36" s="82">
        <v>11</v>
      </c>
      <c r="AQ36" s="78">
        <f t="shared" si="24"/>
        <v>794</v>
      </c>
      <c r="AS36" s="54">
        <v>32</v>
      </c>
      <c r="AT36" s="82">
        <v>11.5</v>
      </c>
      <c r="AU36" s="78">
        <f t="shared" si="25"/>
        <v>834</v>
      </c>
      <c r="AW36" s="54">
        <v>32</v>
      </c>
      <c r="AX36" s="82">
        <v>12</v>
      </c>
      <c r="AY36" s="78">
        <f t="shared" si="26"/>
        <v>974</v>
      </c>
      <c r="BA36" s="54">
        <v>32</v>
      </c>
      <c r="BB36" s="82">
        <v>16</v>
      </c>
      <c r="BC36" s="78">
        <f t="shared" si="27"/>
        <v>710</v>
      </c>
    </row>
    <row r="37" spans="1:55">
      <c r="A37" s="54">
        <v>31</v>
      </c>
      <c r="B37" s="82">
        <v>6</v>
      </c>
      <c r="C37" s="78">
        <f t="shared" si="0"/>
        <v>276</v>
      </c>
      <c r="E37" s="129">
        <f t="shared" si="16"/>
        <v>1.2</v>
      </c>
      <c r="F37" s="38">
        <f t="shared" si="1"/>
        <v>7.2</v>
      </c>
      <c r="G37" s="162">
        <f t="shared" si="17"/>
        <v>341.2</v>
      </c>
      <c r="I37" s="129">
        <f t="shared" si="18"/>
        <v>1.4</v>
      </c>
      <c r="J37" s="38">
        <f t="shared" si="2"/>
        <v>8.4</v>
      </c>
      <c r="K37" s="164">
        <f t="shared" si="3"/>
        <v>416.4</v>
      </c>
      <c r="M37" s="129">
        <f t="shared" si="19"/>
        <v>1.7</v>
      </c>
      <c r="N37" s="38">
        <f t="shared" si="4"/>
        <v>10.199999999999999</v>
      </c>
      <c r="O37" s="166">
        <f t="shared" si="5"/>
        <v>519.20000000000005</v>
      </c>
      <c r="Q37" s="129">
        <f t="shared" si="20"/>
        <v>2.1</v>
      </c>
      <c r="R37" s="38">
        <f t="shared" si="6"/>
        <v>12.6</v>
      </c>
      <c r="S37" s="131">
        <f t="shared" si="7"/>
        <v>649.6</v>
      </c>
      <c r="AA37">
        <f t="shared" si="8"/>
        <v>386.4</v>
      </c>
      <c r="AC37" s="54">
        <v>33</v>
      </c>
      <c r="AD37" s="82">
        <v>16</v>
      </c>
      <c r="AE37" s="78">
        <f t="shared" si="21"/>
        <v>566</v>
      </c>
      <c r="AG37" s="54">
        <v>33</v>
      </c>
      <c r="AH37" s="82">
        <v>10</v>
      </c>
      <c r="AI37" s="78">
        <f t="shared" si="22"/>
        <v>624</v>
      </c>
      <c r="AK37" s="54">
        <v>33</v>
      </c>
      <c r="AL37" s="82">
        <v>10.5</v>
      </c>
      <c r="AM37" s="78">
        <f t="shared" si="23"/>
        <v>764.5</v>
      </c>
      <c r="AO37" s="54">
        <v>33</v>
      </c>
      <c r="AP37" s="82">
        <v>11</v>
      </c>
      <c r="AQ37" s="78">
        <f t="shared" si="24"/>
        <v>805</v>
      </c>
      <c r="AS37" s="54">
        <v>33</v>
      </c>
      <c r="AT37" s="82">
        <v>11.5</v>
      </c>
      <c r="AU37" s="78">
        <f t="shared" si="25"/>
        <v>845.5</v>
      </c>
      <c r="AW37" s="54">
        <v>33</v>
      </c>
      <c r="AX37" s="82">
        <v>12</v>
      </c>
      <c r="AY37" s="78">
        <f t="shared" si="26"/>
        <v>986</v>
      </c>
      <c r="BA37" s="54">
        <v>33</v>
      </c>
      <c r="BB37" s="82">
        <v>16</v>
      </c>
      <c r="BC37" s="78">
        <f t="shared" si="27"/>
        <v>726</v>
      </c>
    </row>
    <row r="38" spans="1:55">
      <c r="A38" s="54">
        <v>32</v>
      </c>
      <c r="B38" s="82">
        <v>6</v>
      </c>
      <c r="C38" s="78">
        <f t="shared" si="0"/>
        <v>282</v>
      </c>
      <c r="E38" s="129">
        <f t="shared" si="16"/>
        <v>1.2</v>
      </c>
      <c r="F38" s="38">
        <f t="shared" si="1"/>
        <v>7.2</v>
      </c>
      <c r="G38" s="162">
        <f t="shared" si="17"/>
        <v>348.4</v>
      </c>
      <c r="I38" s="129">
        <f t="shared" si="18"/>
        <v>1.4</v>
      </c>
      <c r="J38" s="38">
        <f t="shared" si="2"/>
        <v>8.4</v>
      </c>
      <c r="K38" s="164">
        <f t="shared" si="3"/>
        <v>424.8</v>
      </c>
      <c r="M38" s="129">
        <f t="shared" si="19"/>
        <v>1.7</v>
      </c>
      <c r="N38" s="38">
        <f t="shared" si="4"/>
        <v>10.199999999999999</v>
      </c>
      <c r="O38" s="166">
        <f t="shared" si="5"/>
        <v>529.4</v>
      </c>
      <c r="Q38" s="129">
        <f t="shared" si="20"/>
        <v>2.1</v>
      </c>
      <c r="R38" s="38">
        <f t="shared" si="6"/>
        <v>12.6</v>
      </c>
      <c r="S38" s="131">
        <f t="shared" si="7"/>
        <v>662.2</v>
      </c>
      <c r="AA38">
        <f t="shared" si="8"/>
        <v>394.8</v>
      </c>
      <c r="AC38" s="54">
        <v>34</v>
      </c>
      <c r="AD38" s="82">
        <v>16</v>
      </c>
      <c r="AE38" s="78">
        <f t="shared" si="21"/>
        <v>582</v>
      </c>
      <c r="AG38" s="54">
        <v>34</v>
      </c>
      <c r="AH38" s="82">
        <v>10</v>
      </c>
      <c r="AI38" s="78">
        <f t="shared" si="22"/>
        <v>634</v>
      </c>
      <c r="AK38" s="54">
        <v>34</v>
      </c>
      <c r="AL38" s="82">
        <v>10.5</v>
      </c>
      <c r="AM38" s="78">
        <f t="shared" si="23"/>
        <v>775</v>
      </c>
      <c r="AO38" s="54">
        <v>34</v>
      </c>
      <c r="AP38" s="82">
        <v>11</v>
      </c>
      <c r="AQ38" s="78">
        <f t="shared" si="24"/>
        <v>816</v>
      </c>
      <c r="AS38" s="54">
        <v>34</v>
      </c>
      <c r="AT38" s="82">
        <v>11.5</v>
      </c>
      <c r="AU38" s="78">
        <f t="shared" si="25"/>
        <v>857</v>
      </c>
      <c r="AW38" s="54">
        <v>34</v>
      </c>
      <c r="AX38" s="82">
        <v>12</v>
      </c>
      <c r="AY38" s="78">
        <f t="shared" si="26"/>
        <v>998</v>
      </c>
      <c r="BA38" s="54">
        <v>34</v>
      </c>
      <c r="BB38" s="82">
        <v>16</v>
      </c>
      <c r="BC38" s="78">
        <f t="shared" si="27"/>
        <v>742</v>
      </c>
    </row>
    <row r="39" spans="1:55">
      <c r="A39" s="54">
        <v>33</v>
      </c>
      <c r="B39" s="82">
        <v>6</v>
      </c>
      <c r="C39" s="78">
        <f t="shared" si="0"/>
        <v>288</v>
      </c>
      <c r="E39" s="129">
        <f t="shared" si="16"/>
        <v>1.2</v>
      </c>
      <c r="F39" s="38">
        <f t="shared" si="1"/>
        <v>7.2</v>
      </c>
      <c r="G39" s="162">
        <f t="shared" si="17"/>
        <v>355.6</v>
      </c>
      <c r="I39" s="129">
        <f t="shared" si="18"/>
        <v>1.4</v>
      </c>
      <c r="J39" s="38">
        <f t="shared" si="2"/>
        <v>8.4</v>
      </c>
      <c r="K39" s="164">
        <f t="shared" si="3"/>
        <v>433.2</v>
      </c>
      <c r="M39" s="129">
        <f t="shared" si="19"/>
        <v>1.7</v>
      </c>
      <c r="N39" s="38">
        <f t="shared" si="4"/>
        <v>10.199999999999999</v>
      </c>
      <c r="O39" s="166">
        <f t="shared" si="5"/>
        <v>539.6</v>
      </c>
      <c r="Q39" s="129">
        <f t="shared" si="20"/>
        <v>2.1</v>
      </c>
      <c r="R39" s="38">
        <f t="shared" si="6"/>
        <v>12.6</v>
      </c>
      <c r="S39" s="131">
        <f t="shared" si="7"/>
        <v>674.8</v>
      </c>
      <c r="AA39">
        <f t="shared" si="8"/>
        <v>403.2</v>
      </c>
      <c r="AC39" s="54">
        <v>35</v>
      </c>
      <c r="AD39" s="82">
        <v>16</v>
      </c>
      <c r="AE39" s="78">
        <f t="shared" si="21"/>
        <v>598</v>
      </c>
      <c r="AG39" s="54">
        <v>35</v>
      </c>
      <c r="AH39" s="82">
        <v>10</v>
      </c>
      <c r="AI39" s="78">
        <f t="shared" si="22"/>
        <v>644</v>
      </c>
      <c r="AK39" s="54">
        <v>35</v>
      </c>
      <c r="AL39" s="82">
        <v>10.5</v>
      </c>
      <c r="AM39" s="78">
        <f t="shared" si="23"/>
        <v>785.5</v>
      </c>
      <c r="AO39" s="54">
        <v>35</v>
      </c>
      <c r="AP39" s="82">
        <v>11</v>
      </c>
      <c r="AQ39" s="78">
        <f t="shared" si="24"/>
        <v>827</v>
      </c>
      <c r="AS39" s="54">
        <v>35</v>
      </c>
      <c r="AT39" s="82">
        <v>11.5</v>
      </c>
      <c r="AU39" s="78">
        <f t="shared" si="25"/>
        <v>868.5</v>
      </c>
      <c r="AW39" s="54">
        <v>35</v>
      </c>
      <c r="AX39" s="82">
        <v>12</v>
      </c>
      <c r="AY39" s="78">
        <f t="shared" si="26"/>
        <v>1010</v>
      </c>
      <c r="BA39" s="54">
        <v>35</v>
      </c>
      <c r="BB39" s="82">
        <v>16</v>
      </c>
      <c r="BC39" s="78">
        <f t="shared" si="27"/>
        <v>758</v>
      </c>
    </row>
    <row r="40" spans="1:55">
      <c r="A40" s="54">
        <v>34</v>
      </c>
      <c r="B40" s="82">
        <v>6</v>
      </c>
      <c r="C40" s="78">
        <f t="shared" ref="C40:C71" si="28">C39+B40</f>
        <v>294</v>
      </c>
      <c r="E40" s="129">
        <f t="shared" si="16"/>
        <v>1.2</v>
      </c>
      <c r="F40" s="38">
        <f t="shared" si="1"/>
        <v>7.2</v>
      </c>
      <c r="G40" s="162">
        <f t="shared" si="17"/>
        <v>362.8</v>
      </c>
      <c r="I40" s="129">
        <f t="shared" si="18"/>
        <v>1.4</v>
      </c>
      <c r="J40" s="38">
        <f t="shared" si="2"/>
        <v>8.4</v>
      </c>
      <c r="K40" s="164">
        <f t="shared" si="3"/>
        <v>441.6</v>
      </c>
      <c r="M40" s="129">
        <f t="shared" si="19"/>
        <v>1.7</v>
      </c>
      <c r="N40" s="38">
        <f t="shared" si="4"/>
        <v>10.199999999999999</v>
      </c>
      <c r="O40" s="166">
        <f t="shared" si="5"/>
        <v>549.79999999999995</v>
      </c>
      <c r="Q40" s="129">
        <f t="shared" si="20"/>
        <v>2.1</v>
      </c>
      <c r="R40" s="38">
        <f t="shared" si="6"/>
        <v>12.6</v>
      </c>
      <c r="S40" s="131">
        <f t="shared" si="7"/>
        <v>687.4</v>
      </c>
      <c r="AA40">
        <f t="shared" si="8"/>
        <v>411.6</v>
      </c>
      <c r="AC40" s="54">
        <v>36</v>
      </c>
      <c r="AD40" s="82">
        <v>16</v>
      </c>
      <c r="AE40" s="78">
        <f t="shared" si="21"/>
        <v>614</v>
      </c>
      <c r="AG40" s="54">
        <v>36</v>
      </c>
      <c r="AH40" s="82">
        <v>10</v>
      </c>
      <c r="AI40" s="78">
        <f t="shared" si="22"/>
        <v>654</v>
      </c>
      <c r="AK40" s="54">
        <v>36</v>
      </c>
      <c r="AL40" s="82">
        <v>10.5</v>
      </c>
      <c r="AM40" s="78">
        <f t="shared" si="23"/>
        <v>796</v>
      </c>
      <c r="AO40" s="54">
        <v>36</v>
      </c>
      <c r="AP40" s="82">
        <v>11</v>
      </c>
      <c r="AQ40" s="78">
        <f t="shared" si="24"/>
        <v>838</v>
      </c>
      <c r="AS40" s="54">
        <v>36</v>
      </c>
      <c r="AT40" s="82">
        <v>11.5</v>
      </c>
      <c r="AU40" s="78">
        <f t="shared" si="25"/>
        <v>880</v>
      </c>
      <c r="AW40" s="54">
        <v>36</v>
      </c>
      <c r="AX40" s="82">
        <v>12</v>
      </c>
      <c r="AY40" s="78">
        <f t="shared" si="26"/>
        <v>1022</v>
      </c>
      <c r="BA40" s="54">
        <v>36</v>
      </c>
      <c r="BB40" s="82">
        <v>16</v>
      </c>
      <c r="BC40" s="78">
        <f t="shared" si="27"/>
        <v>774</v>
      </c>
    </row>
    <row r="41" spans="1:55">
      <c r="A41" s="54">
        <v>35</v>
      </c>
      <c r="B41" s="82">
        <v>6</v>
      </c>
      <c r="C41" s="78">
        <f t="shared" si="28"/>
        <v>300</v>
      </c>
      <c r="E41" s="129">
        <f t="shared" si="16"/>
        <v>1.2</v>
      </c>
      <c r="F41" s="38">
        <f t="shared" si="1"/>
        <v>7.2</v>
      </c>
      <c r="G41" s="162">
        <f t="shared" si="17"/>
        <v>370</v>
      </c>
      <c r="I41" s="129">
        <f t="shared" si="18"/>
        <v>1.4</v>
      </c>
      <c r="J41" s="38">
        <f t="shared" si="2"/>
        <v>8.4</v>
      </c>
      <c r="K41" s="164">
        <f t="shared" si="3"/>
        <v>450</v>
      </c>
      <c r="M41" s="129">
        <f t="shared" si="19"/>
        <v>1.7</v>
      </c>
      <c r="N41" s="38">
        <f t="shared" si="4"/>
        <v>10.199999999999999</v>
      </c>
      <c r="O41" s="166">
        <f t="shared" si="5"/>
        <v>560</v>
      </c>
      <c r="Q41" s="129">
        <f t="shared" si="20"/>
        <v>2.1</v>
      </c>
      <c r="R41" s="38">
        <f t="shared" si="6"/>
        <v>12.6</v>
      </c>
      <c r="S41" s="131">
        <f t="shared" si="7"/>
        <v>700</v>
      </c>
      <c r="AA41">
        <f t="shared" si="8"/>
        <v>420</v>
      </c>
      <c r="AC41" s="54">
        <v>37</v>
      </c>
      <c r="AD41" s="82">
        <v>16</v>
      </c>
      <c r="AE41" s="78">
        <f t="shared" si="21"/>
        <v>630</v>
      </c>
      <c r="AG41" s="54">
        <v>37</v>
      </c>
      <c r="AH41" s="82">
        <v>10</v>
      </c>
      <c r="AI41" s="78">
        <f t="shared" si="22"/>
        <v>664</v>
      </c>
      <c r="AK41" s="54">
        <v>37</v>
      </c>
      <c r="AL41" s="82">
        <v>10.5</v>
      </c>
      <c r="AM41" s="78">
        <f t="shared" si="23"/>
        <v>806.5</v>
      </c>
      <c r="AO41" s="54">
        <v>37</v>
      </c>
      <c r="AP41" s="82">
        <v>11</v>
      </c>
      <c r="AQ41" s="78">
        <f t="shared" si="24"/>
        <v>849</v>
      </c>
      <c r="AS41" s="54">
        <v>37</v>
      </c>
      <c r="AT41" s="82">
        <v>11.5</v>
      </c>
      <c r="AU41" s="78">
        <f t="shared" si="25"/>
        <v>891.5</v>
      </c>
      <c r="AW41" s="54">
        <v>37</v>
      </c>
      <c r="AX41" s="82">
        <v>12</v>
      </c>
      <c r="AY41" s="78">
        <f t="shared" si="26"/>
        <v>1034</v>
      </c>
      <c r="BA41" s="54">
        <v>37</v>
      </c>
      <c r="BB41" s="82">
        <v>16</v>
      </c>
      <c r="BC41" s="78">
        <f t="shared" si="27"/>
        <v>790</v>
      </c>
    </row>
    <row r="42" spans="1:55">
      <c r="A42" s="54">
        <v>36</v>
      </c>
      <c r="B42" s="82">
        <v>6</v>
      </c>
      <c r="C42" s="78">
        <f t="shared" si="28"/>
        <v>306</v>
      </c>
      <c r="E42" s="129">
        <f t="shared" si="16"/>
        <v>1.2</v>
      </c>
      <c r="F42" s="38">
        <f t="shared" si="1"/>
        <v>7.2</v>
      </c>
      <c r="G42" s="162">
        <f t="shared" si="17"/>
        <v>377.2</v>
      </c>
      <c r="I42" s="129">
        <f t="shared" si="18"/>
        <v>1.4</v>
      </c>
      <c r="J42" s="38">
        <f t="shared" si="2"/>
        <v>8.4</v>
      </c>
      <c r="K42" s="164">
        <f t="shared" si="3"/>
        <v>458.4</v>
      </c>
      <c r="M42" s="129">
        <f t="shared" si="19"/>
        <v>1.7</v>
      </c>
      <c r="N42" s="38">
        <f t="shared" si="4"/>
        <v>10.199999999999999</v>
      </c>
      <c r="O42" s="166">
        <f t="shared" si="5"/>
        <v>570.20000000000005</v>
      </c>
      <c r="Q42" s="129">
        <f t="shared" si="20"/>
        <v>2.1</v>
      </c>
      <c r="R42" s="38">
        <f t="shared" si="6"/>
        <v>12.6</v>
      </c>
      <c r="S42" s="131">
        <f t="shared" si="7"/>
        <v>712.6</v>
      </c>
      <c r="AA42">
        <f t="shared" si="8"/>
        <v>428.4</v>
      </c>
      <c r="AC42" s="54">
        <v>38</v>
      </c>
      <c r="AD42" s="82">
        <v>16</v>
      </c>
      <c r="AE42" s="78">
        <f t="shared" si="21"/>
        <v>646</v>
      </c>
      <c r="AG42" s="54">
        <v>38</v>
      </c>
      <c r="AH42" s="82">
        <v>10</v>
      </c>
      <c r="AI42" s="78">
        <f t="shared" si="22"/>
        <v>674</v>
      </c>
      <c r="AK42" s="54">
        <v>38</v>
      </c>
      <c r="AL42" s="82">
        <v>10.5</v>
      </c>
      <c r="AM42" s="78">
        <f t="shared" si="23"/>
        <v>817</v>
      </c>
      <c r="AO42" s="54">
        <v>38</v>
      </c>
      <c r="AP42" s="82">
        <v>11</v>
      </c>
      <c r="AQ42" s="78">
        <f t="shared" si="24"/>
        <v>860</v>
      </c>
      <c r="AS42" s="54">
        <v>38</v>
      </c>
      <c r="AT42" s="82">
        <v>11.5</v>
      </c>
      <c r="AU42" s="78">
        <f t="shared" si="25"/>
        <v>903</v>
      </c>
      <c r="AW42" s="54">
        <v>38</v>
      </c>
      <c r="AX42" s="82">
        <v>12</v>
      </c>
      <c r="AY42" s="78">
        <f t="shared" si="26"/>
        <v>1046</v>
      </c>
      <c r="BA42" s="54">
        <v>38</v>
      </c>
      <c r="BB42" s="82">
        <v>16</v>
      </c>
      <c r="BC42" s="78">
        <f t="shared" si="27"/>
        <v>806</v>
      </c>
    </row>
    <row r="43" spans="1:55">
      <c r="A43" s="54">
        <v>37</v>
      </c>
      <c r="B43" s="82">
        <v>6</v>
      </c>
      <c r="C43" s="78">
        <f t="shared" si="28"/>
        <v>312</v>
      </c>
      <c r="E43" s="129">
        <f t="shared" si="16"/>
        <v>1.2</v>
      </c>
      <c r="F43" s="38">
        <f t="shared" si="1"/>
        <v>7.2</v>
      </c>
      <c r="G43" s="162">
        <f t="shared" si="17"/>
        <v>384.4</v>
      </c>
      <c r="I43" s="129">
        <f t="shared" si="18"/>
        <v>1.4</v>
      </c>
      <c r="J43" s="38">
        <f t="shared" si="2"/>
        <v>8.4</v>
      </c>
      <c r="K43" s="164">
        <f t="shared" si="3"/>
        <v>466.8</v>
      </c>
      <c r="M43" s="129">
        <f t="shared" si="19"/>
        <v>1.7</v>
      </c>
      <c r="N43" s="38">
        <f t="shared" si="4"/>
        <v>10.199999999999999</v>
      </c>
      <c r="O43" s="166">
        <f t="shared" si="5"/>
        <v>580.4</v>
      </c>
      <c r="Q43" s="129">
        <f t="shared" si="20"/>
        <v>2.1</v>
      </c>
      <c r="R43" s="38">
        <f t="shared" si="6"/>
        <v>12.6</v>
      </c>
      <c r="S43" s="131">
        <f t="shared" si="7"/>
        <v>725.2</v>
      </c>
      <c r="AA43">
        <f t="shared" si="8"/>
        <v>436.8</v>
      </c>
      <c r="AC43" s="54">
        <v>39</v>
      </c>
      <c r="AD43" s="82">
        <v>16</v>
      </c>
      <c r="AE43" s="78">
        <f t="shared" si="21"/>
        <v>662</v>
      </c>
      <c r="AG43" s="54">
        <v>39</v>
      </c>
      <c r="AH43" s="82">
        <v>10</v>
      </c>
      <c r="AI43" s="78">
        <f t="shared" si="22"/>
        <v>684</v>
      </c>
      <c r="AK43" s="54">
        <v>39</v>
      </c>
      <c r="AL43" s="82">
        <v>10.5</v>
      </c>
      <c r="AM43" s="78">
        <f t="shared" si="23"/>
        <v>827.5</v>
      </c>
      <c r="AO43" s="54">
        <v>39</v>
      </c>
      <c r="AP43" s="82">
        <v>11</v>
      </c>
      <c r="AQ43" s="78">
        <f t="shared" si="24"/>
        <v>871</v>
      </c>
      <c r="AS43" s="54">
        <v>39</v>
      </c>
      <c r="AT43" s="82">
        <v>11.5</v>
      </c>
      <c r="AU43" s="78">
        <f t="shared" si="25"/>
        <v>914.5</v>
      </c>
      <c r="AW43" s="54">
        <v>39</v>
      </c>
      <c r="AX43" s="82">
        <v>12</v>
      </c>
      <c r="AY43" s="78">
        <f t="shared" si="26"/>
        <v>1058</v>
      </c>
      <c r="BA43" s="54">
        <v>39</v>
      </c>
      <c r="BB43" s="82">
        <v>16</v>
      </c>
      <c r="BC43" s="78">
        <f t="shared" si="27"/>
        <v>822</v>
      </c>
    </row>
    <row r="44" spans="1:55">
      <c r="A44" s="54">
        <v>38</v>
      </c>
      <c r="B44" s="82">
        <v>6</v>
      </c>
      <c r="C44" s="78">
        <f t="shared" si="28"/>
        <v>318</v>
      </c>
      <c r="E44" s="129">
        <f t="shared" si="16"/>
        <v>1.2</v>
      </c>
      <c r="F44" s="38">
        <f t="shared" si="1"/>
        <v>7.2</v>
      </c>
      <c r="G44" s="162">
        <f t="shared" si="17"/>
        <v>391.6</v>
      </c>
      <c r="I44" s="129">
        <f t="shared" si="18"/>
        <v>1.4</v>
      </c>
      <c r="J44" s="38">
        <f t="shared" si="2"/>
        <v>8.4</v>
      </c>
      <c r="K44" s="164">
        <f t="shared" si="3"/>
        <v>475.2</v>
      </c>
      <c r="M44" s="129">
        <f t="shared" si="19"/>
        <v>1.7</v>
      </c>
      <c r="N44" s="38">
        <f t="shared" si="4"/>
        <v>10.199999999999999</v>
      </c>
      <c r="O44" s="166">
        <f t="shared" si="5"/>
        <v>590.6</v>
      </c>
      <c r="Q44" s="129">
        <f t="shared" si="20"/>
        <v>2.1</v>
      </c>
      <c r="R44" s="38">
        <f t="shared" si="6"/>
        <v>12.6</v>
      </c>
      <c r="S44" s="131">
        <f t="shared" si="7"/>
        <v>737.8</v>
      </c>
      <c r="AA44">
        <f t="shared" si="8"/>
        <v>445.2</v>
      </c>
      <c r="AC44" s="54">
        <v>40</v>
      </c>
      <c r="AD44" s="83">
        <v>200</v>
      </c>
      <c r="AE44" s="78">
        <f t="shared" si="21"/>
        <v>862</v>
      </c>
      <c r="AG44" s="54">
        <v>40</v>
      </c>
      <c r="AH44" s="83">
        <v>200</v>
      </c>
      <c r="AI44" s="78">
        <f t="shared" si="22"/>
        <v>884</v>
      </c>
      <c r="AK44" s="54">
        <v>40</v>
      </c>
      <c r="AL44" s="83">
        <v>250</v>
      </c>
      <c r="AM44" s="78">
        <f t="shared" si="23"/>
        <v>1077.5</v>
      </c>
      <c r="AO44" s="54">
        <v>40</v>
      </c>
      <c r="AP44" s="83">
        <v>250</v>
      </c>
      <c r="AQ44" s="78">
        <f t="shared" si="24"/>
        <v>1121</v>
      </c>
      <c r="AS44" s="54">
        <v>40</v>
      </c>
      <c r="AT44" s="83">
        <v>250</v>
      </c>
      <c r="AU44" s="78">
        <f t="shared" si="25"/>
        <v>1164.5</v>
      </c>
      <c r="AW44" s="54">
        <v>40</v>
      </c>
      <c r="AX44" s="83">
        <v>300</v>
      </c>
      <c r="AY44" s="78">
        <f t="shared" si="26"/>
        <v>1358</v>
      </c>
      <c r="BA44" s="54">
        <v>40</v>
      </c>
      <c r="BB44" s="83">
        <v>200</v>
      </c>
      <c r="BC44" s="78">
        <f t="shared" si="27"/>
        <v>1022</v>
      </c>
    </row>
    <row r="45" spans="1:55">
      <c r="A45" s="54">
        <v>39</v>
      </c>
      <c r="B45" s="82">
        <v>6</v>
      </c>
      <c r="C45" s="78">
        <f t="shared" si="28"/>
        <v>324</v>
      </c>
      <c r="E45" s="129">
        <f t="shared" si="16"/>
        <v>1.2</v>
      </c>
      <c r="F45" s="38">
        <f t="shared" si="1"/>
        <v>7.2</v>
      </c>
      <c r="G45" s="162">
        <f t="shared" si="17"/>
        <v>398.8</v>
      </c>
      <c r="I45" s="129">
        <f t="shared" si="18"/>
        <v>1.4</v>
      </c>
      <c r="J45" s="38">
        <f t="shared" si="2"/>
        <v>8.4</v>
      </c>
      <c r="K45" s="164">
        <f t="shared" si="3"/>
        <v>483.6</v>
      </c>
      <c r="M45" s="129">
        <f t="shared" si="19"/>
        <v>1.7</v>
      </c>
      <c r="N45" s="38">
        <f t="shared" si="4"/>
        <v>10.199999999999999</v>
      </c>
      <c r="O45" s="166">
        <f t="shared" si="5"/>
        <v>600.79999999999995</v>
      </c>
      <c r="Q45" s="129">
        <f t="shared" si="20"/>
        <v>2.1</v>
      </c>
      <c r="R45" s="38">
        <f t="shared" si="6"/>
        <v>12.6</v>
      </c>
      <c r="S45" s="131">
        <f t="shared" si="7"/>
        <v>750.4</v>
      </c>
      <c r="AA45">
        <f t="shared" si="8"/>
        <v>453.6</v>
      </c>
      <c r="AC45" s="54">
        <v>41</v>
      </c>
      <c r="AD45" s="82">
        <v>20</v>
      </c>
      <c r="AE45" s="78">
        <f t="shared" si="21"/>
        <v>882</v>
      </c>
      <c r="AG45" s="54">
        <v>41</v>
      </c>
      <c r="AH45" s="82">
        <v>15</v>
      </c>
      <c r="AI45" s="78">
        <f t="shared" si="22"/>
        <v>899</v>
      </c>
      <c r="AK45" s="54">
        <v>41</v>
      </c>
      <c r="AL45" s="82">
        <v>15.75</v>
      </c>
      <c r="AM45" s="78">
        <f t="shared" si="23"/>
        <v>1093.25</v>
      </c>
      <c r="AO45" s="54">
        <v>41</v>
      </c>
      <c r="AP45" s="82">
        <v>16.5</v>
      </c>
      <c r="AQ45" s="78">
        <f t="shared" si="24"/>
        <v>1137.5</v>
      </c>
      <c r="AS45" s="54">
        <v>41</v>
      </c>
      <c r="AT45" s="82">
        <v>17.25</v>
      </c>
      <c r="AU45" s="78">
        <f t="shared" si="25"/>
        <v>1181.75</v>
      </c>
      <c r="AW45" s="54">
        <v>41</v>
      </c>
      <c r="AX45" s="82">
        <v>18</v>
      </c>
      <c r="AY45" s="78">
        <f t="shared" si="26"/>
        <v>1376</v>
      </c>
      <c r="BA45" s="54">
        <v>41</v>
      </c>
      <c r="BB45" s="82">
        <v>20</v>
      </c>
      <c r="BC45" s="78">
        <f t="shared" si="27"/>
        <v>1042</v>
      </c>
    </row>
    <row r="46" spans="1:55">
      <c r="A46" s="54">
        <v>40</v>
      </c>
      <c r="B46" s="83">
        <v>30</v>
      </c>
      <c r="C46" s="78">
        <f t="shared" si="28"/>
        <v>354</v>
      </c>
      <c r="E46" s="129">
        <f t="shared" si="16"/>
        <v>1.2</v>
      </c>
      <c r="F46" s="38">
        <f t="shared" si="1"/>
        <v>36</v>
      </c>
      <c r="G46" s="162">
        <f t="shared" si="17"/>
        <v>434.8</v>
      </c>
      <c r="I46" s="129">
        <f t="shared" si="18"/>
        <v>1.4</v>
      </c>
      <c r="J46" s="38">
        <f t="shared" si="2"/>
        <v>42</v>
      </c>
      <c r="K46" s="164">
        <f t="shared" si="3"/>
        <v>525.6</v>
      </c>
      <c r="M46" s="129">
        <f t="shared" si="19"/>
        <v>1.7</v>
      </c>
      <c r="N46" s="38">
        <f t="shared" si="4"/>
        <v>51</v>
      </c>
      <c r="O46" s="166">
        <f t="shared" si="5"/>
        <v>651.79999999999995</v>
      </c>
      <c r="Q46" s="129">
        <f t="shared" si="20"/>
        <v>2.1</v>
      </c>
      <c r="R46" s="38">
        <f t="shared" si="6"/>
        <v>63</v>
      </c>
      <c r="S46" s="131">
        <f t="shared" si="7"/>
        <v>813.4</v>
      </c>
      <c r="AA46">
        <f t="shared" si="8"/>
        <v>495.6</v>
      </c>
      <c r="AC46" s="54">
        <v>42</v>
      </c>
      <c r="AD46" s="82">
        <v>20</v>
      </c>
      <c r="AE46" s="78">
        <f t="shared" si="21"/>
        <v>902</v>
      </c>
      <c r="AG46" s="54">
        <v>42</v>
      </c>
      <c r="AH46" s="82">
        <v>15</v>
      </c>
      <c r="AI46" s="78">
        <f t="shared" si="22"/>
        <v>914</v>
      </c>
      <c r="AK46" s="54">
        <v>42</v>
      </c>
      <c r="AL46" s="82">
        <v>15.75</v>
      </c>
      <c r="AM46" s="78">
        <f t="shared" si="23"/>
        <v>1109</v>
      </c>
      <c r="AO46" s="54">
        <v>42</v>
      </c>
      <c r="AP46" s="82">
        <v>16.5</v>
      </c>
      <c r="AQ46" s="78">
        <f t="shared" si="24"/>
        <v>1154</v>
      </c>
      <c r="AS46" s="54">
        <v>42</v>
      </c>
      <c r="AT46" s="82">
        <v>17.25</v>
      </c>
      <c r="AU46" s="78">
        <f t="shared" si="25"/>
        <v>1199</v>
      </c>
      <c r="AW46" s="54">
        <v>42</v>
      </c>
      <c r="AX46" s="82">
        <v>18</v>
      </c>
      <c r="AY46" s="78">
        <f t="shared" si="26"/>
        <v>1394</v>
      </c>
      <c r="BA46" s="54">
        <v>42</v>
      </c>
      <c r="BB46" s="82">
        <v>20</v>
      </c>
      <c r="BC46" s="78">
        <f t="shared" si="27"/>
        <v>1062</v>
      </c>
    </row>
    <row r="47" spans="1:55">
      <c r="A47" s="54">
        <v>41</v>
      </c>
      <c r="B47" s="82">
        <v>7</v>
      </c>
      <c r="C47" s="78">
        <f t="shared" si="28"/>
        <v>361</v>
      </c>
      <c r="E47" s="129">
        <f t="shared" si="16"/>
        <v>1.2</v>
      </c>
      <c r="F47" s="38">
        <f t="shared" si="1"/>
        <v>8.4</v>
      </c>
      <c r="G47" s="162">
        <f t="shared" si="17"/>
        <v>443.2</v>
      </c>
      <c r="I47" s="129">
        <f t="shared" si="18"/>
        <v>1.4</v>
      </c>
      <c r="J47" s="38">
        <f t="shared" si="2"/>
        <v>9.8000000000000007</v>
      </c>
      <c r="K47" s="164">
        <f t="shared" si="3"/>
        <v>535.4</v>
      </c>
      <c r="M47" s="129">
        <f t="shared" si="19"/>
        <v>1.7</v>
      </c>
      <c r="N47" s="38">
        <f t="shared" si="4"/>
        <v>11.9</v>
      </c>
      <c r="O47" s="166">
        <f t="shared" si="5"/>
        <v>663.7</v>
      </c>
      <c r="Q47" s="129">
        <f t="shared" si="20"/>
        <v>2.1</v>
      </c>
      <c r="R47" s="38">
        <f t="shared" si="6"/>
        <v>14.7</v>
      </c>
      <c r="S47" s="131">
        <f t="shared" si="7"/>
        <v>828.1</v>
      </c>
      <c r="AA47">
        <f t="shared" si="8"/>
        <v>505.4</v>
      </c>
      <c r="AC47" s="54">
        <v>43</v>
      </c>
      <c r="AD47" s="82">
        <v>20</v>
      </c>
      <c r="AE47" s="78">
        <f t="shared" si="21"/>
        <v>922</v>
      </c>
      <c r="AG47" s="54">
        <v>43</v>
      </c>
      <c r="AH47" s="82">
        <v>15</v>
      </c>
      <c r="AI47" s="78">
        <f t="shared" si="22"/>
        <v>929</v>
      </c>
      <c r="AK47" s="54">
        <v>43</v>
      </c>
      <c r="AL47" s="82">
        <v>15.75</v>
      </c>
      <c r="AM47" s="78">
        <f t="shared" si="23"/>
        <v>1124.75</v>
      </c>
      <c r="AO47" s="54">
        <v>43</v>
      </c>
      <c r="AP47" s="82">
        <v>16.5</v>
      </c>
      <c r="AQ47" s="78">
        <f t="shared" si="24"/>
        <v>1170.5</v>
      </c>
      <c r="AS47" s="54">
        <v>43</v>
      </c>
      <c r="AT47" s="82">
        <v>17.25</v>
      </c>
      <c r="AU47" s="78">
        <f t="shared" si="25"/>
        <v>1216.25</v>
      </c>
      <c r="AW47" s="54">
        <v>43</v>
      </c>
      <c r="AX47" s="82">
        <v>18</v>
      </c>
      <c r="AY47" s="78">
        <f t="shared" si="26"/>
        <v>1412</v>
      </c>
      <c r="BA47" s="54">
        <v>43</v>
      </c>
      <c r="BB47" s="82">
        <v>20</v>
      </c>
      <c r="BC47" s="78">
        <f t="shared" si="27"/>
        <v>1082</v>
      </c>
    </row>
    <row r="48" spans="1:55">
      <c r="A48" s="54">
        <v>42</v>
      </c>
      <c r="B48" s="82">
        <v>7</v>
      </c>
      <c r="C48" s="78">
        <f t="shared" si="28"/>
        <v>368</v>
      </c>
      <c r="E48" s="129">
        <f t="shared" si="16"/>
        <v>1.2</v>
      </c>
      <c r="F48" s="38">
        <f t="shared" si="1"/>
        <v>8.4</v>
      </c>
      <c r="G48" s="162">
        <f t="shared" si="17"/>
        <v>451.6</v>
      </c>
      <c r="I48" s="129">
        <f t="shared" si="18"/>
        <v>1.4</v>
      </c>
      <c r="J48" s="38">
        <f t="shared" si="2"/>
        <v>9.8000000000000007</v>
      </c>
      <c r="K48" s="164">
        <f t="shared" si="3"/>
        <v>545.20000000000005</v>
      </c>
      <c r="M48" s="129">
        <f t="shared" si="19"/>
        <v>1.7</v>
      </c>
      <c r="N48" s="38">
        <f t="shared" si="4"/>
        <v>11.9</v>
      </c>
      <c r="O48" s="166">
        <f t="shared" si="5"/>
        <v>675.6</v>
      </c>
      <c r="Q48" s="129">
        <f t="shared" si="20"/>
        <v>2.1</v>
      </c>
      <c r="R48" s="38">
        <f t="shared" si="6"/>
        <v>14.7</v>
      </c>
      <c r="S48" s="131">
        <f>S47+R48</f>
        <v>842.8</v>
      </c>
      <c r="U48" s="38"/>
      <c r="AA48">
        <f t="shared" si="8"/>
        <v>515.20000000000005</v>
      </c>
      <c r="AC48" s="54">
        <v>44</v>
      </c>
      <c r="AD48" s="82">
        <v>20</v>
      </c>
      <c r="AE48" s="78">
        <f t="shared" si="21"/>
        <v>942</v>
      </c>
      <c r="AG48" s="54">
        <v>44</v>
      </c>
      <c r="AH48" s="82">
        <v>15</v>
      </c>
      <c r="AI48" s="78">
        <f t="shared" si="22"/>
        <v>944</v>
      </c>
      <c r="AK48" s="54">
        <v>44</v>
      </c>
      <c r="AL48" s="82">
        <v>15.75</v>
      </c>
      <c r="AM48" s="78">
        <f t="shared" si="23"/>
        <v>1140.5</v>
      </c>
      <c r="AO48" s="54">
        <v>44</v>
      </c>
      <c r="AP48" s="82">
        <v>16.5</v>
      </c>
      <c r="AQ48" s="78">
        <f t="shared" si="24"/>
        <v>1187</v>
      </c>
      <c r="AS48" s="54">
        <v>44</v>
      </c>
      <c r="AT48" s="82">
        <v>17.25</v>
      </c>
      <c r="AU48" s="78">
        <f t="shared" si="25"/>
        <v>1233.5</v>
      </c>
      <c r="AW48" s="54">
        <v>44</v>
      </c>
      <c r="AX48" s="82">
        <v>18</v>
      </c>
      <c r="AY48" s="78">
        <f t="shared" si="26"/>
        <v>1430</v>
      </c>
      <c r="BA48" s="54">
        <v>44</v>
      </c>
      <c r="BB48" s="82">
        <v>20</v>
      </c>
      <c r="BC48" s="78">
        <f t="shared" si="27"/>
        <v>1102</v>
      </c>
    </row>
    <row r="49" spans="1:55">
      <c r="A49" s="54">
        <v>43</v>
      </c>
      <c r="B49" s="82">
        <v>7</v>
      </c>
      <c r="C49" s="78">
        <f t="shared" si="28"/>
        <v>375</v>
      </c>
      <c r="E49" s="129">
        <f t="shared" si="16"/>
        <v>1.2</v>
      </c>
      <c r="F49" s="38">
        <f t="shared" si="1"/>
        <v>8.4</v>
      </c>
      <c r="G49" s="162">
        <f t="shared" si="17"/>
        <v>460</v>
      </c>
      <c r="I49" s="129">
        <f t="shared" si="18"/>
        <v>1.4</v>
      </c>
      <c r="J49" s="38">
        <f t="shared" si="2"/>
        <v>9.8000000000000007</v>
      </c>
      <c r="K49" s="164">
        <f t="shared" si="3"/>
        <v>555</v>
      </c>
      <c r="M49" s="129">
        <f t="shared" si="19"/>
        <v>1.7</v>
      </c>
      <c r="N49" s="38">
        <f t="shared" si="4"/>
        <v>11.9</v>
      </c>
      <c r="O49" s="166">
        <f t="shared" si="5"/>
        <v>687.5</v>
      </c>
      <c r="Q49" s="129">
        <f t="shared" si="20"/>
        <v>2.1</v>
      </c>
      <c r="R49" s="38">
        <f t="shared" si="6"/>
        <v>14.7</v>
      </c>
      <c r="S49" s="131">
        <f>S48+R49</f>
        <v>857.5</v>
      </c>
      <c r="U49" s="38"/>
      <c r="AA49">
        <f t="shared" si="8"/>
        <v>525</v>
      </c>
      <c r="AC49" s="54">
        <v>45</v>
      </c>
      <c r="AD49" s="82">
        <v>20</v>
      </c>
      <c r="AE49" s="78">
        <f t="shared" si="21"/>
        <v>962</v>
      </c>
      <c r="AG49" s="54">
        <v>45</v>
      </c>
      <c r="AH49" s="82">
        <v>15</v>
      </c>
      <c r="AI49" s="78">
        <f t="shared" si="22"/>
        <v>959</v>
      </c>
      <c r="AK49" s="54">
        <v>45</v>
      </c>
      <c r="AL49" s="82">
        <v>15.75</v>
      </c>
      <c r="AM49" s="78">
        <f t="shared" si="23"/>
        <v>1156.25</v>
      </c>
      <c r="AO49" s="54">
        <v>45</v>
      </c>
      <c r="AP49" s="82">
        <v>16.5</v>
      </c>
      <c r="AQ49" s="78">
        <f t="shared" si="24"/>
        <v>1203.5</v>
      </c>
      <c r="AS49" s="54">
        <v>45</v>
      </c>
      <c r="AT49" s="82">
        <v>17.25</v>
      </c>
      <c r="AU49" s="78">
        <f t="shared" si="25"/>
        <v>1250.75</v>
      </c>
      <c r="AW49" s="54">
        <v>45</v>
      </c>
      <c r="AX49" s="82">
        <v>18</v>
      </c>
      <c r="AY49" s="78">
        <f t="shared" si="26"/>
        <v>1448</v>
      </c>
      <c r="BA49" s="54">
        <v>45</v>
      </c>
      <c r="BB49" s="82">
        <v>20</v>
      </c>
      <c r="BC49" s="78">
        <f t="shared" si="27"/>
        <v>1122</v>
      </c>
    </row>
    <row r="50" spans="1:55">
      <c r="A50" s="54">
        <v>44</v>
      </c>
      <c r="B50" s="82">
        <v>7</v>
      </c>
      <c r="C50" s="78">
        <f t="shared" si="28"/>
        <v>382</v>
      </c>
      <c r="E50" s="129">
        <f t="shared" si="16"/>
        <v>1.2</v>
      </c>
      <c r="F50" s="38">
        <f t="shared" si="1"/>
        <v>8.4</v>
      </c>
      <c r="G50" s="162">
        <f t="shared" si="17"/>
        <v>468.4</v>
      </c>
      <c r="I50" s="129">
        <f t="shared" si="18"/>
        <v>1.4</v>
      </c>
      <c r="J50" s="38">
        <f t="shared" si="2"/>
        <v>9.8000000000000007</v>
      </c>
      <c r="K50" s="164">
        <f t="shared" si="3"/>
        <v>564.79999999999995</v>
      </c>
      <c r="M50" s="129">
        <f t="shared" si="19"/>
        <v>1.7</v>
      </c>
      <c r="N50" s="38">
        <f t="shared" si="4"/>
        <v>11.9</v>
      </c>
      <c r="O50" s="166">
        <f t="shared" si="5"/>
        <v>699.4</v>
      </c>
      <c r="Q50" s="129">
        <f t="shared" si="20"/>
        <v>2.1</v>
      </c>
      <c r="R50" s="38">
        <f t="shared" si="6"/>
        <v>14.7</v>
      </c>
      <c r="S50" s="131">
        <f t="shared" si="7"/>
        <v>872.2</v>
      </c>
      <c r="U50" s="38"/>
      <c r="AA50">
        <f t="shared" si="8"/>
        <v>534.79999999999995</v>
      </c>
      <c r="AC50" s="54">
        <v>46</v>
      </c>
      <c r="AD50" s="82">
        <v>20</v>
      </c>
      <c r="AE50" s="78">
        <f t="shared" si="21"/>
        <v>982</v>
      </c>
      <c r="AG50" s="54">
        <v>46</v>
      </c>
      <c r="AH50" s="82">
        <v>15</v>
      </c>
      <c r="AI50" s="78">
        <f t="shared" si="22"/>
        <v>974</v>
      </c>
      <c r="AK50" s="54">
        <v>46</v>
      </c>
      <c r="AL50" s="82">
        <v>15.75</v>
      </c>
      <c r="AM50" s="78">
        <f t="shared" si="23"/>
        <v>1172</v>
      </c>
      <c r="AO50" s="54">
        <v>46</v>
      </c>
      <c r="AP50" s="82">
        <v>16.5</v>
      </c>
      <c r="AQ50" s="78">
        <f t="shared" si="24"/>
        <v>1220</v>
      </c>
      <c r="AS50" s="54">
        <v>46</v>
      </c>
      <c r="AT50" s="82">
        <v>17.25</v>
      </c>
      <c r="AU50" s="78">
        <f t="shared" si="25"/>
        <v>1268</v>
      </c>
      <c r="AW50" s="54">
        <v>46</v>
      </c>
      <c r="AX50" s="82">
        <v>18</v>
      </c>
      <c r="AY50" s="78">
        <f t="shared" si="26"/>
        <v>1466</v>
      </c>
      <c r="BA50" s="54">
        <v>46</v>
      </c>
      <c r="BB50" s="82">
        <v>20</v>
      </c>
      <c r="BC50" s="78">
        <f t="shared" si="27"/>
        <v>1142</v>
      </c>
    </row>
    <row r="51" spans="1:55">
      <c r="A51" s="54">
        <v>45</v>
      </c>
      <c r="B51" s="82">
        <v>7</v>
      </c>
      <c r="C51" s="78">
        <f t="shared" si="28"/>
        <v>389</v>
      </c>
      <c r="E51" s="129">
        <f t="shared" si="16"/>
        <v>1.2</v>
      </c>
      <c r="F51" s="38">
        <f t="shared" si="1"/>
        <v>8.4</v>
      </c>
      <c r="G51" s="162">
        <f t="shared" si="17"/>
        <v>476.8</v>
      </c>
      <c r="I51" s="129">
        <f t="shared" si="18"/>
        <v>1.4</v>
      </c>
      <c r="J51" s="38">
        <f t="shared" si="2"/>
        <v>9.8000000000000007</v>
      </c>
      <c r="K51" s="164">
        <f t="shared" si="3"/>
        <v>574.6</v>
      </c>
      <c r="M51" s="129">
        <f t="shared" si="19"/>
        <v>1.7</v>
      </c>
      <c r="N51" s="38">
        <f t="shared" si="4"/>
        <v>11.9</v>
      </c>
      <c r="O51" s="166">
        <f t="shared" si="5"/>
        <v>711.3</v>
      </c>
      <c r="Q51" s="129">
        <f t="shared" si="20"/>
        <v>2.1</v>
      </c>
      <c r="R51" s="38">
        <f t="shared" si="6"/>
        <v>14.7</v>
      </c>
      <c r="S51" s="131">
        <f t="shared" si="7"/>
        <v>886.9</v>
      </c>
      <c r="U51" s="38"/>
      <c r="AA51">
        <f t="shared" si="8"/>
        <v>544.6</v>
      </c>
      <c r="AC51" s="54">
        <v>47</v>
      </c>
      <c r="AD51" s="82">
        <v>20</v>
      </c>
      <c r="AE51" s="78">
        <f t="shared" si="21"/>
        <v>1002</v>
      </c>
      <c r="AG51" s="54">
        <v>47</v>
      </c>
      <c r="AH51" s="82">
        <v>15</v>
      </c>
      <c r="AI51" s="78">
        <f t="shared" si="22"/>
        <v>989</v>
      </c>
      <c r="AK51" s="54">
        <v>47</v>
      </c>
      <c r="AL51" s="82">
        <v>15.75</v>
      </c>
      <c r="AM51" s="78">
        <f t="shared" si="23"/>
        <v>1187.75</v>
      </c>
      <c r="AO51" s="54">
        <v>47</v>
      </c>
      <c r="AP51" s="82">
        <v>16.5</v>
      </c>
      <c r="AQ51" s="78">
        <f t="shared" si="24"/>
        <v>1236.5</v>
      </c>
      <c r="AS51" s="54">
        <v>47</v>
      </c>
      <c r="AT51" s="82">
        <v>17.25</v>
      </c>
      <c r="AU51" s="78">
        <f t="shared" si="25"/>
        <v>1285.25</v>
      </c>
      <c r="AW51" s="54">
        <v>47</v>
      </c>
      <c r="AX51" s="82">
        <v>18</v>
      </c>
      <c r="AY51" s="78">
        <f t="shared" si="26"/>
        <v>1484</v>
      </c>
      <c r="BA51" s="54">
        <v>47</v>
      </c>
      <c r="BB51" s="82">
        <v>20</v>
      </c>
      <c r="BC51" s="78">
        <f t="shared" si="27"/>
        <v>1162</v>
      </c>
    </row>
    <row r="52" spans="1:55">
      <c r="A52" s="54">
        <v>46</v>
      </c>
      <c r="B52" s="82">
        <v>7</v>
      </c>
      <c r="C52" s="78">
        <f t="shared" si="28"/>
        <v>396</v>
      </c>
      <c r="E52" s="129">
        <f t="shared" si="16"/>
        <v>1.2</v>
      </c>
      <c r="F52" s="38">
        <f t="shared" si="1"/>
        <v>8.4</v>
      </c>
      <c r="G52" s="162">
        <f t="shared" si="17"/>
        <v>485.2</v>
      </c>
      <c r="I52" s="129">
        <f t="shared" si="18"/>
        <v>1.4</v>
      </c>
      <c r="J52" s="38">
        <f t="shared" si="2"/>
        <v>9.8000000000000007</v>
      </c>
      <c r="K52" s="164">
        <f t="shared" si="3"/>
        <v>584.4</v>
      </c>
      <c r="M52" s="129">
        <f t="shared" si="19"/>
        <v>1.7</v>
      </c>
      <c r="N52" s="38">
        <f t="shared" si="4"/>
        <v>11.9</v>
      </c>
      <c r="O52" s="166">
        <f t="shared" si="5"/>
        <v>723.2</v>
      </c>
      <c r="Q52" s="129">
        <f t="shared" si="20"/>
        <v>2.1</v>
      </c>
      <c r="R52" s="38">
        <f t="shared" si="6"/>
        <v>14.7</v>
      </c>
      <c r="S52" s="131">
        <f t="shared" si="7"/>
        <v>901.6</v>
      </c>
      <c r="U52" s="38"/>
      <c r="AA52">
        <f t="shared" si="8"/>
        <v>554.4</v>
      </c>
      <c r="AC52" s="54">
        <v>48</v>
      </c>
      <c r="AD52" s="82">
        <v>20</v>
      </c>
      <c r="AE52" s="78">
        <f t="shared" si="21"/>
        <v>1022</v>
      </c>
      <c r="AG52" s="54">
        <v>48</v>
      </c>
      <c r="AH52" s="82">
        <v>15</v>
      </c>
      <c r="AI52" s="78">
        <f t="shared" si="22"/>
        <v>1004</v>
      </c>
      <c r="AK52" s="54">
        <v>48</v>
      </c>
      <c r="AL52" s="82">
        <v>15.75</v>
      </c>
      <c r="AM52" s="78">
        <f t="shared" si="23"/>
        <v>1203.5</v>
      </c>
      <c r="AO52" s="54">
        <v>48</v>
      </c>
      <c r="AP52" s="82">
        <v>16.5</v>
      </c>
      <c r="AQ52" s="78">
        <f t="shared" si="24"/>
        <v>1253</v>
      </c>
      <c r="AS52" s="54">
        <v>48</v>
      </c>
      <c r="AT52" s="82">
        <v>17.25</v>
      </c>
      <c r="AU52" s="78">
        <f t="shared" si="25"/>
        <v>1302.5</v>
      </c>
      <c r="AW52" s="54">
        <v>48</v>
      </c>
      <c r="AX52" s="82">
        <v>18</v>
      </c>
      <c r="AY52" s="78">
        <f t="shared" si="26"/>
        <v>1502</v>
      </c>
      <c r="BA52" s="54">
        <v>48</v>
      </c>
      <c r="BB52" s="82">
        <v>20</v>
      </c>
      <c r="BC52" s="78">
        <f t="shared" si="27"/>
        <v>1182</v>
      </c>
    </row>
    <row r="53" spans="1:55">
      <c r="A53" s="54">
        <v>47</v>
      </c>
      <c r="B53" s="82">
        <v>7</v>
      </c>
      <c r="C53" s="78">
        <f t="shared" si="28"/>
        <v>403</v>
      </c>
      <c r="E53" s="129">
        <f t="shared" si="16"/>
        <v>1.2</v>
      </c>
      <c r="F53" s="38">
        <f t="shared" si="1"/>
        <v>8.4</v>
      </c>
      <c r="G53" s="162">
        <f t="shared" si="17"/>
        <v>493.6</v>
      </c>
      <c r="I53" s="129">
        <f t="shared" si="18"/>
        <v>1.4</v>
      </c>
      <c r="J53" s="38">
        <f t="shared" si="2"/>
        <v>9.8000000000000007</v>
      </c>
      <c r="K53" s="164">
        <f t="shared" si="3"/>
        <v>594.20000000000005</v>
      </c>
      <c r="M53" s="129">
        <f t="shared" si="19"/>
        <v>1.7</v>
      </c>
      <c r="N53" s="38">
        <f t="shared" si="4"/>
        <v>11.9</v>
      </c>
      <c r="O53" s="166">
        <f t="shared" si="5"/>
        <v>735.1</v>
      </c>
      <c r="Q53" s="129">
        <f t="shared" si="20"/>
        <v>2.1</v>
      </c>
      <c r="R53" s="38">
        <f t="shared" si="6"/>
        <v>14.7</v>
      </c>
      <c r="S53" s="131">
        <f t="shared" si="7"/>
        <v>916.3</v>
      </c>
      <c r="U53" s="38"/>
      <c r="AA53">
        <f t="shared" si="8"/>
        <v>564.20000000000005</v>
      </c>
      <c r="AC53" s="54">
        <v>49</v>
      </c>
      <c r="AD53" s="82">
        <v>20</v>
      </c>
      <c r="AE53" s="78">
        <f t="shared" si="21"/>
        <v>1042</v>
      </c>
      <c r="AG53" s="54">
        <v>49</v>
      </c>
      <c r="AH53" s="82">
        <v>15</v>
      </c>
      <c r="AI53" s="78">
        <f t="shared" si="22"/>
        <v>1019</v>
      </c>
      <c r="AK53" s="54">
        <v>49</v>
      </c>
      <c r="AL53" s="82">
        <v>15.75</v>
      </c>
      <c r="AM53" s="78">
        <f t="shared" si="23"/>
        <v>1219.25</v>
      </c>
      <c r="AO53" s="54">
        <v>49</v>
      </c>
      <c r="AP53" s="82">
        <v>16.5</v>
      </c>
      <c r="AQ53" s="78">
        <f t="shared" si="24"/>
        <v>1269.5</v>
      </c>
      <c r="AS53" s="54">
        <v>49</v>
      </c>
      <c r="AT53" s="82">
        <v>17.25</v>
      </c>
      <c r="AU53" s="78">
        <f t="shared" si="25"/>
        <v>1319.75</v>
      </c>
      <c r="AW53" s="54">
        <v>49</v>
      </c>
      <c r="AX53" s="82">
        <v>18</v>
      </c>
      <c r="AY53" s="78">
        <f t="shared" si="26"/>
        <v>1520</v>
      </c>
      <c r="BA53" s="54">
        <v>49</v>
      </c>
      <c r="BB53" s="82">
        <v>20</v>
      </c>
      <c r="BC53" s="78">
        <f t="shared" si="27"/>
        <v>1202</v>
      </c>
    </row>
    <row r="54" spans="1:55">
      <c r="A54" s="54">
        <v>48</v>
      </c>
      <c r="B54" s="82">
        <v>7</v>
      </c>
      <c r="C54" s="78">
        <f t="shared" si="28"/>
        <v>410</v>
      </c>
      <c r="E54" s="129">
        <f t="shared" si="16"/>
        <v>1.2</v>
      </c>
      <c r="F54" s="38">
        <f t="shared" si="1"/>
        <v>8.4</v>
      </c>
      <c r="G54" s="162">
        <f t="shared" si="17"/>
        <v>502</v>
      </c>
      <c r="I54" s="129">
        <f t="shared" si="18"/>
        <v>1.4</v>
      </c>
      <c r="J54" s="38">
        <f t="shared" si="2"/>
        <v>9.8000000000000007</v>
      </c>
      <c r="K54" s="164">
        <f t="shared" si="3"/>
        <v>604</v>
      </c>
      <c r="M54" s="129">
        <f t="shared" si="19"/>
        <v>1.7</v>
      </c>
      <c r="N54" s="38">
        <f t="shared" si="4"/>
        <v>11.9</v>
      </c>
      <c r="O54" s="166">
        <f t="shared" si="5"/>
        <v>747</v>
      </c>
      <c r="Q54" s="129">
        <f t="shared" si="20"/>
        <v>2.1</v>
      </c>
      <c r="R54" s="38">
        <f t="shared" si="6"/>
        <v>14.7</v>
      </c>
      <c r="S54" s="131">
        <f t="shared" si="7"/>
        <v>931</v>
      </c>
      <c r="U54" s="38"/>
      <c r="AA54">
        <f t="shared" si="8"/>
        <v>574</v>
      </c>
      <c r="AC54" s="54">
        <v>50</v>
      </c>
      <c r="AD54" s="82">
        <v>25</v>
      </c>
      <c r="AE54" s="78">
        <f t="shared" si="21"/>
        <v>1067</v>
      </c>
      <c r="AG54" s="54">
        <v>50</v>
      </c>
      <c r="AH54" s="82">
        <v>15</v>
      </c>
      <c r="AI54" s="78">
        <f t="shared" si="22"/>
        <v>1034</v>
      </c>
      <c r="AK54" s="54">
        <v>50</v>
      </c>
      <c r="AL54" s="82">
        <v>15.75</v>
      </c>
      <c r="AM54" s="78">
        <f t="shared" si="23"/>
        <v>1235</v>
      </c>
      <c r="AO54" s="54">
        <v>50</v>
      </c>
      <c r="AP54" s="82">
        <v>16.5</v>
      </c>
      <c r="AQ54" s="78">
        <f t="shared" si="24"/>
        <v>1286</v>
      </c>
      <c r="AS54" s="54">
        <v>50</v>
      </c>
      <c r="AT54" s="82">
        <v>17.25</v>
      </c>
      <c r="AU54" s="78">
        <f t="shared" si="25"/>
        <v>1337</v>
      </c>
      <c r="AW54" s="54">
        <v>50</v>
      </c>
      <c r="AX54" s="82">
        <v>18</v>
      </c>
      <c r="AY54" s="78">
        <f t="shared" si="26"/>
        <v>1538</v>
      </c>
      <c r="BA54" s="54">
        <v>50</v>
      </c>
      <c r="BB54" s="82">
        <v>25</v>
      </c>
      <c r="BC54" s="78">
        <f t="shared" si="27"/>
        <v>1227</v>
      </c>
    </row>
    <row r="55" spans="1:55">
      <c r="A55" s="54">
        <v>49</v>
      </c>
      <c r="B55" s="82">
        <v>7</v>
      </c>
      <c r="C55" s="78">
        <f t="shared" si="28"/>
        <v>417</v>
      </c>
      <c r="E55" s="129">
        <f t="shared" si="16"/>
        <v>1.2</v>
      </c>
      <c r="F55" s="38">
        <f t="shared" si="1"/>
        <v>8.4</v>
      </c>
      <c r="G55" s="162">
        <f t="shared" si="17"/>
        <v>510.4</v>
      </c>
      <c r="I55" s="129">
        <f t="shared" si="18"/>
        <v>1.4</v>
      </c>
      <c r="J55" s="38">
        <f t="shared" si="2"/>
        <v>9.8000000000000007</v>
      </c>
      <c r="K55" s="164">
        <f t="shared" si="3"/>
        <v>613.79999999999995</v>
      </c>
      <c r="M55" s="129">
        <f t="shared" si="19"/>
        <v>1.7</v>
      </c>
      <c r="N55" s="38">
        <f t="shared" si="4"/>
        <v>11.9</v>
      </c>
      <c r="O55" s="166">
        <f t="shared" si="5"/>
        <v>758.9</v>
      </c>
      <c r="Q55" s="129">
        <f t="shared" si="20"/>
        <v>2.1</v>
      </c>
      <c r="R55" s="38">
        <f t="shared" si="6"/>
        <v>14.7</v>
      </c>
      <c r="S55" s="131">
        <f t="shared" si="7"/>
        <v>945.7</v>
      </c>
      <c r="U55" s="38"/>
      <c r="AA55">
        <f t="shared" si="8"/>
        <v>583.79999999999995</v>
      </c>
      <c r="AC55" s="54">
        <v>51</v>
      </c>
      <c r="AD55" s="82">
        <v>25</v>
      </c>
      <c r="AE55" s="78">
        <f t="shared" si="21"/>
        <v>1092</v>
      </c>
      <c r="AG55" s="54">
        <v>51</v>
      </c>
      <c r="AH55" s="82">
        <v>15</v>
      </c>
      <c r="AI55" s="78">
        <f t="shared" si="22"/>
        <v>1049</v>
      </c>
      <c r="AK55" s="54">
        <v>51</v>
      </c>
      <c r="AL55" s="82">
        <v>15.75</v>
      </c>
      <c r="AM55" s="78">
        <f t="shared" si="23"/>
        <v>1250.75</v>
      </c>
      <c r="AO55" s="54">
        <v>51</v>
      </c>
      <c r="AP55" s="82">
        <v>16.5</v>
      </c>
      <c r="AQ55" s="78">
        <f t="shared" si="24"/>
        <v>1302.5</v>
      </c>
      <c r="AS55" s="54">
        <v>51</v>
      </c>
      <c r="AT55" s="82">
        <v>17.25</v>
      </c>
      <c r="AU55" s="78">
        <f t="shared" si="25"/>
        <v>1354.25</v>
      </c>
      <c r="AW55" s="54">
        <v>51</v>
      </c>
      <c r="AX55" s="82">
        <v>18</v>
      </c>
      <c r="AY55" s="78">
        <f t="shared" si="26"/>
        <v>1556</v>
      </c>
      <c r="BA55" s="54">
        <v>51</v>
      </c>
      <c r="BB55" s="82">
        <v>25</v>
      </c>
      <c r="BC55" s="78">
        <f t="shared" si="27"/>
        <v>1252</v>
      </c>
    </row>
    <row r="56" spans="1:55">
      <c r="A56" s="54">
        <v>50</v>
      </c>
      <c r="B56" s="82">
        <v>7</v>
      </c>
      <c r="C56" s="78">
        <f t="shared" si="28"/>
        <v>424</v>
      </c>
      <c r="E56" s="129">
        <f t="shared" si="16"/>
        <v>1.2</v>
      </c>
      <c r="F56" s="38">
        <f t="shared" si="1"/>
        <v>8.4</v>
      </c>
      <c r="G56" s="162">
        <f t="shared" si="17"/>
        <v>518.79999999999995</v>
      </c>
      <c r="I56" s="129">
        <f t="shared" si="18"/>
        <v>1.4</v>
      </c>
      <c r="J56" s="38">
        <f t="shared" si="2"/>
        <v>9.8000000000000007</v>
      </c>
      <c r="K56" s="164">
        <f t="shared" si="3"/>
        <v>623.6</v>
      </c>
      <c r="M56" s="129">
        <f t="shared" si="19"/>
        <v>1.7</v>
      </c>
      <c r="N56" s="38">
        <f t="shared" si="4"/>
        <v>11.9</v>
      </c>
      <c r="O56" s="166">
        <f t="shared" si="5"/>
        <v>770.8</v>
      </c>
      <c r="Q56" s="129">
        <f t="shared" si="20"/>
        <v>2.1</v>
      </c>
      <c r="R56" s="38">
        <f t="shared" si="6"/>
        <v>14.7</v>
      </c>
      <c r="S56" s="131">
        <f t="shared" si="7"/>
        <v>960.4</v>
      </c>
      <c r="U56" s="38"/>
      <c r="AA56">
        <f t="shared" si="8"/>
        <v>593.6</v>
      </c>
      <c r="AC56" s="54">
        <v>52</v>
      </c>
      <c r="AD56" s="82">
        <v>25</v>
      </c>
      <c r="AE56" s="78">
        <f t="shared" si="21"/>
        <v>1117</v>
      </c>
      <c r="AG56" s="54">
        <v>52</v>
      </c>
      <c r="AH56" s="82">
        <v>15</v>
      </c>
      <c r="AI56" s="78">
        <f t="shared" si="22"/>
        <v>1064</v>
      </c>
      <c r="AK56" s="54">
        <v>52</v>
      </c>
      <c r="AL56" s="82">
        <v>15.75</v>
      </c>
      <c r="AM56" s="78">
        <f t="shared" si="23"/>
        <v>1266.5</v>
      </c>
      <c r="AO56" s="54">
        <v>52</v>
      </c>
      <c r="AP56" s="82">
        <v>16.5</v>
      </c>
      <c r="AQ56" s="78">
        <f t="shared" si="24"/>
        <v>1319</v>
      </c>
      <c r="AS56" s="54">
        <v>52</v>
      </c>
      <c r="AT56" s="82">
        <v>17.25</v>
      </c>
      <c r="AU56" s="78">
        <f t="shared" si="25"/>
        <v>1371.5</v>
      </c>
      <c r="AW56" s="54">
        <v>52</v>
      </c>
      <c r="AX56" s="82">
        <v>18</v>
      </c>
      <c r="AY56" s="78">
        <f t="shared" si="26"/>
        <v>1574</v>
      </c>
      <c r="BA56" s="54">
        <v>52</v>
      </c>
      <c r="BB56" s="82">
        <v>25</v>
      </c>
      <c r="BC56" s="78">
        <f t="shared" si="27"/>
        <v>1277</v>
      </c>
    </row>
    <row r="57" spans="1:55">
      <c r="A57" s="54">
        <v>51</v>
      </c>
      <c r="B57" s="82">
        <v>7</v>
      </c>
      <c r="C57" s="78">
        <f t="shared" si="28"/>
        <v>431</v>
      </c>
      <c r="E57" s="129">
        <f t="shared" si="16"/>
        <v>1.2</v>
      </c>
      <c r="F57" s="38">
        <f t="shared" si="1"/>
        <v>8.4</v>
      </c>
      <c r="G57" s="162">
        <f t="shared" si="17"/>
        <v>527.20000000000005</v>
      </c>
      <c r="I57" s="129">
        <f t="shared" si="18"/>
        <v>1.4</v>
      </c>
      <c r="J57" s="38">
        <f t="shared" si="2"/>
        <v>9.8000000000000007</v>
      </c>
      <c r="K57" s="164">
        <f t="shared" si="3"/>
        <v>633.4</v>
      </c>
      <c r="M57" s="129">
        <f t="shared" si="19"/>
        <v>1.7</v>
      </c>
      <c r="N57" s="38">
        <f t="shared" si="4"/>
        <v>11.9</v>
      </c>
      <c r="O57" s="166">
        <f t="shared" si="5"/>
        <v>782.7</v>
      </c>
      <c r="Q57" s="129">
        <f t="shared" si="20"/>
        <v>2.1</v>
      </c>
      <c r="R57" s="38">
        <f t="shared" si="6"/>
        <v>14.7</v>
      </c>
      <c r="S57" s="131">
        <f t="shared" si="7"/>
        <v>975.1</v>
      </c>
      <c r="U57" s="38"/>
      <c r="AA57">
        <f t="shared" si="8"/>
        <v>603.4</v>
      </c>
      <c r="AC57" s="54">
        <v>53</v>
      </c>
      <c r="AD57" s="82">
        <v>25</v>
      </c>
      <c r="AE57" s="78">
        <f t="shared" si="21"/>
        <v>1142</v>
      </c>
      <c r="AG57" s="54">
        <v>53</v>
      </c>
      <c r="AH57" s="82">
        <v>15</v>
      </c>
      <c r="AI57" s="78">
        <f t="shared" si="22"/>
        <v>1079</v>
      </c>
      <c r="AK57" s="54">
        <v>53</v>
      </c>
      <c r="AL57" s="82">
        <v>15.75</v>
      </c>
      <c r="AM57" s="78">
        <f t="shared" si="23"/>
        <v>1282.25</v>
      </c>
      <c r="AO57" s="54">
        <v>53</v>
      </c>
      <c r="AP57" s="82">
        <v>16.5</v>
      </c>
      <c r="AQ57" s="78">
        <f t="shared" si="24"/>
        <v>1335.5</v>
      </c>
      <c r="AS57" s="54">
        <v>53</v>
      </c>
      <c r="AT57" s="82">
        <v>17.25</v>
      </c>
      <c r="AU57" s="78">
        <f t="shared" si="25"/>
        <v>1388.75</v>
      </c>
      <c r="AW57" s="54">
        <v>53</v>
      </c>
      <c r="AX57" s="82">
        <v>18</v>
      </c>
      <c r="AY57" s="78">
        <f t="shared" si="26"/>
        <v>1592</v>
      </c>
      <c r="BA57" s="54">
        <v>53</v>
      </c>
      <c r="BB57" s="82">
        <v>25</v>
      </c>
      <c r="BC57" s="78">
        <f t="shared" si="27"/>
        <v>1302</v>
      </c>
    </row>
    <row r="58" spans="1:55">
      <c r="A58" s="54">
        <v>52</v>
      </c>
      <c r="B58" s="82">
        <v>7</v>
      </c>
      <c r="C58" s="78">
        <f t="shared" si="28"/>
        <v>438</v>
      </c>
      <c r="E58" s="129">
        <f t="shared" si="16"/>
        <v>1.2</v>
      </c>
      <c r="F58" s="38">
        <f t="shared" si="1"/>
        <v>8.4</v>
      </c>
      <c r="G58" s="162">
        <f t="shared" si="17"/>
        <v>535.6</v>
      </c>
      <c r="I58" s="129">
        <f t="shared" si="18"/>
        <v>1.4</v>
      </c>
      <c r="J58" s="38">
        <f t="shared" si="2"/>
        <v>9.8000000000000007</v>
      </c>
      <c r="K58" s="164">
        <f t="shared" si="3"/>
        <v>643.20000000000005</v>
      </c>
      <c r="M58" s="129">
        <f t="shared" si="19"/>
        <v>1.7</v>
      </c>
      <c r="N58" s="38">
        <f t="shared" si="4"/>
        <v>11.9</v>
      </c>
      <c r="O58" s="166">
        <f t="shared" si="5"/>
        <v>794.6</v>
      </c>
      <c r="Q58" s="129">
        <f t="shared" si="20"/>
        <v>2.1</v>
      </c>
      <c r="R58" s="38">
        <f t="shared" si="6"/>
        <v>14.7</v>
      </c>
      <c r="S58" s="131">
        <f t="shared" si="7"/>
        <v>989.8</v>
      </c>
      <c r="U58" s="38"/>
      <c r="AA58">
        <f t="shared" si="8"/>
        <v>613.20000000000005</v>
      </c>
      <c r="AC58" s="54">
        <v>54</v>
      </c>
      <c r="AD58" s="82">
        <v>25</v>
      </c>
      <c r="AE58" s="78">
        <f t="shared" si="21"/>
        <v>1167</v>
      </c>
      <c r="AG58" s="54">
        <v>54</v>
      </c>
      <c r="AH58" s="82">
        <v>15</v>
      </c>
      <c r="AI58" s="78">
        <f t="shared" si="22"/>
        <v>1094</v>
      </c>
      <c r="AK58" s="54">
        <v>54</v>
      </c>
      <c r="AL58" s="82">
        <v>15.75</v>
      </c>
      <c r="AM58" s="78">
        <f t="shared" si="23"/>
        <v>1298</v>
      </c>
      <c r="AO58" s="54">
        <v>54</v>
      </c>
      <c r="AP58" s="82">
        <v>16.5</v>
      </c>
      <c r="AQ58" s="78">
        <f t="shared" si="24"/>
        <v>1352</v>
      </c>
      <c r="AS58" s="54">
        <v>54</v>
      </c>
      <c r="AT58" s="82">
        <v>17.25</v>
      </c>
      <c r="AU58" s="78">
        <f t="shared" si="25"/>
        <v>1406</v>
      </c>
      <c r="AW58" s="54">
        <v>54</v>
      </c>
      <c r="AX58" s="82">
        <v>18</v>
      </c>
      <c r="AY58" s="78">
        <f t="shared" si="26"/>
        <v>1610</v>
      </c>
      <c r="BA58" s="54">
        <v>54</v>
      </c>
      <c r="BB58" s="82">
        <v>25</v>
      </c>
      <c r="BC58" s="78">
        <f t="shared" si="27"/>
        <v>1327</v>
      </c>
    </row>
    <row r="59" spans="1:55">
      <c r="A59" s="54">
        <v>53</v>
      </c>
      <c r="B59" s="82">
        <v>7</v>
      </c>
      <c r="C59" s="78">
        <f t="shared" si="28"/>
        <v>445</v>
      </c>
      <c r="E59" s="129">
        <f t="shared" si="16"/>
        <v>1.2</v>
      </c>
      <c r="F59" s="38">
        <f t="shared" si="1"/>
        <v>8.4</v>
      </c>
      <c r="G59" s="162">
        <f t="shared" si="17"/>
        <v>544</v>
      </c>
      <c r="I59" s="129">
        <f t="shared" si="18"/>
        <v>1.4</v>
      </c>
      <c r="J59" s="38">
        <f t="shared" si="2"/>
        <v>9.8000000000000007</v>
      </c>
      <c r="K59" s="164">
        <f t="shared" si="3"/>
        <v>653</v>
      </c>
      <c r="M59" s="129">
        <f t="shared" si="19"/>
        <v>1.7</v>
      </c>
      <c r="N59" s="38">
        <f t="shared" si="4"/>
        <v>11.9</v>
      </c>
      <c r="O59" s="166">
        <f t="shared" si="5"/>
        <v>806.5</v>
      </c>
      <c r="Q59" s="129">
        <f t="shared" si="20"/>
        <v>2.1</v>
      </c>
      <c r="R59" s="38">
        <f t="shared" si="6"/>
        <v>14.7</v>
      </c>
      <c r="S59" s="131">
        <f t="shared" si="7"/>
        <v>1004.5</v>
      </c>
      <c r="U59" s="38"/>
      <c r="AA59">
        <f t="shared" si="8"/>
        <v>623</v>
      </c>
      <c r="AC59" s="54">
        <v>55</v>
      </c>
      <c r="AD59" s="82">
        <v>25</v>
      </c>
      <c r="AE59" s="78">
        <f t="shared" si="21"/>
        <v>1192</v>
      </c>
      <c r="AG59" s="54">
        <v>55</v>
      </c>
      <c r="AH59" s="82">
        <v>15</v>
      </c>
      <c r="AI59" s="78">
        <f t="shared" si="22"/>
        <v>1109</v>
      </c>
      <c r="AK59" s="54">
        <v>55</v>
      </c>
      <c r="AL59" s="82">
        <v>15.75</v>
      </c>
      <c r="AM59" s="78">
        <f t="shared" si="23"/>
        <v>1313.75</v>
      </c>
      <c r="AO59" s="54">
        <v>55</v>
      </c>
      <c r="AP59" s="82">
        <v>16.5</v>
      </c>
      <c r="AQ59" s="78">
        <f t="shared" si="24"/>
        <v>1368.5</v>
      </c>
      <c r="AS59" s="54">
        <v>55</v>
      </c>
      <c r="AT59" s="82">
        <v>17.25</v>
      </c>
      <c r="AU59" s="78">
        <f t="shared" si="25"/>
        <v>1423.25</v>
      </c>
      <c r="AW59" s="54">
        <v>55</v>
      </c>
      <c r="AX59" s="82">
        <v>18</v>
      </c>
      <c r="AY59" s="78">
        <f t="shared" si="26"/>
        <v>1628</v>
      </c>
      <c r="BA59" s="54">
        <v>55</v>
      </c>
      <c r="BB59" s="82">
        <v>25</v>
      </c>
      <c r="BC59" s="78">
        <f t="shared" si="27"/>
        <v>1352</v>
      </c>
    </row>
    <row r="60" spans="1:55">
      <c r="A60" s="54">
        <v>54</v>
      </c>
      <c r="B60" s="82">
        <v>7</v>
      </c>
      <c r="C60" s="78">
        <f t="shared" si="28"/>
        <v>452</v>
      </c>
      <c r="E60" s="129">
        <f t="shared" si="16"/>
        <v>1.2</v>
      </c>
      <c r="F60" s="38">
        <f t="shared" si="1"/>
        <v>8.4</v>
      </c>
      <c r="G60" s="162">
        <f t="shared" si="17"/>
        <v>552.4</v>
      </c>
      <c r="I60" s="129">
        <f t="shared" si="18"/>
        <v>1.4</v>
      </c>
      <c r="J60" s="38">
        <f t="shared" si="2"/>
        <v>9.8000000000000007</v>
      </c>
      <c r="K60" s="164">
        <f t="shared" si="3"/>
        <v>662.8</v>
      </c>
      <c r="M60" s="129">
        <f t="shared" si="19"/>
        <v>1.7</v>
      </c>
      <c r="N60" s="38">
        <f t="shared" si="4"/>
        <v>11.9</v>
      </c>
      <c r="O60" s="166">
        <f t="shared" si="5"/>
        <v>818.4</v>
      </c>
      <c r="Q60" s="129">
        <f t="shared" si="20"/>
        <v>2.1</v>
      </c>
      <c r="R60" s="38">
        <f t="shared" si="6"/>
        <v>14.7</v>
      </c>
      <c r="S60" s="131">
        <f t="shared" si="7"/>
        <v>1019.2</v>
      </c>
      <c r="U60" s="38"/>
      <c r="AA60">
        <f t="shared" si="8"/>
        <v>632.79999999999995</v>
      </c>
      <c r="AC60" s="54">
        <v>56</v>
      </c>
      <c r="AD60" s="82">
        <v>25</v>
      </c>
      <c r="AE60" s="78">
        <f t="shared" si="21"/>
        <v>1217</v>
      </c>
      <c r="AG60" s="54">
        <v>56</v>
      </c>
      <c r="AH60" s="82">
        <v>15</v>
      </c>
      <c r="AI60" s="78">
        <f t="shared" si="22"/>
        <v>1124</v>
      </c>
      <c r="AK60" s="54">
        <v>56</v>
      </c>
      <c r="AL60" s="82">
        <v>15.75</v>
      </c>
      <c r="AM60" s="78">
        <f t="shared" si="23"/>
        <v>1329.5</v>
      </c>
      <c r="AO60" s="54">
        <v>56</v>
      </c>
      <c r="AP60" s="82">
        <v>16.5</v>
      </c>
      <c r="AQ60" s="78">
        <f t="shared" si="24"/>
        <v>1385</v>
      </c>
      <c r="AS60" s="54">
        <v>56</v>
      </c>
      <c r="AT60" s="82">
        <v>17.25</v>
      </c>
      <c r="AU60" s="78">
        <f t="shared" si="25"/>
        <v>1440.5</v>
      </c>
      <c r="AW60" s="54">
        <v>56</v>
      </c>
      <c r="AX60" s="82">
        <v>18</v>
      </c>
      <c r="AY60" s="78">
        <f t="shared" si="26"/>
        <v>1646</v>
      </c>
      <c r="BA60" s="54">
        <v>56</v>
      </c>
      <c r="BB60" s="82">
        <v>25</v>
      </c>
      <c r="BC60" s="78">
        <f t="shared" si="27"/>
        <v>1377</v>
      </c>
    </row>
    <row r="61" spans="1:55">
      <c r="A61" s="54">
        <v>55</v>
      </c>
      <c r="B61" s="82">
        <v>7</v>
      </c>
      <c r="C61" s="78">
        <f t="shared" si="28"/>
        <v>459</v>
      </c>
      <c r="E61" s="129">
        <f t="shared" si="16"/>
        <v>1.2</v>
      </c>
      <c r="F61" s="38">
        <f t="shared" si="1"/>
        <v>8.4</v>
      </c>
      <c r="G61" s="162">
        <f t="shared" si="17"/>
        <v>560.79999999999995</v>
      </c>
      <c r="I61" s="129">
        <f t="shared" si="18"/>
        <v>1.4</v>
      </c>
      <c r="J61" s="38">
        <f t="shared" si="2"/>
        <v>9.8000000000000007</v>
      </c>
      <c r="K61" s="164">
        <f t="shared" si="3"/>
        <v>672.6</v>
      </c>
      <c r="M61" s="129">
        <f t="shared" si="19"/>
        <v>1.7</v>
      </c>
      <c r="N61" s="38">
        <f t="shared" si="4"/>
        <v>11.9</v>
      </c>
      <c r="O61" s="166">
        <f t="shared" si="5"/>
        <v>830.3</v>
      </c>
      <c r="Q61" s="129">
        <f t="shared" si="20"/>
        <v>2.1</v>
      </c>
      <c r="R61" s="38">
        <f t="shared" si="6"/>
        <v>14.7</v>
      </c>
      <c r="S61" s="131">
        <f t="shared" si="7"/>
        <v>1033.9000000000001</v>
      </c>
      <c r="U61" s="38"/>
      <c r="AA61">
        <f t="shared" si="8"/>
        <v>642.6</v>
      </c>
      <c r="AC61" s="54">
        <v>57</v>
      </c>
      <c r="AD61" s="82">
        <v>25</v>
      </c>
      <c r="AE61" s="78">
        <f t="shared" si="21"/>
        <v>1242</v>
      </c>
      <c r="AG61" s="54">
        <v>57</v>
      </c>
      <c r="AH61" s="82">
        <v>15</v>
      </c>
      <c r="AI61" s="78">
        <f t="shared" si="22"/>
        <v>1139</v>
      </c>
      <c r="AK61" s="54">
        <v>57</v>
      </c>
      <c r="AL61" s="82">
        <v>15.75</v>
      </c>
      <c r="AM61" s="78">
        <f t="shared" si="23"/>
        <v>1345.25</v>
      </c>
      <c r="AO61" s="54">
        <v>57</v>
      </c>
      <c r="AP61" s="82">
        <v>16.5</v>
      </c>
      <c r="AQ61" s="78">
        <f t="shared" si="24"/>
        <v>1401.5</v>
      </c>
      <c r="AS61" s="54">
        <v>57</v>
      </c>
      <c r="AT61" s="82">
        <v>17.25</v>
      </c>
      <c r="AU61" s="78">
        <f t="shared" si="25"/>
        <v>1457.75</v>
      </c>
      <c r="AW61" s="54">
        <v>57</v>
      </c>
      <c r="AX61" s="82">
        <v>18</v>
      </c>
      <c r="AY61" s="78">
        <f t="shared" si="26"/>
        <v>1664</v>
      </c>
      <c r="BA61" s="54">
        <v>57</v>
      </c>
      <c r="BB61" s="82">
        <v>25</v>
      </c>
      <c r="BC61" s="78">
        <f t="shared" si="27"/>
        <v>1402</v>
      </c>
    </row>
    <row r="62" spans="1:55">
      <c r="A62" s="54">
        <v>56</v>
      </c>
      <c r="B62" s="82">
        <v>7</v>
      </c>
      <c r="C62" s="78">
        <f t="shared" si="28"/>
        <v>466</v>
      </c>
      <c r="E62" s="129">
        <f t="shared" si="16"/>
        <v>1.2</v>
      </c>
      <c r="F62" s="38">
        <f t="shared" si="1"/>
        <v>8.4</v>
      </c>
      <c r="G62" s="162">
        <f t="shared" si="17"/>
        <v>569.20000000000005</v>
      </c>
      <c r="I62" s="129">
        <f t="shared" si="18"/>
        <v>1.4</v>
      </c>
      <c r="J62" s="38">
        <f t="shared" si="2"/>
        <v>9.8000000000000007</v>
      </c>
      <c r="K62" s="164">
        <f t="shared" si="3"/>
        <v>682.4</v>
      </c>
      <c r="M62" s="129">
        <f t="shared" si="19"/>
        <v>1.7</v>
      </c>
      <c r="N62" s="38">
        <f t="shared" si="4"/>
        <v>11.9</v>
      </c>
      <c r="O62" s="166">
        <f t="shared" si="5"/>
        <v>842.2</v>
      </c>
      <c r="Q62" s="129">
        <f t="shared" si="20"/>
        <v>2.1</v>
      </c>
      <c r="R62" s="38">
        <f t="shared" si="6"/>
        <v>14.7</v>
      </c>
      <c r="S62" s="131">
        <f t="shared" si="7"/>
        <v>1048.5999999999999</v>
      </c>
      <c r="AA62">
        <f t="shared" si="8"/>
        <v>652.4</v>
      </c>
      <c r="AC62" s="54">
        <v>58</v>
      </c>
      <c r="AD62" s="82">
        <v>25</v>
      </c>
      <c r="AE62" s="78">
        <f t="shared" si="21"/>
        <v>1267</v>
      </c>
      <c r="AG62" s="54">
        <v>58</v>
      </c>
      <c r="AH62" s="82">
        <v>15</v>
      </c>
      <c r="AI62" s="78">
        <f t="shared" si="22"/>
        <v>1154</v>
      </c>
      <c r="AK62" s="54">
        <v>58</v>
      </c>
      <c r="AL62" s="82">
        <v>15.75</v>
      </c>
      <c r="AM62" s="78">
        <f t="shared" si="23"/>
        <v>1361</v>
      </c>
      <c r="AO62" s="54">
        <v>58</v>
      </c>
      <c r="AP62" s="82">
        <v>16.5</v>
      </c>
      <c r="AQ62" s="78">
        <f t="shared" si="24"/>
        <v>1418</v>
      </c>
      <c r="AS62" s="54">
        <v>58</v>
      </c>
      <c r="AT62" s="82">
        <v>17.25</v>
      </c>
      <c r="AU62" s="78">
        <f t="shared" si="25"/>
        <v>1475</v>
      </c>
      <c r="AW62" s="54">
        <v>58</v>
      </c>
      <c r="AX62" s="82">
        <v>18</v>
      </c>
      <c r="AY62" s="78">
        <f t="shared" si="26"/>
        <v>1682</v>
      </c>
      <c r="BA62" s="54">
        <v>58</v>
      </c>
      <c r="BB62" s="82">
        <v>25</v>
      </c>
      <c r="BC62" s="78">
        <f t="shared" si="27"/>
        <v>1427</v>
      </c>
    </row>
    <row r="63" spans="1:55">
      <c r="A63" s="54">
        <v>57</v>
      </c>
      <c r="B63" s="82">
        <v>7</v>
      </c>
      <c r="C63" s="78">
        <f t="shared" si="28"/>
        <v>473</v>
      </c>
      <c r="E63" s="129">
        <f t="shared" si="16"/>
        <v>1.2</v>
      </c>
      <c r="F63" s="38">
        <f t="shared" si="1"/>
        <v>8.4</v>
      </c>
      <c r="G63" s="162">
        <f t="shared" si="17"/>
        <v>577.6</v>
      </c>
      <c r="I63" s="129">
        <f t="shared" si="18"/>
        <v>1.4</v>
      </c>
      <c r="J63" s="38">
        <f t="shared" si="2"/>
        <v>9.8000000000000007</v>
      </c>
      <c r="K63" s="164">
        <f t="shared" si="3"/>
        <v>692.2</v>
      </c>
      <c r="M63" s="129">
        <f t="shared" si="19"/>
        <v>1.7</v>
      </c>
      <c r="N63" s="38">
        <f t="shared" si="4"/>
        <v>11.9</v>
      </c>
      <c r="O63" s="166">
        <f t="shared" si="5"/>
        <v>854.1</v>
      </c>
      <c r="Q63" s="129">
        <f t="shared" si="20"/>
        <v>2.1</v>
      </c>
      <c r="R63" s="38">
        <f t="shared" si="6"/>
        <v>14.7</v>
      </c>
      <c r="S63" s="131">
        <f t="shared" si="7"/>
        <v>1063.3</v>
      </c>
      <c r="AA63">
        <f t="shared" si="8"/>
        <v>662.2</v>
      </c>
      <c r="AC63" s="54">
        <v>59</v>
      </c>
      <c r="AD63" s="82">
        <v>25</v>
      </c>
      <c r="AE63" s="78">
        <f t="shared" si="21"/>
        <v>1292</v>
      </c>
      <c r="AG63" s="54">
        <v>59</v>
      </c>
      <c r="AH63" s="82">
        <v>15</v>
      </c>
      <c r="AI63" s="78">
        <f t="shared" si="22"/>
        <v>1169</v>
      </c>
      <c r="AK63" s="54">
        <v>59</v>
      </c>
      <c r="AL63" s="82">
        <v>15.75</v>
      </c>
      <c r="AM63" s="78">
        <f t="shared" si="23"/>
        <v>1376.75</v>
      </c>
      <c r="AO63" s="54">
        <v>59</v>
      </c>
      <c r="AP63" s="82">
        <v>16.5</v>
      </c>
      <c r="AQ63" s="78">
        <f t="shared" si="24"/>
        <v>1434.5</v>
      </c>
      <c r="AS63" s="54">
        <v>59</v>
      </c>
      <c r="AT63" s="82">
        <v>17.25</v>
      </c>
      <c r="AU63" s="78">
        <f t="shared" si="25"/>
        <v>1492.25</v>
      </c>
      <c r="AW63" s="54">
        <v>59</v>
      </c>
      <c r="AX63" s="82">
        <v>25</v>
      </c>
      <c r="AY63" s="78">
        <f t="shared" si="26"/>
        <v>1707</v>
      </c>
      <c r="BA63" s="54">
        <v>59</v>
      </c>
      <c r="BB63" s="82">
        <v>25</v>
      </c>
      <c r="BC63" s="78">
        <f t="shared" si="27"/>
        <v>1452</v>
      </c>
    </row>
    <row r="64" spans="1:55">
      <c r="A64" s="54">
        <v>58</v>
      </c>
      <c r="B64" s="82">
        <v>7</v>
      </c>
      <c r="C64" s="78">
        <f t="shared" si="28"/>
        <v>480</v>
      </c>
      <c r="E64" s="129">
        <f t="shared" si="16"/>
        <v>1.2</v>
      </c>
      <c r="F64" s="38">
        <f t="shared" si="1"/>
        <v>8.4</v>
      </c>
      <c r="G64" s="162">
        <f t="shared" si="17"/>
        <v>586</v>
      </c>
      <c r="I64" s="129">
        <f t="shared" si="18"/>
        <v>1.4</v>
      </c>
      <c r="J64" s="38">
        <f t="shared" si="2"/>
        <v>9.8000000000000007</v>
      </c>
      <c r="K64" s="164">
        <f t="shared" si="3"/>
        <v>702</v>
      </c>
      <c r="M64" s="129">
        <f t="shared" si="19"/>
        <v>1.7</v>
      </c>
      <c r="N64" s="38">
        <f t="shared" si="4"/>
        <v>11.9</v>
      </c>
      <c r="O64" s="166">
        <f t="shared" si="5"/>
        <v>866</v>
      </c>
      <c r="Q64" s="129">
        <f t="shared" si="20"/>
        <v>2.1</v>
      </c>
      <c r="R64" s="38">
        <f t="shared" si="6"/>
        <v>14.7</v>
      </c>
      <c r="S64" s="131">
        <f t="shared" si="7"/>
        <v>1078</v>
      </c>
      <c r="AA64">
        <f t="shared" si="8"/>
        <v>672</v>
      </c>
      <c r="AC64" s="54">
        <v>60</v>
      </c>
      <c r="AD64" s="83"/>
      <c r="AE64" s="78">
        <f t="shared" si="21"/>
        <v>1292</v>
      </c>
      <c r="AG64" s="54">
        <v>60</v>
      </c>
      <c r="AH64" s="83">
        <v>250</v>
      </c>
      <c r="AI64" s="78">
        <f t="shared" si="22"/>
        <v>1419</v>
      </c>
      <c r="AK64" s="54">
        <v>60</v>
      </c>
      <c r="AL64" s="83">
        <v>325</v>
      </c>
      <c r="AM64" s="78">
        <f t="shared" si="23"/>
        <v>1701.75</v>
      </c>
      <c r="AO64" s="54">
        <v>60</v>
      </c>
      <c r="AP64" s="83">
        <v>325</v>
      </c>
      <c r="AQ64" s="78">
        <f t="shared" si="24"/>
        <v>1759.5</v>
      </c>
      <c r="AS64" s="54">
        <v>60</v>
      </c>
      <c r="AT64" s="83">
        <v>325</v>
      </c>
      <c r="AU64" s="78">
        <f t="shared" si="25"/>
        <v>1817.25</v>
      </c>
      <c r="AW64" s="54">
        <v>60</v>
      </c>
      <c r="AX64" s="83">
        <v>400</v>
      </c>
      <c r="AY64" s="78">
        <f t="shared" si="26"/>
        <v>2107</v>
      </c>
      <c r="BA64" s="54">
        <v>60</v>
      </c>
      <c r="BB64" s="83"/>
      <c r="BC64" s="78">
        <f t="shared" si="27"/>
        <v>1452</v>
      </c>
    </row>
    <row r="65" spans="1:55">
      <c r="A65" s="54">
        <v>59</v>
      </c>
      <c r="B65" s="82">
        <v>7</v>
      </c>
      <c r="C65" s="78">
        <f t="shared" si="28"/>
        <v>487</v>
      </c>
      <c r="E65" s="129">
        <f t="shared" si="16"/>
        <v>1.2</v>
      </c>
      <c r="F65" s="38">
        <f t="shared" si="1"/>
        <v>8.4</v>
      </c>
      <c r="G65" s="162">
        <f t="shared" si="17"/>
        <v>594.4</v>
      </c>
      <c r="I65" s="129">
        <f t="shared" si="18"/>
        <v>1.4</v>
      </c>
      <c r="J65" s="38">
        <f t="shared" si="2"/>
        <v>9.8000000000000007</v>
      </c>
      <c r="K65" s="164">
        <f t="shared" si="3"/>
        <v>711.8</v>
      </c>
      <c r="M65" s="129">
        <f t="shared" si="19"/>
        <v>1.7</v>
      </c>
      <c r="N65" s="38">
        <f t="shared" si="4"/>
        <v>11.9</v>
      </c>
      <c r="O65" s="166">
        <f t="shared" si="5"/>
        <v>877.9</v>
      </c>
      <c r="Q65" s="129">
        <f t="shared" si="20"/>
        <v>2.1</v>
      </c>
      <c r="R65" s="38">
        <f t="shared" si="6"/>
        <v>14.7</v>
      </c>
      <c r="S65" s="131">
        <f t="shared" si="7"/>
        <v>1092.7</v>
      </c>
      <c r="AA65">
        <f t="shared" si="8"/>
        <v>681.8</v>
      </c>
      <c r="AC65" s="54">
        <v>61</v>
      </c>
      <c r="AD65" s="82">
        <v>30</v>
      </c>
      <c r="AE65" s="78">
        <f t="shared" si="21"/>
        <v>1322</v>
      </c>
      <c r="AG65" s="54">
        <v>61</v>
      </c>
      <c r="AH65" s="82">
        <v>25</v>
      </c>
      <c r="AI65" s="78">
        <f t="shared" si="22"/>
        <v>1444</v>
      </c>
      <c r="AK65" s="54">
        <v>61</v>
      </c>
      <c r="AL65" s="82">
        <v>26</v>
      </c>
      <c r="AM65" s="78">
        <f t="shared" si="23"/>
        <v>1727.75</v>
      </c>
      <c r="AO65" s="54">
        <v>61</v>
      </c>
      <c r="AP65" s="82">
        <v>27</v>
      </c>
      <c r="AQ65" s="78">
        <f t="shared" si="24"/>
        <v>1786.5</v>
      </c>
      <c r="AS65" s="54">
        <v>61</v>
      </c>
      <c r="AT65" s="82">
        <v>28</v>
      </c>
      <c r="AU65" s="78">
        <f t="shared" si="25"/>
        <v>1845.25</v>
      </c>
      <c r="AW65" s="54">
        <v>61</v>
      </c>
      <c r="AX65" s="82">
        <v>29</v>
      </c>
      <c r="AY65" s="78">
        <f t="shared" si="26"/>
        <v>2136</v>
      </c>
      <c r="BA65" s="54">
        <v>61</v>
      </c>
      <c r="BB65" s="82">
        <v>30</v>
      </c>
      <c r="BC65" s="78">
        <f t="shared" si="27"/>
        <v>1482</v>
      </c>
    </row>
    <row r="66" spans="1:55">
      <c r="A66" s="54">
        <v>60</v>
      </c>
      <c r="B66" s="83">
        <v>40</v>
      </c>
      <c r="C66" s="78">
        <f t="shared" si="28"/>
        <v>527</v>
      </c>
      <c r="E66" s="129">
        <f t="shared" si="16"/>
        <v>1.2</v>
      </c>
      <c r="F66" s="38">
        <f t="shared" si="1"/>
        <v>48</v>
      </c>
      <c r="G66" s="162">
        <f t="shared" si="17"/>
        <v>642.4</v>
      </c>
      <c r="I66" s="129">
        <f t="shared" si="18"/>
        <v>1.4</v>
      </c>
      <c r="J66" s="38">
        <f t="shared" si="2"/>
        <v>56</v>
      </c>
      <c r="K66" s="164">
        <f t="shared" si="3"/>
        <v>767.8</v>
      </c>
      <c r="M66" s="129">
        <f t="shared" si="19"/>
        <v>1.7</v>
      </c>
      <c r="N66" s="38">
        <f t="shared" si="4"/>
        <v>68</v>
      </c>
      <c r="O66" s="166">
        <f t="shared" si="5"/>
        <v>945.9</v>
      </c>
      <c r="Q66" s="129">
        <f t="shared" si="20"/>
        <v>2.1</v>
      </c>
      <c r="R66" s="38">
        <f t="shared" si="6"/>
        <v>84</v>
      </c>
      <c r="S66" s="131">
        <f t="shared" si="7"/>
        <v>1176.7</v>
      </c>
      <c r="AA66">
        <f t="shared" si="8"/>
        <v>737.8</v>
      </c>
      <c r="AC66" s="54">
        <v>62</v>
      </c>
      <c r="AD66" s="82">
        <v>30</v>
      </c>
      <c r="AE66" s="78">
        <f t="shared" si="21"/>
        <v>1352</v>
      </c>
      <c r="AG66" s="54">
        <v>62</v>
      </c>
      <c r="AH66" s="82">
        <v>25</v>
      </c>
      <c r="AI66" s="78">
        <f t="shared" si="22"/>
        <v>1469</v>
      </c>
      <c r="AK66" s="54">
        <v>62</v>
      </c>
      <c r="AL66" s="82">
        <v>26</v>
      </c>
      <c r="AM66" s="78">
        <f t="shared" si="23"/>
        <v>1753.75</v>
      </c>
      <c r="AO66" s="54">
        <v>62</v>
      </c>
      <c r="AP66" s="82">
        <v>27</v>
      </c>
      <c r="AQ66" s="78">
        <f t="shared" si="24"/>
        <v>1813.5</v>
      </c>
      <c r="AS66" s="54">
        <v>62</v>
      </c>
      <c r="AT66" s="82">
        <v>28</v>
      </c>
      <c r="AU66" s="78">
        <f t="shared" si="25"/>
        <v>1873.25</v>
      </c>
      <c r="AW66" s="54">
        <v>62</v>
      </c>
      <c r="AX66" s="82">
        <v>29</v>
      </c>
      <c r="AY66" s="78">
        <f t="shared" si="26"/>
        <v>2165</v>
      </c>
      <c r="BA66" s="54">
        <v>62</v>
      </c>
      <c r="BB66" s="82">
        <v>30</v>
      </c>
      <c r="BC66" s="78">
        <f t="shared" si="27"/>
        <v>1512</v>
      </c>
    </row>
    <row r="67" spans="1:55">
      <c r="A67" s="54">
        <v>61</v>
      </c>
      <c r="B67" s="82">
        <v>8</v>
      </c>
      <c r="C67" s="78">
        <f t="shared" si="28"/>
        <v>535</v>
      </c>
      <c r="E67" s="129">
        <f t="shared" si="16"/>
        <v>1.2</v>
      </c>
      <c r="F67" s="38">
        <f t="shared" si="1"/>
        <v>9.6</v>
      </c>
      <c r="G67" s="162">
        <f t="shared" si="17"/>
        <v>652</v>
      </c>
      <c r="I67" s="129">
        <f t="shared" si="18"/>
        <v>1.4</v>
      </c>
      <c r="J67" s="38">
        <f t="shared" si="2"/>
        <v>11.2</v>
      </c>
      <c r="K67" s="164">
        <f t="shared" si="3"/>
        <v>779</v>
      </c>
      <c r="M67" s="129">
        <f t="shared" si="19"/>
        <v>1.7</v>
      </c>
      <c r="N67" s="38">
        <f t="shared" si="4"/>
        <v>13.6</v>
      </c>
      <c r="O67" s="166">
        <f t="shared" si="5"/>
        <v>959.5</v>
      </c>
      <c r="Q67" s="129">
        <f t="shared" si="20"/>
        <v>2.1</v>
      </c>
      <c r="R67" s="38">
        <f t="shared" si="6"/>
        <v>16.8</v>
      </c>
      <c r="S67" s="131">
        <f t="shared" si="7"/>
        <v>1193.5</v>
      </c>
      <c r="AA67">
        <f t="shared" si="8"/>
        <v>749</v>
      </c>
      <c r="AC67" s="54">
        <v>63</v>
      </c>
      <c r="AD67" s="82">
        <v>30</v>
      </c>
      <c r="AE67" s="78">
        <f t="shared" si="21"/>
        <v>1382</v>
      </c>
      <c r="AG67" s="54">
        <v>63</v>
      </c>
      <c r="AH67" s="82">
        <v>25</v>
      </c>
      <c r="AI67" s="78">
        <f t="shared" si="22"/>
        <v>1494</v>
      </c>
      <c r="AK67" s="54">
        <v>63</v>
      </c>
      <c r="AL67" s="82">
        <v>26</v>
      </c>
      <c r="AM67" s="78">
        <f t="shared" si="23"/>
        <v>1779.75</v>
      </c>
      <c r="AO67" s="54">
        <v>63</v>
      </c>
      <c r="AP67" s="82">
        <v>27</v>
      </c>
      <c r="AQ67" s="78">
        <f t="shared" si="24"/>
        <v>1840.5</v>
      </c>
      <c r="AS67" s="54">
        <v>63</v>
      </c>
      <c r="AT67" s="82">
        <v>28</v>
      </c>
      <c r="AU67" s="78">
        <f t="shared" si="25"/>
        <v>1901.25</v>
      </c>
      <c r="AW67" s="54">
        <v>63</v>
      </c>
      <c r="AX67" s="82">
        <v>29</v>
      </c>
      <c r="AY67" s="78">
        <f t="shared" si="26"/>
        <v>2194</v>
      </c>
      <c r="BA67" s="54">
        <v>63</v>
      </c>
      <c r="BB67" s="82">
        <v>30</v>
      </c>
      <c r="BC67" s="78">
        <f t="shared" si="27"/>
        <v>1542</v>
      </c>
    </row>
    <row r="68" spans="1:55">
      <c r="A68" s="54">
        <v>62</v>
      </c>
      <c r="B68" s="82">
        <v>8</v>
      </c>
      <c r="C68" s="78">
        <f t="shared" si="28"/>
        <v>543</v>
      </c>
      <c r="E68" s="129">
        <f t="shared" si="16"/>
        <v>1.2</v>
      </c>
      <c r="F68" s="38">
        <f t="shared" si="1"/>
        <v>9.6</v>
      </c>
      <c r="G68" s="162">
        <f t="shared" si="17"/>
        <v>661.6</v>
      </c>
      <c r="I68" s="129">
        <f t="shared" si="18"/>
        <v>1.4</v>
      </c>
      <c r="J68" s="38">
        <f t="shared" si="2"/>
        <v>11.2</v>
      </c>
      <c r="K68" s="164">
        <f t="shared" si="3"/>
        <v>790.2</v>
      </c>
      <c r="M68" s="129">
        <f t="shared" si="19"/>
        <v>1.7</v>
      </c>
      <c r="N68" s="38">
        <f t="shared" si="4"/>
        <v>13.6</v>
      </c>
      <c r="O68" s="166">
        <f t="shared" si="5"/>
        <v>973.1</v>
      </c>
      <c r="Q68" s="129">
        <f t="shared" si="20"/>
        <v>2.1</v>
      </c>
      <c r="R68" s="38">
        <f t="shared" si="6"/>
        <v>16.8</v>
      </c>
      <c r="S68" s="131">
        <f t="shared" si="7"/>
        <v>1210.3</v>
      </c>
      <c r="AA68">
        <f t="shared" si="8"/>
        <v>760.2</v>
      </c>
      <c r="AC68" s="54">
        <v>64</v>
      </c>
      <c r="AD68" s="82">
        <v>30</v>
      </c>
      <c r="AE68" s="78">
        <f t="shared" si="21"/>
        <v>1412</v>
      </c>
      <c r="AG68" s="54">
        <v>64</v>
      </c>
      <c r="AH68" s="82">
        <v>25</v>
      </c>
      <c r="AI68" s="78">
        <f t="shared" si="22"/>
        <v>1519</v>
      </c>
      <c r="AK68" s="54">
        <v>64</v>
      </c>
      <c r="AL68" s="82">
        <v>26</v>
      </c>
      <c r="AM68" s="78">
        <f t="shared" si="23"/>
        <v>1805.75</v>
      </c>
      <c r="AO68" s="54">
        <v>64</v>
      </c>
      <c r="AP68" s="82">
        <v>27</v>
      </c>
      <c r="AQ68" s="78">
        <f t="shared" si="24"/>
        <v>1867.5</v>
      </c>
      <c r="AS68" s="54">
        <v>64</v>
      </c>
      <c r="AT68" s="82">
        <v>28</v>
      </c>
      <c r="AU68" s="78">
        <f t="shared" si="25"/>
        <v>1929.25</v>
      </c>
      <c r="AW68" s="54">
        <v>64</v>
      </c>
      <c r="AX68" s="82">
        <v>29</v>
      </c>
      <c r="AY68" s="78">
        <f t="shared" si="26"/>
        <v>2223</v>
      </c>
      <c r="BA68" s="54">
        <v>64</v>
      </c>
      <c r="BB68" s="82">
        <v>30</v>
      </c>
      <c r="BC68" s="78">
        <f t="shared" si="27"/>
        <v>1572</v>
      </c>
    </row>
    <row r="69" spans="1:55">
      <c r="A69" s="54">
        <v>63</v>
      </c>
      <c r="B69" s="82">
        <v>8</v>
      </c>
      <c r="C69" s="78">
        <f t="shared" si="28"/>
        <v>551</v>
      </c>
      <c r="E69" s="129">
        <f t="shared" si="16"/>
        <v>1.2</v>
      </c>
      <c r="F69" s="38">
        <f t="shared" si="1"/>
        <v>9.6</v>
      </c>
      <c r="G69" s="162">
        <f t="shared" si="17"/>
        <v>671.2</v>
      </c>
      <c r="I69" s="129">
        <f t="shared" si="18"/>
        <v>1.4</v>
      </c>
      <c r="J69" s="38">
        <f t="shared" si="2"/>
        <v>11.2</v>
      </c>
      <c r="K69" s="164">
        <f t="shared" si="3"/>
        <v>801.4</v>
      </c>
      <c r="M69" s="129">
        <f t="shared" si="19"/>
        <v>1.7</v>
      </c>
      <c r="N69" s="38">
        <f t="shared" si="4"/>
        <v>13.6</v>
      </c>
      <c r="O69" s="166">
        <f t="shared" si="5"/>
        <v>986.7</v>
      </c>
      <c r="Q69" s="129">
        <f t="shared" si="20"/>
        <v>2.1</v>
      </c>
      <c r="R69" s="38">
        <f t="shared" si="6"/>
        <v>16.8</v>
      </c>
      <c r="S69" s="131">
        <f t="shared" si="7"/>
        <v>1227.0999999999999</v>
      </c>
      <c r="AA69">
        <f t="shared" si="8"/>
        <v>771.4</v>
      </c>
      <c r="AC69" s="54">
        <v>65</v>
      </c>
      <c r="AD69" s="82">
        <v>30</v>
      </c>
      <c r="AE69" s="78">
        <f t="shared" si="21"/>
        <v>1442</v>
      </c>
      <c r="AG69" s="54">
        <v>65</v>
      </c>
      <c r="AH69" s="82">
        <v>25</v>
      </c>
      <c r="AI69" s="78">
        <f t="shared" si="22"/>
        <v>1544</v>
      </c>
      <c r="AK69" s="54">
        <v>65</v>
      </c>
      <c r="AL69" s="82">
        <v>26</v>
      </c>
      <c r="AM69" s="78">
        <f t="shared" si="23"/>
        <v>1831.75</v>
      </c>
      <c r="AO69" s="54">
        <v>65</v>
      </c>
      <c r="AP69" s="82">
        <v>27</v>
      </c>
      <c r="AQ69" s="78">
        <f t="shared" si="24"/>
        <v>1894.5</v>
      </c>
      <c r="AS69" s="54">
        <v>65</v>
      </c>
      <c r="AT69" s="82">
        <v>28</v>
      </c>
      <c r="AU69" s="78">
        <f t="shared" si="25"/>
        <v>1957.25</v>
      </c>
      <c r="AW69" s="54">
        <v>65</v>
      </c>
      <c r="AX69" s="82">
        <v>29</v>
      </c>
      <c r="AY69" s="78">
        <f t="shared" si="26"/>
        <v>2252</v>
      </c>
      <c r="BA69" s="54">
        <v>65</v>
      </c>
      <c r="BB69" s="82">
        <v>30</v>
      </c>
      <c r="BC69" s="78">
        <f t="shared" si="27"/>
        <v>1602</v>
      </c>
    </row>
    <row r="70" spans="1:55">
      <c r="A70" s="54">
        <v>64</v>
      </c>
      <c r="B70" s="82">
        <v>8</v>
      </c>
      <c r="C70" s="78">
        <f t="shared" si="28"/>
        <v>559</v>
      </c>
      <c r="E70" s="129">
        <f t="shared" si="16"/>
        <v>1.2</v>
      </c>
      <c r="F70" s="38">
        <f t="shared" si="1"/>
        <v>9.6</v>
      </c>
      <c r="G70" s="162">
        <f t="shared" si="17"/>
        <v>680.8</v>
      </c>
      <c r="I70" s="129">
        <f t="shared" si="18"/>
        <v>1.4</v>
      </c>
      <c r="J70" s="38">
        <f t="shared" si="2"/>
        <v>11.2</v>
      </c>
      <c r="K70" s="164">
        <f t="shared" si="3"/>
        <v>812.6</v>
      </c>
      <c r="M70" s="129">
        <f t="shared" si="19"/>
        <v>1.7</v>
      </c>
      <c r="N70" s="38">
        <f t="shared" si="4"/>
        <v>13.6</v>
      </c>
      <c r="O70" s="166">
        <f t="shared" si="5"/>
        <v>1000.3</v>
      </c>
      <c r="Q70" s="129">
        <f t="shared" si="20"/>
        <v>2.1</v>
      </c>
      <c r="R70" s="38">
        <f t="shared" si="6"/>
        <v>16.8</v>
      </c>
      <c r="S70" s="131">
        <f t="shared" si="7"/>
        <v>1243.9000000000001</v>
      </c>
      <c r="AA70">
        <f t="shared" si="8"/>
        <v>782.6</v>
      </c>
      <c r="AC70" s="54">
        <v>66</v>
      </c>
      <c r="AD70" s="82">
        <v>30</v>
      </c>
      <c r="AE70" s="78">
        <f t="shared" si="21"/>
        <v>1472</v>
      </c>
      <c r="AG70" s="54">
        <v>66</v>
      </c>
      <c r="AH70" s="82">
        <v>25</v>
      </c>
      <c r="AI70" s="78">
        <f t="shared" si="22"/>
        <v>1569</v>
      </c>
      <c r="AK70" s="54">
        <v>66</v>
      </c>
      <c r="AL70" s="82">
        <v>26</v>
      </c>
      <c r="AM70" s="78">
        <f t="shared" si="23"/>
        <v>1857.75</v>
      </c>
      <c r="AO70" s="54">
        <v>66</v>
      </c>
      <c r="AP70" s="82">
        <v>27</v>
      </c>
      <c r="AQ70" s="78">
        <f t="shared" si="24"/>
        <v>1921.5</v>
      </c>
      <c r="AS70" s="54">
        <v>66</v>
      </c>
      <c r="AT70" s="82">
        <v>28</v>
      </c>
      <c r="AU70" s="78">
        <f t="shared" si="25"/>
        <v>1985.25</v>
      </c>
      <c r="AW70" s="54">
        <v>66</v>
      </c>
      <c r="AX70" s="82">
        <v>29</v>
      </c>
      <c r="AY70" s="78">
        <f t="shared" si="26"/>
        <v>2281</v>
      </c>
      <c r="BA70" s="54">
        <v>66</v>
      </c>
      <c r="BB70" s="82">
        <v>30</v>
      </c>
      <c r="BC70" s="78">
        <f t="shared" si="27"/>
        <v>1632</v>
      </c>
    </row>
    <row r="71" spans="1:55">
      <c r="A71" s="54">
        <v>65</v>
      </c>
      <c r="B71" s="82">
        <v>8</v>
      </c>
      <c r="C71" s="78">
        <f t="shared" si="28"/>
        <v>567</v>
      </c>
      <c r="E71" s="129">
        <f t="shared" si="16"/>
        <v>1.2</v>
      </c>
      <c r="F71" s="38">
        <f t="shared" si="1"/>
        <v>9.6</v>
      </c>
      <c r="G71" s="162">
        <f t="shared" si="17"/>
        <v>690.4</v>
      </c>
      <c r="I71" s="129">
        <f t="shared" si="18"/>
        <v>1.4</v>
      </c>
      <c r="J71" s="38">
        <f t="shared" si="2"/>
        <v>11.2</v>
      </c>
      <c r="K71" s="164">
        <f t="shared" si="3"/>
        <v>823.8</v>
      </c>
      <c r="M71" s="129">
        <f t="shared" si="19"/>
        <v>1.7</v>
      </c>
      <c r="N71" s="38">
        <f t="shared" si="4"/>
        <v>13.6</v>
      </c>
      <c r="O71" s="166">
        <f t="shared" si="5"/>
        <v>1013.9</v>
      </c>
      <c r="Q71" s="129">
        <f t="shared" si="20"/>
        <v>2.1</v>
      </c>
      <c r="R71" s="38">
        <f t="shared" si="6"/>
        <v>16.8</v>
      </c>
      <c r="S71" s="131">
        <f t="shared" si="7"/>
        <v>1260.7</v>
      </c>
      <c r="AA71">
        <f t="shared" si="8"/>
        <v>793.8</v>
      </c>
      <c r="AC71" s="54">
        <v>67</v>
      </c>
      <c r="AD71" s="82">
        <v>30</v>
      </c>
      <c r="AE71" s="78">
        <f t="shared" si="21"/>
        <v>1502</v>
      </c>
      <c r="AG71" s="54">
        <v>67</v>
      </c>
      <c r="AH71" s="82">
        <v>25</v>
      </c>
      <c r="AI71" s="78">
        <f t="shared" si="22"/>
        <v>1594</v>
      </c>
      <c r="AK71" s="54">
        <v>67</v>
      </c>
      <c r="AL71" s="82">
        <v>26</v>
      </c>
      <c r="AM71" s="78">
        <f t="shared" si="23"/>
        <v>1883.75</v>
      </c>
      <c r="AO71" s="54">
        <v>67</v>
      </c>
      <c r="AP71" s="82">
        <v>27</v>
      </c>
      <c r="AQ71" s="78">
        <f t="shared" si="24"/>
        <v>1948.5</v>
      </c>
      <c r="AS71" s="54">
        <v>67</v>
      </c>
      <c r="AT71" s="82">
        <v>28</v>
      </c>
      <c r="AU71" s="78">
        <f t="shared" si="25"/>
        <v>2013.25</v>
      </c>
      <c r="AW71" s="54">
        <v>67</v>
      </c>
      <c r="AX71" s="82">
        <v>29</v>
      </c>
      <c r="AY71" s="78">
        <f t="shared" si="26"/>
        <v>2310</v>
      </c>
      <c r="BA71" s="54">
        <v>67</v>
      </c>
      <c r="BB71" s="82">
        <v>30</v>
      </c>
      <c r="BC71" s="78">
        <f t="shared" si="27"/>
        <v>1662</v>
      </c>
    </row>
    <row r="72" spans="1:55">
      <c r="A72" s="54">
        <v>66</v>
      </c>
      <c r="B72" s="82">
        <v>8</v>
      </c>
      <c r="C72" s="78">
        <f t="shared" ref="C72:C103" si="29">C71+B72</f>
        <v>575</v>
      </c>
      <c r="E72" s="129">
        <f t="shared" si="16"/>
        <v>1.2</v>
      </c>
      <c r="F72" s="38">
        <f t="shared" si="1"/>
        <v>9.6</v>
      </c>
      <c r="G72" s="162">
        <f t="shared" si="17"/>
        <v>700</v>
      </c>
      <c r="I72" s="129">
        <f t="shared" si="18"/>
        <v>1.4</v>
      </c>
      <c r="J72" s="38">
        <f t="shared" si="2"/>
        <v>11.2</v>
      </c>
      <c r="K72" s="164">
        <f t="shared" si="3"/>
        <v>835</v>
      </c>
      <c r="M72" s="129">
        <f t="shared" si="19"/>
        <v>1.7</v>
      </c>
      <c r="N72" s="38">
        <f t="shared" si="4"/>
        <v>13.6</v>
      </c>
      <c r="O72" s="166">
        <f t="shared" si="5"/>
        <v>1027.5</v>
      </c>
      <c r="Q72" s="129">
        <f t="shared" si="20"/>
        <v>2.1</v>
      </c>
      <c r="R72" s="38">
        <f t="shared" si="6"/>
        <v>16.8</v>
      </c>
      <c r="S72" s="131">
        <f t="shared" si="7"/>
        <v>1277.5</v>
      </c>
      <c r="AA72">
        <f t="shared" si="8"/>
        <v>805</v>
      </c>
      <c r="AC72" s="54">
        <v>68</v>
      </c>
      <c r="AD72" s="82">
        <v>30</v>
      </c>
      <c r="AE72" s="78">
        <f t="shared" si="21"/>
        <v>1532</v>
      </c>
      <c r="AG72" s="54">
        <v>68</v>
      </c>
      <c r="AH72" s="82">
        <v>25</v>
      </c>
      <c r="AI72" s="78">
        <f t="shared" si="22"/>
        <v>1619</v>
      </c>
      <c r="AK72" s="54">
        <v>68</v>
      </c>
      <c r="AL72" s="82">
        <v>26</v>
      </c>
      <c r="AM72" s="78">
        <f t="shared" si="23"/>
        <v>1909.75</v>
      </c>
      <c r="AO72" s="54">
        <v>68</v>
      </c>
      <c r="AP72" s="82">
        <v>27</v>
      </c>
      <c r="AQ72" s="78">
        <f t="shared" si="24"/>
        <v>1975.5</v>
      </c>
      <c r="AS72" s="54">
        <v>68</v>
      </c>
      <c r="AT72" s="82">
        <v>28</v>
      </c>
      <c r="AU72" s="78">
        <f t="shared" si="25"/>
        <v>2041.25</v>
      </c>
      <c r="AW72" s="54">
        <v>68</v>
      </c>
      <c r="AX72" s="82">
        <v>29</v>
      </c>
      <c r="AY72" s="78">
        <f t="shared" si="26"/>
        <v>2339</v>
      </c>
      <c r="BA72" s="54">
        <v>68</v>
      </c>
      <c r="BB72" s="82">
        <v>30</v>
      </c>
      <c r="BC72" s="78">
        <f t="shared" si="27"/>
        <v>1692</v>
      </c>
    </row>
    <row r="73" spans="1:55">
      <c r="A73" s="54">
        <v>67</v>
      </c>
      <c r="B73" s="82">
        <v>8</v>
      </c>
      <c r="C73" s="78">
        <f t="shared" si="29"/>
        <v>583</v>
      </c>
      <c r="E73" s="129">
        <f t="shared" si="16"/>
        <v>1.2</v>
      </c>
      <c r="F73" s="38">
        <f t="shared" ref="F73:F103" si="30">B73*E73</f>
        <v>9.6</v>
      </c>
      <c r="G73" s="162">
        <f t="shared" ref="G73:G106" si="31">G72+F73</f>
        <v>709.6</v>
      </c>
      <c r="I73" s="129">
        <f t="shared" si="18"/>
        <v>1.4</v>
      </c>
      <c r="J73" s="38">
        <f t="shared" ref="J73:J105" si="32">B73*I73</f>
        <v>11.2</v>
      </c>
      <c r="K73" s="164">
        <f t="shared" ref="K73:K106" si="33">K72+J73</f>
        <v>846.2</v>
      </c>
      <c r="M73" s="129">
        <f t="shared" si="19"/>
        <v>1.7</v>
      </c>
      <c r="N73" s="38">
        <f t="shared" ref="N73:N105" si="34">B73*M73</f>
        <v>13.6</v>
      </c>
      <c r="O73" s="166">
        <f t="shared" ref="O73:O105" si="35">O72+N73</f>
        <v>1041.0999999999999</v>
      </c>
      <c r="Q73" s="129">
        <f t="shared" si="20"/>
        <v>2.1</v>
      </c>
      <c r="R73" s="38">
        <f t="shared" ref="R73:R105" si="36">B73*Q73</f>
        <v>16.8</v>
      </c>
      <c r="S73" s="131">
        <f t="shared" ref="S73:S105" si="37">S72+R73</f>
        <v>1294.3</v>
      </c>
      <c r="AA73">
        <f t="shared" ref="AA73:AA136" si="38">AA72+J73</f>
        <v>816.2</v>
      </c>
      <c r="AC73" s="54">
        <v>69</v>
      </c>
      <c r="AD73" s="82">
        <v>30</v>
      </c>
      <c r="AE73" s="78">
        <f t="shared" si="21"/>
        <v>1562</v>
      </c>
      <c r="AG73" s="54">
        <v>69</v>
      </c>
      <c r="AH73" s="82">
        <v>25</v>
      </c>
      <c r="AI73" s="78">
        <f t="shared" si="22"/>
        <v>1644</v>
      </c>
      <c r="AK73" s="54">
        <v>69</v>
      </c>
      <c r="AL73" s="82">
        <v>26</v>
      </c>
      <c r="AM73" s="78">
        <f t="shared" si="23"/>
        <v>1935.75</v>
      </c>
      <c r="AO73" s="54">
        <v>69</v>
      </c>
      <c r="AP73" s="82">
        <v>27</v>
      </c>
      <c r="AQ73" s="78">
        <f t="shared" si="24"/>
        <v>2002.5</v>
      </c>
      <c r="AS73" s="54">
        <v>69</v>
      </c>
      <c r="AT73" s="82">
        <v>28</v>
      </c>
      <c r="AU73" s="78">
        <f t="shared" si="25"/>
        <v>2069.25</v>
      </c>
      <c r="AW73" s="54">
        <v>69</v>
      </c>
      <c r="AX73" s="82">
        <v>29</v>
      </c>
      <c r="AY73" s="78">
        <f t="shared" si="26"/>
        <v>2368</v>
      </c>
      <c r="BA73" s="54">
        <v>69</v>
      </c>
      <c r="BB73" s="82">
        <v>30</v>
      </c>
      <c r="BC73" s="78">
        <f t="shared" si="27"/>
        <v>1722</v>
      </c>
    </row>
    <row r="74" spans="1:55">
      <c r="A74" s="54">
        <v>68</v>
      </c>
      <c r="B74" s="82">
        <v>8</v>
      </c>
      <c r="C74" s="78">
        <f t="shared" si="29"/>
        <v>591</v>
      </c>
      <c r="E74" s="129">
        <f t="shared" ref="E74:E106" si="39">E73</f>
        <v>1.2</v>
      </c>
      <c r="F74" s="38">
        <f t="shared" si="30"/>
        <v>9.6</v>
      </c>
      <c r="G74" s="162">
        <f t="shared" si="31"/>
        <v>719.2</v>
      </c>
      <c r="I74" s="129">
        <f t="shared" ref="I74:I106" si="40">I73</f>
        <v>1.4</v>
      </c>
      <c r="J74" s="38">
        <f t="shared" si="32"/>
        <v>11.2</v>
      </c>
      <c r="K74" s="164">
        <f t="shared" si="33"/>
        <v>857.4</v>
      </c>
      <c r="M74" s="129">
        <f t="shared" ref="M74:M106" si="41">M73</f>
        <v>1.7</v>
      </c>
      <c r="N74" s="38">
        <f t="shared" si="34"/>
        <v>13.6</v>
      </c>
      <c r="O74" s="166">
        <f t="shared" si="35"/>
        <v>1054.7</v>
      </c>
      <c r="Q74" s="129">
        <f t="shared" ref="Q74:Q106" si="42">Q73</f>
        <v>2.1</v>
      </c>
      <c r="R74" s="38">
        <f t="shared" si="36"/>
        <v>16.8</v>
      </c>
      <c r="S74" s="131">
        <f t="shared" si="37"/>
        <v>1311.1</v>
      </c>
      <c r="AA74">
        <f t="shared" si="38"/>
        <v>827.4</v>
      </c>
      <c r="AC74" s="54">
        <v>70</v>
      </c>
      <c r="AD74" s="82">
        <v>35</v>
      </c>
      <c r="AE74" s="78">
        <f t="shared" si="21"/>
        <v>1597</v>
      </c>
      <c r="AG74" s="54">
        <v>70</v>
      </c>
      <c r="AH74" s="82">
        <v>25</v>
      </c>
      <c r="AI74" s="78">
        <f t="shared" si="22"/>
        <v>1669</v>
      </c>
      <c r="AK74" s="54">
        <v>70</v>
      </c>
      <c r="AL74" s="82">
        <v>26</v>
      </c>
      <c r="AM74" s="78">
        <f t="shared" si="23"/>
        <v>1961.75</v>
      </c>
      <c r="AO74" s="54">
        <v>70</v>
      </c>
      <c r="AP74" s="82">
        <v>27</v>
      </c>
      <c r="AQ74" s="78">
        <f t="shared" si="24"/>
        <v>2029.5</v>
      </c>
      <c r="AS74" s="54">
        <v>70</v>
      </c>
      <c r="AT74" s="82">
        <v>28</v>
      </c>
      <c r="AU74" s="78">
        <f t="shared" si="25"/>
        <v>2097.25</v>
      </c>
      <c r="AW74" s="54">
        <v>70</v>
      </c>
      <c r="AX74" s="82">
        <v>29</v>
      </c>
      <c r="AY74" s="78">
        <f t="shared" si="26"/>
        <v>2397</v>
      </c>
      <c r="BA74" s="54">
        <v>70</v>
      </c>
      <c r="BB74" s="82">
        <v>35</v>
      </c>
      <c r="BC74" s="78">
        <f t="shared" si="27"/>
        <v>1757</v>
      </c>
    </row>
    <row r="75" spans="1:55">
      <c r="A75" s="54">
        <v>69</v>
      </c>
      <c r="B75" s="82">
        <v>8</v>
      </c>
      <c r="C75" s="78">
        <f t="shared" si="29"/>
        <v>599</v>
      </c>
      <c r="E75" s="129">
        <f t="shared" si="39"/>
        <v>1.2</v>
      </c>
      <c r="F75" s="38">
        <f t="shared" si="30"/>
        <v>9.6</v>
      </c>
      <c r="G75" s="162">
        <f t="shared" si="31"/>
        <v>728.8</v>
      </c>
      <c r="I75" s="129">
        <f t="shared" si="40"/>
        <v>1.4</v>
      </c>
      <c r="J75" s="38">
        <f t="shared" si="32"/>
        <v>11.2</v>
      </c>
      <c r="K75" s="164">
        <f t="shared" si="33"/>
        <v>868.6</v>
      </c>
      <c r="M75" s="129">
        <f t="shared" si="41"/>
        <v>1.7</v>
      </c>
      <c r="N75" s="38">
        <f t="shared" si="34"/>
        <v>13.6</v>
      </c>
      <c r="O75" s="166">
        <f t="shared" si="35"/>
        <v>1068.3</v>
      </c>
      <c r="Q75" s="129">
        <f t="shared" si="42"/>
        <v>2.1</v>
      </c>
      <c r="R75" s="38">
        <f t="shared" si="36"/>
        <v>16.8</v>
      </c>
      <c r="S75" s="131">
        <f t="shared" si="37"/>
        <v>1327.9</v>
      </c>
      <c r="AA75">
        <f t="shared" si="38"/>
        <v>838.6</v>
      </c>
      <c r="AC75" s="54">
        <v>71</v>
      </c>
      <c r="AD75" s="82">
        <v>35</v>
      </c>
      <c r="AE75" s="78">
        <f t="shared" si="21"/>
        <v>1632</v>
      </c>
      <c r="AG75" s="54">
        <v>71</v>
      </c>
      <c r="AH75" s="82">
        <v>25</v>
      </c>
      <c r="AI75" s="78">
        <f t="shared" si="22"/>
        <v>1694</v>
      </c>
      <c r="AK75" s="54">
        <v>71</v>
      </c>
      <c r="AL75" s="82">
        <v>26</v>
      </c>
      <c r="AM75" s="78">
        <f t="shared" si="23"/>
        <v>1987.75</v>
      </c>
      <c r="AO75" s="54">
        <v>71</v>
      </c>
      <c r="AP75" s="82">
        <v>27</v>
      </c>
      <c r="AQ75" s="78">
        <f t="shared" si="24"/>
        <v>2056.5</v>
      </c>
      <c r="AS75" s="54">
        <v>71</v>
      </c>
      <c r="AT75" s="82">
        <v>28</v>
      </c>
      <c r="AU75" s="78">
        <f t="shared" si="25"/>
        <v>2125.25</v>
      </c>
      <c r="AW75" s="54">
        <v>71</v>
      </c>
      <c r="AX75" s="82">
        <v>29</v>
      </c>
      <c r="AY75" s="78">
        <f t="shared" si="26"/>
        <v>2426</v>
      </c>
      <c r="BA75" s="54">
        <v>71</v>
      </c>
      <c r="BB75" s="82">
        <v>35</v>
      </c>
      <c r="BC75" s="78">
        <f t="shared" si="27"/>
        <v>1792</v>
      </c>
    </row>
    <row r="76" spans="1:55">
      <c r="A76" s="54">
        <v>70</v>
      </c>
      <c r="B76" s="82">
        <v>8</v>
      </c>
      <c r="C76" s="78">
        <f t="shared" si="29"/>
        <v>607</v>
      </c>
      <c r="E76" s="129">
        <f t="shared" si="39"/>
        <v>1.2</v>
      </c>
      <c r="F76" s="38">
        <f t="shared" si="30"/>
        <v>9.6</v>
      </c>
      <c r="G76" s="162">
        <f t="shared" si="31"/>
        <v>738.4</v>
      </c>
      <c r="I76" s="129">
        <f t="shared" si="40"/>
        <v>1.4</v>
      </c>
      <c r="J76" s="38">
        <f t="shared" si="32"/>
        <v>11.2</v>
      </c>
      <c r="K76" s="164">
        <f t="shared" si="33"/>
        <v>879.8</v>
      </c>
      <c r="M76" s="129">
        <f t="shared" si="41"/>
        <v>1.7</v>
      </c>
      <c r="N76" s="38">
        <f t="shared" si="34"/>
        <v>13.6</v>
      </c>
      <c r="O76" s="166">
        <f t="shared" si="35"/>
        <v>1081.9000000000001</v>
      </c>
      <c r="Q76" s="129">
        <f t="shared" si="42"/>
        <v>2.1</v>
      </c>
      <c r="R76" s="38">
        <f t="shared" si="36"/>
        <v>16.8</v>
      </c>
      <c r="S76" s="131">
        <f t="shared" si="37"/>
        <v>1344.7</v>
      </c>
      <c r="AA76">
        <f t="shared" si="38"/>
        <v>849.8</v>
      </c>
      <c r="AC76" s="54">
        <v>72</v>
      </c>
      <c r="AD76" s="82">
        <v>35</v>
      </c>
      <c r="AE76" s="78">
        <f t="shared" si="21"/>
        <v>1667</v>
      </c>
      <c r="AG76" s="54">
        <v>72</v>
      </c>
      <c r="AH76" s="82">
        <v>25</v>
      </c>
      <c r="AI76" s="78">
        <f t="shared" si="22"/>
        <v>1719</v>
      </c>
      <c r="AK76" s="54">
        <v>72</v>
      </c>
      <c r="AL76" s="82">
        <v>26</v>
      </c>
      <c r="AM76" s="78">
        <f t="shared" si="23"/>
        <v>2013.75</v>
      </c>
      <c r="AO76" s="54">
        <v>72</v>
      </c>
      <c r="AP76" s="82">
        <v>27</v>
      </c>
      <c r="AQ76" s="78">
        <f t="shared" si="24"/>
        <v>2083.5</v>
      </c>
      <c r="AS76" s="54">
        <v>72</v>
      </c>
      <c r="AT76" s="82">
        <v>28</v>
      </c>
      <c r="AU76" s="78">
        <f t="shared" si="25"/>
        <v>2153.25</v>
      </c>
      <c r="AW76" s="54">
        <v>72</v>
      </c>
      <c r="AX76" s="82">
        <v>29</v>
      </c>
      <c r="AY76" s="78">
        <f t="shared" si="26"/>
        <v>2455</v>
      </c>
      <c r="BA76" s="54">
        <v>72</v>
      </c>
      <c r="BB76" s="82">
        <v>35</v>
      </c>
      <c r="BC76" s="78">
        <f t="shared" si="27"/>
        <v>1827</v>
      </c>
    </row>
    <row r="77" spans="1:55">
      <c r="A77" s="54">
        <v>71</v>
      </c>
      <c r="B77" s="82">
        <v>8</v>
      </c>
      <c r="C77" s="78">
        <f t="shared" si="29"/>
        <v>615</v>
      </c>
      <c r="E77" s="129">
        <f t="shared" si="39"/>
        <v>1.2</v>
      </c>
      <c r="F77" s="38">
        <f t="shared" si="30"/>
        <v>9.6</v>
      </c>
      <c r="G77" s="162">
        <f t="shared" si="31"/>
        <v>748</v>
      </c>
      <c r="I77" s="129">
        <f t="shared" si="40"/>
        <v>1.4</v>
      </c>
      <c r="J77" s="38">
        <f t="shared" si="32"/>
        <v>11.2</v>
      </c>
      <c r="K77" s="164">
        <f t="shared" si="33"/>
        <v>891</v>
      </c>
      <c r="M77" s="129">
        <f t="shared" si="41"/>
        <v>1.7</v>
      </c>
      <c r="N77" s="38">
        <f t="shared" si="34"/>
        <v>13.6</v>
      </c>
      <c r="O77" s="166">
        <f t="shared" si="35"/>
        <v>1095.5</v>
      </c>
      <c r="Q77" s="129">
        <f t="shared" si="42"/>
        <v>2.1</v>
      </c>
      <c r="R77" s="38">
        <f t="shared" si="36"/>
        <v>16.8</v>
      </c>
      <c r="S77" s="131">
        <f t="shared" si="37"/>
        <v>1361.5</v>
      </c>
      <c r="AA77">
        <f t="shared" si="38"/>
        <v>861</v>
      </c>
      <c r="AC77" s="54">
        <v>73</v>
      </c>
      <c r="AD77" s="82">
        <v>35</v>
      </c>
      <c r="AE77" s="78">
        <f t="shared" si="21"/>
        <v>1702</v>
      </c>
      <c r="AG77" s="54">
        <v>73</v>
      </c>
      <c r="AH77" s="82">
        <v>25</v>
      </c>
      <c r="AI77" s="78">
        <f t="shared" si="22"/>
        <v>1744</v>
      </c>
      <c r="AK77" s="54">
        <v>73</v>
      </c>
      <c r="AL77" s="82">
        <v>26</v>
      </c>
      <c r="AM77" s="78">
        <f t="shared" si="23"/>
        <v>2039.75</v>
      </c>
      <c r="AO77" s="54">
        <v>73</v>
      </c>
      <c r="AP77" s="82">
        <v>27</v>
      </c>
      <c r="AQ77" s="78">
        <f t="shared" si="24"/>
        <v>2110.5</v>
      </c>
      <c r="AS77" s="54">
        <v>73</v>
      </c>
      <c r="AT77" s="82">
        <v>28</v>
      </c>
      <c r="AU77" s="78">
        <f t="shared" si="25"/>
        <v>2181.25</v>
      </c>
      <c r="AW77" s="54">
        <v>73</v>
      </c>
      <c r="AX77" s="82">
        <v>29</v>
      </c>
      <c r="AY77" s="78">
        <f t="shared" si="26"/>
        <v>2484</v>
      </c>
      <c r="BA77" s="54">
        <v>73</v>
      </c>
      <c r="BB77" s="82">
        <v>35</v>
      </c>
      <c r="BC77" s="78">
        <f t="shared" si="27"/>
        <v>1862</v>
      </c>
    </row>
    <row r="78" spans="1:55">
      <c r="A78" s="54">
        <v>72</v>
      </c>
      <c r="B78" s="82">
        <v>8</v>
      </c>
      <c r="C78" s="78">
        <f t="shared" si="29"/>
        <v>623</v>
      </c>
      <c r="E78" s="129">
        <f t="shared" si="39"/>
        <v>1.2</v>
      </c>
      <c r="F78" s="38">
        <f t="shared" si="30"/>
        <v>9.6</v>
      </c>
      <c r="G78" s="162">
        <f t="shared" si="31"/>
        <v>757.6</v>
      </c>
      <c r="I78" s="129">
        <f t="shared" si="40"/>
        <v>1.4</v>
      </c>
      <c r="J78" s="38">
        <f t="shared" si="32"/>
        <v>11.2</v>
      </c>
      <c r="K78" s="164">
        <f t="shared" si="33"/>
        <v>902.2</v>
      </c>
      <c r="M78" s="129">
        <f t="shared" si="41"/>
        <v>1.7</v>
      </c>
      <c r="N78" s="38">
        <f t="shared" si="34"/>
        <v>13.6</v>
      </c>
      <c r="O78" s="166">
        <f t="shared" si="35"/>
        <v>1109.0999999999999</v>
      </c>
      <c r="Q78" s="129">
        <f t="shared" si="42"/>
        <v>2.1</v>
      </c>
      <c r="R78" s="38">
        <f t="shared" si="36"/>
        <v>16.8</v>
      </c>
      <c r="S78" s="131">
        <f t="shared" si="37"/>
        <v>1378.3</v>
      </c>
      <c r="AA78">
        <f t="shared" si="38"/>
        <v>872.2</v>
      </c>
      <c r="AC78" s="54">
        <v>74</v>
      </c>
      <c r="AD78" s="82">
        <v>35</v>
      </c>
      <c r="AE78" s="78">
        <f t="shared" si="21"/>
        <v>1737</v>
      </c>
      <c r="AG78" s="54">
        <v>74</v>
      </c>
      <c r="AH78" s="82">
        <v>25</v>
      </c>
      <c r="AI78" s="78">
        <f t="shared" si="22"/>
        <v>1769</v>
      </c>
      <c r="AK78" s="54">
        <v>74</v>
      </c>
      <c r="AL78" s="82">
        <v>26</v>
      </c>
      <c r="AM78" s="78">
        <f t="shared" si="23"/>
        <v>2065.75</v>
      </c>
      <c r="AO78" s="54">
        <v>74</v>
      </c>
      <c r="AP78" s="82">
        <v>27</v>
      </c>
      <c r="AQ78" s="78">
        <f t="shared" si="24"/>
        <v>2137.5</v>
      </c>
      <c r="AS78" s="54">
        <v>74</v>
      </c>
      <c r="AT78" s="82">
        <v>28</v>
      </c>
      <c r="AU78" s="78">
        <f t="shared" si="25"/>
        <v>2209.25</v>
      </c>
      <c r="AW78" s="54">
        <v>74</v>
      </c>
      <c r="AX78" s="82">
        <v>29</v>
      </c>
      <c r="AY78" s="78">
        <f t="shared" si="26"/>
        <v>2513</v>
      </c>
      <c r="BA78" s="54">
        <v>74</v>
      </c>
      <c r="BB78" s="82">
        <v>35</v>
      </c>
      <c r="BC78" s="78">
        <f t="shared" si="27"/>
        <v>1897</v>
      </c>
    </row>
    <row r="79" spans="1:55">
      <c r="A79" s="54">
        <v>73</v>
      </c>
      <c r="B79" s="82">
        <v>8</v>
      </c>
      <c r="C79" s="78">
        <f t="shared" si="29"/>
        <v>631</v>
      </c>
      <c r="E79" s="129">
        <f t="shared" si="39"/>
        <v>1.2</v>
      </c>
      <c r="F79" s="38">
        <f t="shared" si="30"/>
        <v>9.6</v>
      </c>
      <c r="G79" s="162">
        <f t="shared" si="31"/>
        <v>767.2</v>
      </c>
      <c r="I79" s="129">
        <f t="shared" si="40"/>
        <v>1.4</v>
      </c>
      <c r="J79" s="38">
        <f t="shared" si="32"/>
        <v>11.2</v>
      </c>
      <c r="K79" s="164">
        <f t="shared" si="33"/>
        <v>913.4</v>
      </c>
      <c r="M79" s="129">
        <f t="shared" si="41"/>
        <v>1.7</v>
      </c>
      <c r="N79" s="38">
        <f t="shared" si="34"/>
        <v>13.6</v>
      </c>
      <c r="O79" s="166">
        <f t="shared" si="35"/>
        <v>1122.7</v>
      </c>
      <c r="Q79" s="129">
        <f t="shared" si="42"/>
        <v>2.1</v>
      </c>
      <c r="R79" s="38">
        <f t="shared" si="36"/>
        <v>16.8</v>
      </c>
      <c r="S79" s="131">
        <f t="shared" si="37"/>
        <v>1395.1</v>
      </c>
      <c r="AA79">
        <f t="shared" si="38"/>
        <v>883.4</v>
      </c>
      <c r="AC79" s="54">
        <v>75</v>
      </c>
      <c r="AD79" s="82">
        <v>35</v>
      </c>
      <c r="AE79" s="78">
        <f t="shared" si="21"/>
        <v>1772</v>
      </c>
      <c r="AG79" s="54">
        <v>75</v>
      </c>
      <c r="AH79" s="82">
        <v>25</v>
      </c>
      <c r="AI79" s="78">
        <f t="shared" si="22"/>
        <v>1794</v>
      </c>
      <c r="AK79" s="54">
        <v>75</v>
      </c>
      <c r="AL79" s="82">
        <v>26</v>
      </c>
      <c r="AM79" s="78">
        <f t="shared" si="23"/>
        <v>2091.75</v>
      </c>
      <c r="AO79" s="54">
        <v>75</v>
      </c>
      <c r="AP79" s="82">
        <v>27</v>
      </c>
      <c r="AQ79" s="78">
        <f t="shared" si="24"/>
        <v>2164.5</v>
      </c>
      <c r="AS79" s="54">
        <v>75</v>
      </c>
      <c r="AT79" s="82">
        <v>28</v>
      </c>
      <c r="AU79" s="78">
        <f t="shared" si="25"/>
        <v>2237.25</v>
      </c>
      <c r="AW79" s="54">
        <v>75</v>
      </c>
      <c r="AX79" s="82">
        <v>29</v>
      </c>
      <c r="AY79" s="78">
        <f t="shared" si="26"/>
        <v>2542</v>
      </c>
      <c r="BA79" s="54">
        <v>75</v>
      </c>
      <c r="BB79" s="82">
        <v>35</v>
      </c>
      <c r="BC79" s="78">
        <f t="shared" si="27"/>
        <v>1932</v>
      </c>
    </row>
    <row r="80" spans="1:55">
      <c r="A80" s="54">
        <v>74</v>
      </c>
      <c r="B80" s="82">
        <v>8</v>
      </c>
      <c r="C80" s="78">
        <f t="shared" si="29"/>
        <v>639</v>
      </c>
      <c r="E80" s="129">
        <f t="shared" si="39"/>
        <v>1.2</v>
      </c>
      <c r="F80" s="38">
        <f t="shared" si="30"/>
        <v>9.6</v>
      </c>
      <c r="G80" s="162">
        <f t="shared" si="31"/>
        <v>776.8</v>
      </c>
      <c r="I80" s="129">
        <f t="shared" si="40"/>
        <v>1.4</v>
      </c>
      <c r="J80" s="38">
        <f t="shared" si="32"/>
        <v>11.2</v>
      </c>
      <c r="K80" s="164">
        <f t="shared" si="33"/>
        <v>924.6</v>
      </c>
      <c r="M80" s="129">
        <f t="shared" si="41"/>
        <v>1.7</v>
      </c>
      <c r="N80" s="38">
        <f t="shared" si="34"/>
        <v>13.6</v>
      </c>
      <c r="O80" s="166">
        <f t="shared" si="35"/>
        <v>1136.3</v>
      </c>
      <c r="Q80" s="129">
        <f t="shared" si="42"/>
        <v>2.1</v>
      </c>
      <c r="R80" s="38">
        <f t="shared" si="36"/>
        <v>16.8</v>
      </c>
      <c r="S80" s="131">
        <f t="shared" si="37"/>
        <v>1411.9</v>
      </c>
      <c r="AA80">
        <f t="shared" si="38"/>
        <v>894.6</v>
      </c>
      <c r="AC80" s="54">
        <v>76</v>
      </c>
      <c r="AD80" s="82">
        <v>35</v>
      </c>
      <c r="AE80" s="78">
        <f t="shared" si="21"/>
        <v>1807</v>
      </c>
      <c r="AG80" s="54">
        <v>76</v>
      </c>
      <c r="AH80" s="82">
        <v>25</v>
      </c>
      <c r="AI80" s="78">
        <f t="shared" si="22"/>
        <v>1819</v>
      </c>
      <c r="AK80" s="54">
        <v>76</v>
      </c>
      <c r="AL80" s="82">
        <v>26</v>
      </c>
      <c r="AM80" s="78">
        <f t="shared" si="23"/>
        <v>2117.75</v>
      </c>
      <c r="AO80" s="54">
        <v>76</v>
      </c>
      <c r="AP80" s="82">
        <v>27</v>
      </c>
      <c r="AQ80" s="78">
        <f t="shared" si="24"/>
        <v>2191.5</v>
      </c>
      <c r="AS80" s="54">
        <v>76</v>
      </c>
      <c r="AT80" s="82">
        <v>28</v>
      </c>
      <c r="AU80" s="78">
        <f t="shared" si="25"/>
        <v>2265.25</v>
      </c>
      <c r="AW80" s="54">
        <v>76</v>
      </c>
      <c r="AX80" s="82">
        <v>29</v>
      </c>
      <c r="AY80" s="78">
        <f t="shared" si="26"/>
        <v>2571</v>
      </c>
      <c r="BA80" s="54">
        <v>76</v>
      </c>
      <c r="BB80" s="82">
        <v>35</v>
      </c>
      <c r="BC80" s="78">
        <f t="shared" si="27"/>
        <v>1967</v>
      </c>
    </row>
    <row r="81" spans="1:55">
      <c r="A81" s="54">
        <v>75</v>
      </c>
      <c r="B81" s="82">
        <v>8</v>
      </c>
      <c r="C81" s="78">
        <f t="shared" si="29"/>
        <v>647</v>
      </c>
      <c r="E81" s="129">
        <f t="shared" si="39"/>
        <v>1.2</v>
      </c>
      <c r="F81" s="38">
        <f t="shared" si="30"/>
        <v>9.6</v>
      </c>
      <c r="G81" s="162">
        <f t="shared" si="31"/>
        <v>786.4</v>
      </c>
      <c r="I81" s="129">
        <f t="shared" si="40"/>
        <v>1.4</v>
      </c>
      <c r="J81" s="38">
        <f t="shared" si="32"/>
        <v>11.2</v>
      </c>
      <c r="K81" s="164">
        <f t="shared" si="33"/>
        <v>935.8</v>
      </c>
      <c r="M81" s="129">
        <f t="shared" si="41"/>
        <v>1.7</v>
      </c>
      <c r="N81" s="38">
        <f t="shared" si="34"/>
        <v>13.6</v>
      </c>
      <c r="O81" s="166">
        <f t="shared" si="35"/>
        <v>1149.9000000000001</v>
      </c>
      <c r="Q81" s="129">
        <f t="shared" si="42"/>
        <v>2.1</v>
      </c>
      <c r="R81" s="38">
        <f t="shared" si="36"/>
        <v>16.8</v>
      </c>
      <c r="S81" s="131">
        <f t="shared" si="37"/>
        <v>1428.7</v>
      </c>
      <c r="AA81">
        <f t="shared" si="38"/>
        <v>905.8</v>
      </c>
      <c r="AC81" s="54">
        <v>77</v>
      </c>
      <c r="AD81" s="82">
        <v>35</v>
      </c>
      <c r="AE81" s="78">
        <f t="shared" si="21"/>
        <v>1842</v>
      </c>
      <c r="AG81" s="54">
        <v>77</v>
      </c>
      <c r="AH81" s="82">
        <v>25</v>
      </c>
      <c r="AI81" s="78">
        <f t="shared" si="22"/>
        <v>1844</v>
      </c>
      <c r="AK81" s="54">
        <v>77</v>
      </c>
      <c r="AL81" s="82">
        <v>26</v>
      </c>
      <c r="AM81" s="78">
        <f t="shared" si="23"/>
        <v>2143.75</v>
      </c>
      <c r="AO81" s="54">
        <v>77</v>
      </c>
      <c r="AP81" s="82">
        <v>27</v>
      </c>
      <c r="AQ81" s="78">
        <f t="shared" si="24"/>
        <v>2218.5</v>
      </c>
      <c r="AS81" s="54">
        <v>77</v>
      </c>
      <c r="AT81" s="82">
        <v>28</v>
      </c>
      <c r="AU81" s="78">
        <f t="shared" si="25"/>
        <v>2293.25</v>
      </c>
      <c r="AW81" s="54">
        <v>77</v>
      </c>
      <c r="AX81" s="82">
        <v>29</v>
      </c>
      <c r="AY81" s="78">
        <f t="shared" si="26"/>
        <v>2600</v>
      </c>
      <c r="BA81" s="54">
        <v>77</v>
      </c>
      <c r="BB81" s="82">
        <v>35</v>
      </c>
      <c r="BC81" s="78">
        <f t="shared" si="27"/>
        <v>2002</v>
      </c>
    </row>
    <row r="82" spans="1:55">
      <c r="A82" s="54">
        <v>76</v>
      </c>
      <c r="B82" s="82">
        <v>8</v>
      </c>
      <c r="C82" s="78">
        <f t="shared" si="29"/>
        <v>655</v>
      </c>
      <c r="E82" s="129">
        <f t="shared" si="39"/>
        <v>1.2</v>
      </c>
      <c r="F82" s="38">
        <f t="shared" si="30"/>
        <v>9.6</v>
      </c>
      <c r="G82" s="162">
        <f t="shared" si="31"/>
        <v>796</v>
      </c>
      <c r="I82" s="129">
        <f t="shared" si="40"/>
        <v>1.4</v>
      </c>
      <c r="J82" s="38">
        <f t="shared" si="32"/>
        <v>11.2</v>
      </c>
      <c r="K82" s="164">
        <f t="shared" si="33"/>
        <v>947</v>
      </c>
      <c r="M82" s="129">
        <f t="shared" si="41"/>
        <v>1.7</v>
      </c>
      <c r="N82" s="38">
        <f t="shared" si="34"/>
        <v>13.6</v>
      </c>
      <c r="O82" s="166">
        <f t="shared" si="35"/>
        <v>1163.5</v>
      </c>
      <c r="Q82" s="129">
        <f t="shared" si="42"/>
        <v>2.1</v>
      </c>
      <c r="R82" s="38">
        <f t="shared" si="36"/>
        <v>16.8</v>
      </c>
      <c r="S82" s="131">
        <f t="shared" si="37"/>
        <v>1445.5</v>
      </c>
      <c r="AA82">
        <f t="shared" si="38"/>
        <v>917</v>
      </c>
      <c r="AC82" s="54">
        <v>78</v>
      </c>
      <c r="AD82" s="82">
        <v>35</v>
      </c>
      <c r="AE82" s="78">
        <f t="shared" si="21"/>
        <v>1877</v>
      </c>
      <c r="AG82" s="54">
        <v>78</v>
      </c>
      <c r="AH82" s="82">
        <v>25</v>
      </c>
      <c r="AI82" s="78">
        <f t="shared" si="22"/>
        <v>1869</v>
      </c>
      <c r="AK82" s="54">
        <v>78</v>
      </c>
      <c r="AL82" s="82">
        <v>26</v>
      </c>
      <c r="AM82" s="78">
        <f t="shared" si="23"/>
        <v>2169.75</v>
      </c>
      <c r="AO82" s="54">
        <v>78</v>
      </c>
      <c r="AP82" s="82">
        <v>27</v>
      </c>
      <c r="AQ82" s="78">
        <f t="shared" si="24"/>
        <v>2245.5</v>
      </c>
      <c r="AS82" s="54">
        <v>78</v>
      </c>
      <c r="AT82" s="82">
        <v>28</v>
      </c>
      <c r="AU82" s="78">
        <f t="shared" si="25"/>
        <v>2321.25</v>
      </c>
      <c r="AW82" s="54">
        <v>78</v>
      </c>
      <c r="AX82" s="82">
        <v>29</v>
      </c>
      <c r="AY82" s="78">
        <f t="shared" si="26"/>
        <v>2629</v>
      </c>
      <c r="BA82" s="54">
        <v>78</v>
      </c>
      <c r="BB82" s="82">
        <v>35</v>
      </c>
      <c r="BC82" s="78">
        <f t="shared" si="27"/>
        <v>2037</v>
      </c>
    </row>
    <row r="83" spans="1:55">
      <c r="A83" s="54">
        <v>77</v>
      </c>
      <c r="B83" s="82">
        <v>8</v>
      </c>
      <c r="C83" s="78">
        <f t="shared" si="29"/>
        <v>663</v>
      </c>
      <c r="E83" s="129">
        <f t="shared" si="39"/>
        <v>1.2</v>
      </c>
      <c r="F83" s="38">
        <f t="shared" si="30"/>
        <v>9.6</v>
      </c>
      <c r="G83" s="162">
        <f t="shared" si="31"/>
        <v>805.6</v>
      </c>
      <c r="I83" s="129">
        <f t="shared" si="40"/>
        <v>1.4</v>
      </c>
      <c r="J83" s="38">
        <f t="shared" si="32"/>
        <v>11.2</v>
      </c>
      <c r="K83" s="164">
        <f t="shared" si="33"/>
        <v>958.2</v>
      </c>
      <c r="M83" s="129">
        <f t="shared" si="41"/>
        <v>1.7</v>
      </c>
      <c r="N83" s="38">
        <f t="shared" si="34"/>
        <v>13.6</v>
      </c>
      <c r="O83" s="166">
        <f t="shared" si="35"/>
        <v>1177.0999999999999</v>
      </c>
      <c r="Q83" s="129">
        <f t="shared" si="42"/>
        <v>2.1</v>
      </c>
      <c r="R83" s="38">
        <f t="shared" si="36"/>
        <v>16.8</v>
      </c>
      <c r="S83" s="131">
        <f t="shared" si="37"/>
        <v>1462.3</v>
      </c>
      <c r="AA83">
        <f t="shared" si="38"/>
        <v>928.2</v>
      </c>
      <c r="AC83" s="54">
        <v>79</v>
      </c>
      <c r="AD83" s="82">
        <v>35</v>
      </c>
      <c r="AE83" s="78">
        <f t="shared" si="21"/>
        <v>1912</v>
      </c>
      <c r="AG83" s="54">
        <v>79</v>
      </c>
      <c r="AH83" s="82">
        <v>25</v>
      </c>
      <c r="AI83" s="78">
        <f t="shared" si="22"/>
        <v>1894</v>
      </c>
      <c r="AK83" s="54">
        <v>79</v>
      </c>
      <c r="AL83" s="82">
        <v>26</v>
      </c>
      <c r="AM83" s="78">
        <f t="shared" si="23"/>
        <v>2195.75</v>
      </c>
      <c r="AO83" s="54">
        <v>79</v>
      </c>
      <c r="AP83" s="82">
        <v>27</v>
      </c>
      <c r="AQ83" s="78">
        <f t="shared" si="24"/>
        <v>2272.5</v>
      </c>
      <c r="AS83" s="54">
        <v>79</v>
      </c>
      <c r="AT83" s="82">
        <v>28</v>
      </c>
      <c r="AU83" s="78">
        <f t="shared" si="25"/>
        <v>2349.25</v>
      </c>
      <c r="AW83" s="54">
        <v>79</v>
      </c>
      <c r="AX83" s="82">
        <v>29</v>
      </c>
      <c r="AY83" s="78">
        <f t="shared" si="26"/>
        <v>2658</v>
      </c>
      <c r="BA83" s="54">
        <v>79</v>
      </c>
      <c r="BB83" s="82">
        <v>35</v>
      </c>
      <c r="BC83" s="78">
        <f t="shared" si="27"/>
        <v>2072</v>
      </c>
    </row>
    <row r="84" spans="1:55">
      <c r="A84" s="54">
        <v>78</v>
      </c>
      <c r="B84" s="82">
        <v>8</v>
      </c>
      <c r="C84" s="78">
        <f t="shared" si="29"/>
        <v>671</v>
      </c>
      <c r="E84" s="129">
        <f t="shared" si="39"/>
        <v>1.2</v>
      </c>
      <c r="F84" s="38">
        <f t="shared" si="30"/>
        <v>9.6</v>
      </c>
      <c r="G84" s="162">
        <f t="shared" si="31"/>
        <v>815.2</v>
      </c>
      <c r="I84" s="129">
        <f t="shared" si="40"/>
        <v>1.4</v>
      </c>
      <c r="J84" s="38">
        <f t="shared" si="32"/>
        <v>11.2</v>
      </c>
      <c r="K84" s="164">
        <f t="shared" si="33"/>
        <v>969.4</v>
      </c>
      <c r="M84" s="129">
        <f t="shared" si="41"/>
        <v>1.7</v>
      </c>
      <c r="N84" s="38">
        <f t="shared" si="34"/>
        <v>13.6</v>
      </c>
      <c r="O84" s="166">
        <f t="shared" si="35"/>
        <v>1190.7</v>
      </c>
      <c r="Q84" s="129">
        <f t="shared" si="42"/>
        <v>2.1</v>
      </c>
      <c r="R84" s="38">
        <f t="shared" si="36"/>
        <v>16.8</v>
      </c>
      <c r="S84" s="131">
        <f t="shared" si="37"/>
        <v>1479.1</v>
      </c>
      <c r="AA84">
        <f t="shared" si="38"/>
        <v>939.4</v>
      </c>
      <c r="AC84" s="54">
        <v>80</v>
      </c>
      <c r="AD84" s="83"/>
      <c r="AE84" s="78">
        <f t="shared" si="21"/>
        <v>1912</v>
      </c>
      <c r="AG84" s="54">
        <v>80</v>
      </c>
      <c r="AH84" s="83">
        <v>300</v>
      </c>
      <c r="AI84" s="78">
        <f t="shared" si="22"/>
        <v>2194</v>
      </c>
      <c r="AK84" s="54">
        <v>80</v>
      </c>
      <c r="AL84" s="83">
        <v>400</v>
      </c>
      <c r="AM84" s="78">
        <f t="shared" si="23"/>
        <v>2595.75</v>
      </c>
      <c r="AO84" s="54">
        <v>80</v>
      </c>
      <c r="AP84" s="83">
        <v>400</v>
      </c>
      <c r="AQ84" s="78">
        <f t="shared" si="24"/>
        <v>2672.5</v>
      </c>
      <c r="AS84" s="54">
        <v>80</v>
      </c>
      <c r="AT84" s="83">
        <v>400</v>
      </c>
      <c r="AU84" s="78">
        <f t="shared" si="25"/>
        <v>2749.25</v>
      </c>
      <c r="AW84" s="54">
        <v>80</v>
      </c>
      <c r="AX84" s="83">
        <v>500</v>
      </c>
      <c r="AY84" s="78">
        <f t="shared" si="26"/>
        <v>3158</v>
      </c>
      <c r="BA84" s="54">
        <v>80</v>
      </c>
      <c r="BB84" s="83"/>
      <c r="BC84" s="78">
        <f t="shared" si="27"/>
        <v>2072</v>
      </c>
    </row>
    <row r="85" spans="1:55">
      <c r="A85" s="54">
        <v>79</v>
      </c>
      <c r="B85" s="82">
        <v>8</v>
      </c>
      <c r="C85" s="78">
        <f t="shared" si="29"/>
        <v>679</v>
      </c>
      <c r="E85" s="129">
        <f t="shared" si="39"/>
        <v>1.2</v>
      </c>
      <c r="F85" s="38">
        <f t="shared" si="30"/>
        <v>9.6</v>
      </c>
      <c r="G85" s="162">
        <f t="shared" si="31"/>
        <v>824.8</v>
      </c>
      <c r="I85" s="129">
        <f t="shared" si="40"/>
        <v>1.4</v>
      </c>
      <c r="J85" s="38">
        <f t="shared" si="32"/>
        <v>11.2</v>
      </c>
      <c r="K85" s="164">
        <f t="shared" si="33"/>
        <v>980.6</v>
      </c>
      <c r="M85" s="129">
        <f t="shared" si="41"/>
        <v>1.7</v>
      </c>
      <c r="N85" s="38">
        <f t="shared" si="34"/>
        <v>13.6</v>
      </c>
      <c r="O85" s="166">
        <f t="shared" si="35"/>
        <v>1204.3</v>
      </c>
      <c r="Q85" s="129">
        <f t="shared" si="42"/>
        <v>2.1</v>
      </c>
      <c r="R85" s="38">
        <f t="shared" si="36"/>
        <v>16.8</v>
      </c>
      <c r="S85" s="131">
        <f t="shared" si="37"/>
        <v>1495.9</v>
      </c>
      <c r="AA85">
        <f t="shared" si="38"/>
        <v>950.6</v>
      </c>
      <c r="AC85" s="54">
        <v>81</v>
      </c>
      <c r="AD85" s="82">
        <v>40</v>
      </c>
      <c r="AE85" s="78">
        <f t="shared" si="21"/>
        <v>1952</v>
      </c>
      <c r="AG85" s="54">
        <v>81</v>
      </c>
      <c r="AH85" s="82">
        <v>40</v>
      </c>
      <c r="AI85" s="78">
        <f t="shared" si="22"/>
        <v>2234</v>
      </c>
      <c r="AK85" s="54">
        <v>81</v>
      </c>
      <c r="AL85" s="82">
        <v>41.25</v>
      </c>
      <c r="AM85" s="78">
        <f t="shared" si="23"/>
        <v>2637</v>
      </c>
      <c r="AO85" s="54">
        <v>81</v>
      </c>
      <c r="AP85" s="82">
        <v>43</v>
      </c>
      <c r="AQ85" s="78">
        <f t="shared" si="24"/>
        <v>2715.5</v>
      </c>
      <c r="AS85" s="54">
        <v>81</v>
      </c>
      <c r="AT85" s="82">
        <v>44.25</v>
      </c>
      <c r="AU85" s="78">
        <f t="shared" si="25"/>
        <v>2793.5</v>
      </c>
      <c r="AW85" s="54">
        <v>81</v>
      </c>
      <c r="AX85" s="82">
        <v>45.5</v>
      </c>
      <c r="AY85" s="78">
        <f t="shared" si="26"/>
        <v>3203.5</v>
      </c>
      <c r="BA85" s="54">
        <v>81</v>
      </c>
      <c r="BB85" s="82">
        <v>40</v>
      </c>
      <c r="BC85" s="78">
        <f t="shared" si="27"/>
        <v>2112</v>
      </c>
    </row>
    <row r="86" spans="1:55">
      <c r="A86" s="54">
        <v>80</v>
      </c>
      <c r="B86" s="83">
        <v>50</v>
      </c>
      <c r="C86" s="78">
        <f t="shared" si="29"/>
        <v>729</v>
      </c>
      <c r="E86" s="129">
        <f t="shared" si="39"/>
        <v>1.2</v>
      </c>
      <c r="F86" s="38">
        <f t="shared" si="30"/>
        <v>60</v>
      </c>
      <c r="G86" s="162">
        <f t="shared" si="31"/>
        <v>884.8</v>
      </c>
      <c r="I86" s="129">
        <f t="shared" si="40"/>
        <v>1.4</v>
      </c>
      <c r="J86" s="38">
        <f t="shared" si="32"/>
        <v>70</v>
      </c>
      <c r="K86" s="164">
        <f t="shared" si="33"/>
        <v>1050.5999999999999</v>
      </c>
      <c r="M86" s="129">
        <f t="shared" si="41"/>
        <v>1.7</v>
      </c>
      <c r="N86" s="38">
        <f t="shared" si="34"/>
        <v>85</v>
      </c>
      <c r="O86" s="166">
        <f t="shared" si="35"/>
        <v>1289.3</v>
      </c>
      <c r="Q86" s="129">
        <f t="shared" si="42"/>
        <v>2.1</v>
      </c>
      <c r="R86" s="38">
        <f t="shared" si="36"/>
        <v>105</v>
      </c>
      <c r="S86" s="131">
        <f t="shared" si="37"/>
        <v>1600.9</v>
      </c>
      <c r="AA86">
        <f t="shared" si="38"/>
        <v>1020.6</v>
      </c>
      <c r="AC86" s="54">
        <v>82</v>
      </c>
      <c r="AD86" s="82">
        <v>40</v>
      </c>
      <c r="AE86" s="78">
        <f t="shared" si="21"/>
        <v>1992</v>
      </c>
      <c r="AG86" s="54">
        <v>82</v>
      </c>
      <c r="AH86" s="82">
        <v>40</v>
      </c>
      <c r="AI86" s="78">
        <f t="shared" si="22"/>
        <v>2274</v>
      </c>
      <c r="AK86" s="54">
        <v>82</v>
      </c>
      <c r="AL86" s="82">
        <v>41.25</v>
      </c>
      <c r="AM86" s="78">
        <f t="shared" si="23"/>
        <v>2678.25</v>
      </c>
      <c r="AO86" s="54">
        <v>82</v>
      </c>
      <c r="AP86" s="82">
        <v>43</v>
      </c>
      <c r="AQ86" s="78">
        <f t="shared" si="24"/>
        <v>2758.5</v>
      </c>
      <c r="AS86" s="54">
        <v>82</v>
      </c>
      <c r="AT86" s="82">
        <v>44.25</v>
      </c>
      <c r="AU86" s="78">
        <f t="shared" si="25"/>
        <v>2837.75</v>
      </c>
      <c r="AW86" s="54">
        <v>82</v>
      </c>
      <c r="AX86" s="82">
        <v>45.5</v>
      </c>
      <c r="AY86" s="78">
        <f t="shared" si="26"/>
        <v>3249</v>
      </c>
      <c r="BA86" s="54">
        <v>82</v>
      </c>
      <c r="BB86" s="82">
        <v>40</v>
      </c>
      <c r="BC86" s="78">
        <f t="shared" si="27"/>
        <v>2152</v>
      </c>
    </row>
    <row r="87" spans="1:55">
      <c r="A87" s="54">
        <v>81</v>
      </c>
      <c r="B87" s="82">
        <v>9</v>
      </c>
      <c r="C87" s="78">
        <f t="shared" si="29"/>
        <v>738</v>
      </c>
      <c r="E87" s="129">
        <f t="shared" si="39"/>
        <v>1.2</v>
      </c>
      <c r="F87" s="38">
        <f t="shared" si="30"/>
        <v>10.8</v>
      </c>
      <c r="G87" s="162">
        <f t="shared" si="31"/>
        <v>895.6</v>
      </c>
      <c r="I87" s="129">
        <f t="shared" si="40"/>
        <v>1.4</v>
      </c>
      <c r="J87" s="38">
        <f t="shared" si="32"/>
        <v>12.6</v>
      </c>
      <c r="K87" s="164">
        <f t="shared" si="33"/>
        <v>1063.2</v>
      </c>
      <c r="M87" s="129">
        <f t="shared" si="41"/>
        <v>1.7</v>
      </c>
      <c r="N87" s="38">
        <f t="shared" si="34"/>
        <v>15.3</v>
      </c>
      <c r="O87" s="166">
        <f t="shared" si="35"/>
        <v>1304.5999999999999</v>
      </c>
      <c r="Q87" s="129">
        <f t="shared" si="42"/>
        <v>2.1</v>
      </c>
      <c r="R87" s="38">
        <f t="shared" si="36"/>
        <v>18.899999999999999</v>
      </c>
      <c r="S87" s="131">
        <f t="shared" si="37"/>
        <v>1619.8</v>
      </c>
      <c r="AA87">
        <f t="shared" si="38"/>
        <v>1033.2</v>
      </c>
      <c r="AC87" s="54">
        <v>83</v>
      </c>
      <c r="AD87" s="82">
        <v>40</v>
      </c>
      <c r="AE87" s="78">
        <f t="shared" si="21"/>
        <v>2032</v>
      </c>
      <c r="AG87" s="54">
        <v>83</v>
      </c>
      <c r="AH87" s="82">
        <v>40</v>
      </c>
      <c r="AI87" s="78">
        <f t="shared" si="22"/>
        <v>2314</v>
      </c>
      <c r="AK87" s="54">
        <v>83</v>
      </c>
      <c r="AL87" s="82">
        <v>41.25</v>
      </c>
      <c r="AM87" s="78">
        <f t="shared" si="23"/>
        <v>2719.5</v>
      </c>
      <c r="AO87" s="54">
        <v>83</v>
      </c>
      <c r="AP87" s="82">
        <v>43</v>
      </c>
      <c r="AQ87" s="78">
        <f t="shared" si="24"/>
        <v>2801.5</v>
      </c>
      <c r="AS87" s="54">
        <v>83</v>
      </c>
      <c r="AT87" s="82">
        <v>44.25</v>
      </c>
      <c r="AU87" s="78">
        <f t="shared" si="25"/>
        <v>2882</v>
      </c>
      <c r="AW87" s="54">
        <v>83</v>
      </c>
      <c r="AX87" s="82">
        <v>45.5</v>
      </c>
      <c r="AY87" s="78">
        <f t="shared" si="26"/>
        <v>3294.5</v>
      </c>
      <c r="BA87" s="54">
        <v>83</v>
      </c>
      <c r="BB87" s="82">
        <v>40</v>
      </c>
      <c r="BC87" s="78">
        <f t="shared" si="27"/>
        <v>2192</v>
      </c>
    </row>
    <row r="88" spans="1:55">
      <c r="A88" s="54">
        <v>82</v>
      </c>
      <c r="B88" s="82">
        <v>9</v>
      </c>
      <c r="C88" s="78">
        <f t="shared" si="29"/>
        <v>747</v>
      </c>
      <c r="E88" s="129">
        <f t="shared" si="39"/>
        <v>1.2</v>
      </c>
      <c r="F88" s="38">
        <f t="shared" si="30"/>
        <v>10.8</v>
      </c>
      <c r="G88" s="162">
        <f t="shared" si="31"/>
        <v>906.4</v>
      </c>
      <c r="I88" s="129">
        <f t="shared" si="40"/>
        <v>1.4</v>
      </c>
      <c r="J88" s="38">
        <f t="shared" si="32"/>
        <v>12.6</v>
      </c>
      <c r="K88" s="164">
        <f t="shared" si="33"/>
        <v>1075.8</v>
      </c>
      <c r="M88" s="129">
        <f t="shared" si="41"/>
        <v>1.7</v>
      </c>
      <c r="N88" s="38">
        <f t="shared" si="34"/>
        <v>15.3</v>
      </c>
      <c r="O88" s="166">
        <f t="shared" si="35"/>
        <v>1319.9</v>
      </c>
      <c r="Q88" s="129">
        <f t="shared" si="42"/>
        <v>2.1</v>
      </c>
      <c r="R88" s="38">
        <f t="shared" si="36"/>
        <v>18.899999999999999</v>
      </c>
      <c r="S88" s="131">
        <f t="shared" si="37"/>
        <v>1638.7</v>
      </c>
      <c r="AA88">
        <f t="shared" si="38"/>
        <v>1045.8</v>
      </c>
      <c r="AC88" s="54">
        <v>84</v>
      </c>
      <c r="AD88" s="82">
        <v>40</v>
      </c>
      <c r="AE88" s="78">
        <f t="shared" si="21"/>
        <v>2072</v>
      </c>
      <c r="AG88" s="54">
        <v>84</v>
      </c>
      <c r="AH88" s="82">
        <v>40</v>
      </c>
      <c r="AI88" s="78">
        <f t="shared" si="22"/>
        <v>2354</v>
      </c>
      <c r="AK88" s="54">
        <v>84</v>
      </c>
      <c r="AL88" s="82">
        <v>41.25</v>
      </c>
      <c r="AM88" s="78">
        <f t="shared" si="23"/>
        <v>2760.75</v>
      </c>
      <c r="AO88" s="54">
        <v>84</v>
      </c>
      <c r="AP88" s="82">
        <v>43</v>
      </c>
      <c r="AQ88" s="78">
        <f t="shared" si="24"/>
        <v>2844.5</v>
      </c>
      <c r="AS88" s="54">
        <v>84</v>
      </c>
      <c r="AT88" s="82">
        <v>44.25</v>
      </c>
      <c r="AU88" s="78">
        <f t="shared" si="25"/>
        <v>2926.25</v>
      </c>
      <c r="AW88" s="54">
        <v>84</v>
      </c>
      <c r="AX88" s="82">
        <v>45.5</v>
      </c>
      <c r="AY88" s="78">
        <f t="shared" si="26"/>
        <v>3340</v>
      </c>
      <c r="BA88" s="54">
        <v>84</v>
      </c>
      <c r="BB88" s="82">
        <v>40</v>
      </c>
      <c r="BC88" s="78">
        <f t="shared" si="27"/>
        <v>2232</v>
      </c>
    </row>
    <row r="89" spans="1:55">
      <c r="A89" s="54">
        <v>83</v>
      </c>
      <c r="B89" s="82">
        <v>9</v>
      </c>
      <c r="C89" s="78">
        <f t="shared" si="29"/>
        <v>756</v>
      </c>
      <c r="E89" s="129">
        <f t="shared" si="39"/>
        <v>1.2</v>
      </c>
      <c r="F89" s="38">
        <f t="shared" si="30"/>
        <v>10.8</v>
      </c>
      <c r="G89" s="162">
        <f t="shared" si="31"/>
        <v>917.2</v>
      </c>
      <c r="I89" s="129">
        <f t="shared" si="40"/>
        <v>1.4</v>
      </c>
      <c r="J89" s="38">
        <f t="shared" si="32"/>
        <v>12.6</v>
      </c>
      <c r="K89" s="164">
        <f t="shared" si="33"/>
        <v>1088.4000000000001</v>
      </c>
      <c r="M89" s="129">
        <f t="shared" si="41"/>
        <v>1.7</v>
      </c>
      <c r="N89" s="38">
        <f t="shared" si="34"/>
        <v>15.3</v>
      </c>
      <c r="O89" s="166">
        <f t="shared" si="35"/>
        <v>1335.2</v>
      </c>
      <c r="Q89" s="129">
        <f t="shared" si="42"/>
        <v>2.1</v>
      </c>
      <c r="R89" s="38">
        <f t="shared" si="36"/>
        <v>18.899999999999999</v>
      </c>
      <c r="S89" s="131">
        <f t="shared" si="37"/>
        <v>1657.6</v>
      </c>
      <c r="AA89">
        <f t="shared" si="38"/>
        <v>1058.4000000000001</v>
      </c>
      <c r="AC89" s="54">
        <v>85</v>
      </c>
      <c r="AD89" s="82">
        <v>40</v>
      </c>
      <c r="AE89" s="78">
        <f t="shared" ref="AE89:AE103" si="43">AE88+AD89</f>
        <v>2112</v>
      </c>
      <c r="AG89" s="54">
        <v>85</v>
      </c>
      <c r="AH89" s="82">
        <v>40</v>
      </c>
      <c r="AI89" s="78">
        <f t="shared" ref="AI89:AI103" si="44">AI88+AH89</f>
        <v>2394</v>
      </c>
      <c r="AK89" s="54">
        <v>85</v>
      </c>
      <c r="AL89" s="82">
        <v>41.25</v>
      </c>
      <c r="AM89" s="78">
        <f t="shared" ref="AM89:AM103" si="45">AM88+AL89</f>
        <v>2802</v>
      </c>
      <c r="AO89" s="54">
        <v>85</v>
      </c>
      <c r="AP89" s="82">
        <v>43</v>
      </c>
      <c r="AQ89" s="78">
        <f t="shared" ref="AQ89:AQ103" si="46">AQ88+AP89</f>
        <v>2887.5</v>
      </c>
      <c r="AS89" s="54">
        <v>85</v>
      </c>
      <c r="AT89" s="82">
        <v>44.25</v>
      </c>
      <c r="AU89" s="78">
        <f t="shared" ref="AU89:AU103" si="47">AU88+AT89</f>
        <v>2970.5</v>
      </c>
      <c r="AW89" s="54">
        <v>85</v>
      </c>
      <c r="AX89" s="82">
        <v>45.5</v>
      </c>
      <c r="AY89" s="78">
        <f t="shared" ref="AY89:AY103" si="48">AY88+AX89</f>
        <v>3385.5</v>
      </c>
      <c r="BA89" s="54">
        <v>85</v>
      </c>
      <c r="BB89" s="82">
        <v>40</v>
      </c>
      <c r="BC89" s="78">
        <f t="shared" ref="BC89:BC103" si="49">BC88+BB89</f>
        <v>2272</v>
      </c>
    </row>
    <row r="90" spans="1:55">
      <c r="A90" s="54">
        <v>84</v>
      </c>
      <c r="B90" s="82">
        <v>9</v>
      </c>
      <c r="C90" s="78">
        <f t="shared" si="29"/>
        <v>765</v>
      </c>
      <c r="E90" s="129">
        <f t="shared" si="39"/>
        <v>1.2</v>
      </c>
      <c r="F90" s="38">
        <f t="shared" si="30"/>
        <v>10.8</v>
      </c>
      <c r="G90" s="162">
        <f t="shared" si="31"/>
        <v>928</v>
      </c>
      <c r="I90" s="129">
        <f t="shared" si="40"/>
        <v>1.4</v>
      </c>
      <c r="J90" s="38">
        <f t="shared" si="32"/>
        <v>12.6</v>
      </c>
      <c r="K90" s="164">
        <f t="shared" si="33"/>
        <v>1101</v>
      </c>
      <c r="M90" s="129">
        <f t="shared" si="41"/>
        <v>1.7</v>
      </c>
      <c r="N90" s="38">
        <f t="shared" si="34"/>
        <v>15.3</v>
      </c>
      <c r="O90" s="166">
        <f t="shared" si="35"/>
        <v>1350.5</v>
      </c>
      <c r="Q90" s="129">
        <f t="shared" si="42"/>
        <v>2.1</v>
      </c>
      <c r="R90" s="38">
        <f t="shared" si="36"/>
        <v>18.899999999999999</v>
      </c>
      <c r="S90" s="131">
        <f t="shared" si="37"/>
        <v>1676.5</v>
      </c>
      <c r="AA90">
        <f t="shared" si="38"/>
        <v>1071</v>
      </c>
      <c r="AC90" s="54">
        <v>86</v>
      </c>
      <c r="AD90" s="82">
        <v>40</v>
      </c>
      <c r="AE90" s="78">
        <f t="shared" si="43"/>
        <v>2152</v>
      </c>
      <c r="AG90" s="54">
        <v>86</v>
      </c>
      <c r="AH90" s="82">
        <v>40</v>
      </c>
      <c r="AI90" s="78">
        <f t="shared" si="44"/>
        <v>2434</v>
      </c>
      <c r="AK90" s="54">
        <v>86</v>
      </c>
      <c r="AL90" s="82">
        <v>41.25</v>
      </c>
      <c r="AM90" s="78">
        <f t="shared" si="45"/>
        <v>2843.25</v>
      </c>
      <c r="AO90" s="54">
        <v>86</v>
      </c>
      <c r="AP90" s="82">
        <v>43</v>
      </c>
      <c r="AQ90" s="78">
        <f t="shared" si="46"/>
        <v>2930.5</v>
      </c>
      <c r="AS90" s="54">
        <v>86</v>
      </c>
      <c r="AT90" s="82">
        <v>44.25</v>
      </c>
      <c r="AU90" s="78">
        <f t="shared" si="47"/>
        <v>3014.75</v>
      </c>
      <c r="AW90" s="54">
        <v>86</v>
      </c>
      <c r="AX90" s="82">
        <v>45.5</v>
      </c>
      <c r="AY90" s="78">
        <f t="shared" si="48"/>
        <v>3431</v>
      </c>
      <c r="BA90" s="54">
        <v>86</v>
      </c>
      <c r="BB90" s="82">
        <v>40</v>
      </c>
      <c r="BC90" s="78">
        <f t="shared" si="49"/>
        <v>2312</v>
      </c>
    </row>
    <row r="91" spans="1:55">
      <c r="A91" s="54">
        <v>85</v>
      </c>
      <c r="B91" s="82">
        <v>9</v>
      </c>
      <c r="C91" s="78">
        <f t="shared" si="29"/>
        <v>774</v>
      </c>
      <c r="E91" s="129">
        <f t="shared" si="39"/>
        <v>1.2</v>
      </c>
      <c r="F91" s="38">
        <f t="shared" si="30"/>
        <v>10.8</v>
      </c>
      <c r="G91" s="162">
        <f t="shared" si="31"/>
        <v>938.8</v>
      </c>
      <c r="I91" s="129">
        <f t="shared" si="40"/>
        <v>1.4</v>
      </c>
      <c r="J91" s="38">
        <f t="shared" si="32"/>
        <v>12.6</v>
      </c>
      <c r="K91" s="164">
        <f t="shared" si="33"/>
        <v>1113.5999999999999</v>
      </c>
      <c r="M91" s="129">
        <f t="shared" si="41"/>
        <v>1.7</v>
      </c>
      <c r="N91" s="38">
        <f t="shared" si="34"/>
        <v>15.3</v>
      </c>
      <c r="O91" s="166">
        <f t="shared" si="35"/>
        <v>1365.8</v>
      </c>
      <c r="Q91" s="129">
        <f t="shared" si="42"/>
        <v>2.1</v>
      </c>
      <c r="R91" s="38">
        <f t="shared" si="36"/>
        <v>18.899999999999999</v>
      </c>
      <c r="S91" s="131">
        <f t="shared" si="37"/>
        <v>1695.4</v>
      </c>
      <c r="AA91">
        <f t="shared" si="38"/>
        <v>1083.5999999999999</v>
      </c>
      <c r="AC91" s="54">
        <v>87</v>
      </c>
      <c r="AD91" s="82">
        <v>40</v>
      </c>
      <c r="AE91" s="78">
        <f t="shared" si="43"/>
        <v>2192</v>
      </c>
      <c r="AG91" s="54">
        <v>87</v>
      </c>
      <c r="AH91" s="82">
        <v>40</v>
      </c>
      <c r="AI91" s="78">
        <f t="shared" si="44"/>
        <v>2474</v>
      </c>
      <c r="AK91" s="54">
        <v>87</v>
      </c>
      <c r="AL91" s="82">
        <v>41.25</v>
      </c>
      <c r="AM91" s="78">
        <f t="shared" si="45"/>
        <v>2884.5</v>
      </c>
      <c r="AO91" s="54">
        <v>87</v>
      </c>
      <c r="AP91" s="82">
        <v>43</v>
      </c>
      <c r="AQ91" s="78">
        <f t="shared" si="46"/>
        <v>2973.5</v>
      </c>
      <c r="AS91" s="54">
        <v>87</v>
      </c>
      <c r="AT91" s="82">
        <v>44.25</v>
      </c>
      <c r="AU91" s="78">
        <f t="shared" si="47"/>
        <v>3059</v>
      </c>
      <c r="AW91" s="54">
        <v>87</v>
      </c>
      <c r="AX91" s="82">
        <v>45.5</v>
      </c>
      <c r="AY91" s="78">
        <f t="shared" si="48"/>
        <v>3476.5</v>
      </c>
      <c r="BA91" s="54">
        <v>87</v>
      </c>
      <c r="BB91" s="82">
        <v>40</v>
      </c>
      <c r="BC91" s="78">
        <f t="shared" si="49"/>
        <v>2352</v>
      </c>
    </row>
    <row r="92" spans="1:55">
      <c r="A92" s="54">
        <v>86</v>
      </c>
      <c r="B92" s="82">
        <v>9</v>
      </c>
      <c r="C92" s="78">
        <f t="shared" si="29"/>
        <v>783</v>
      </c>
      <c r="E92" s="129">
        <f t="shared" si="39"/>
        <v>1.2</v>
      </c>
      <c r="F92" s="38">
        <f t="shared" si="30"/>
        <v>10.8</v>
      </c>
      <c r="G92" s="162">
        <f t="shared" si="31"/>
        <v>949.6</v>
      </c>
      <c r="I92" s="129">
        <f t="shared" si="40"/>
        <v>1.4</v>
      </c>
      <c r="J92" s="38">
        <f t="shared" si="32"/>
        <v>12.6</v>
      </c>
      <c r="K92" s="164">
        <f t="shared" si="33"/>
        <v>1126.2</v>
      </c>
      <c r="M92" s="129">
        <f t="shared" si="41"/>
        <v>1.7</v>
      </c>
      <c r="N92" s="38">
        <f t="shared" si="34"/>
        <v>15.3</v>
      </c>
      <c r="O92" s="166">
        <f t="shared" si="35"/>
        <v>1381.1</v>
      </c>
      <c r="Q92" s="129">
        <f t="shared" si="42"/>
        <v>2.1</v>
      </c>
      <c r="R92" s="38">
        <f t="shared" si="36"/>
        <v>18.899999999999999</v>
      </c>
      <c r="S92" s="131">
        <f t="shared" si="37"/>
        <v>1714.3</v>
      </c>
      <c r="AA92">
        <f t="shared" si="38"/>
        <v>1096.2</v>
      </c>
      <c r="AC92" s="54">
        <v>88</v>
      </c>
      <c r="AD92" s="82">
        <v>40</v>
      </c>
      <c r="AE92" s="78">
        <f t="shared" si="43"/>
        <v>2232</v>
      </c>
      <c r="AG92" s="54">
        <v>88</v>
      </c>
      <c r="AH92" s="82">
        <v>40</v>
      </c>
      <c r="AI92" s="78">
        <f t="shared" si="44"/>
        <v>2514</v>
      </c>
      <c r="AK92" s="54">
        <v>88</v>
      </c>
      <c r="AL92" s="82">
        <v>41.25</v>
      </c>
      <c r="AM92" s="78">
        <f t="shared" si="45"/>
        <v>2925.75</v>
      </c>
      <c r="AO92" s="54">
        <v>88</v>
      </c>
      <c r="AP92" s="82">
        <v>43</v>
      </c>
      <c r="AQ92" s="78">
        <f t="shared" si="46"/>
        <v>3016.5</v>
      </c>
      <c r="AS92" s="54">
        <v>88</v>
      </c>
      <c r="AT92" s="82">
        <v>44.25</v>
      </c>
      <c r="AU92" s="78">
        <f t="shared" si="47"/>
        <v>3103.25</v>
      </c>
      <c r="AW92" s="54">
        <v>88</v>
      </c>
      <c r="AX92" s="82">
        <v>45.5</v>
      </c>
      <c r="AY92" s="78">
        <f t="shared" si="48"/>
        <v>3522</v>
      </c>
      <c r="BA92" s="54">
        <v>88</v>
      </c>
      <c r="BB92" s="82">
        <v>40</v>
      </c>
      <c r="BC92" s="78">
        <f t="shared" si="49"/>
        <v>2392</v>
      </c>
    </row>
    <row r="93" spans="1:55">
      <c r="A93" s="54">
        <v>87</v>
      </c>
      <c r="B93" s="82">
        <v>9</v>
      </c>
      <c r="C93" s="78">
        <f t="shared" si="29"/>
        <v>792</v>
      </c>
      <c r="E93" s="129">
        <f t="shared" si="39"/>
        <v>1.2</v>
      </c>
      <c r="F93" s="38">
        <f t="shared" si="30"/>
        <v>10.8</v>
      </c>
      <c r="G93" s="162">
        <f t="shared" si="31"/>
        <v>960.4</v>
      </c>
      <c r="I93" s="129">
        <f t="shared" si="40"/>
        <v>1.4</v>
      </c>
      <c r="J93" s="38">
        <f t="shared" si="32"/>
        <v>12.6</v>
      </c>
      <c r="K93" s="164">
        <f t="shared" si="33"/>
        <v>1138.8</v>
      </c>
      <c r="M93" s="129">
        <f t="shared" si="41"/>
        <v>1.7</v>
      </c>
      <c r="N93" s="38">
        <f t="shared" si="34"/>
        <v>15.3</v>
      </c>
      <c r="O93" s="166">
        <f t="shared" si="35"/>
        <v>1396.4</v>
      </c>
      <c r="Q93" s="129">
        <f t="shared" si="42"/>
        <v>2.1</v>
      </c>
      <c r="R93" s="38">
        <f t="shared" si="36"/>
        <v>18.899999999999999</v>
      </c>
      <c r="S93" s="131">
        <f t="shared" si="37"/>
        <v>1733.2</v>
      </c>
      <c r="AA93">
        <f t="shared" si="38"/>
        <v>1108.8</v>
      </c>
      <c r="AC93" s="54">
        <v>89</v>
      </c>
      <c r="AD93" s="82">
        <v>40</v>
      </c>
      <c r="AE93" s="78">
        <f t="shared" si="43"/>
        <v>2272</v>
      </c>
      <c r="AG93" s="54">
        <v>89</v>
      </c>
      <c r="AH93" s="82">
        <v>40</v>
      </c>
      <c r="AI93" s="78">
        <f t="shared" si="44"/>
        <v>2554</v>
      </c>
      <c r="AK93" s="54">
        <v>89</v>
      </c>
      <c r="AL93" s="82">
        <v>41.25</v>
      </c>
      <c r="AM93" s="78">
        <f t="shared" si="45"/>
        <v>2967</v>
      </c>
      <c r="AO93" s="54">
        <v>89</v>
      </c>
      <c r="AP93" s="82">
        <v>43</v>
      </c>
      <c r="AQ93" s="78">
        <f t="shared" si="46"/>
        <v>3059.5</v>
      </c>
      <c r="AS93" s="54">
        <v>89</v>
      </c>
      <c r="AT93" s="82">
        <v>44.25</v>
      </c>
      <c r="AU93" s="78">
        <f t="shared" si="47"/>
        <v>3147.5</v>
      </c>
      <c r="AW93" s="54">
        <v>89</v>
      </c>
      <c r="AX93" s="82">
        <v>45.5</v>
      </c>
      <c r="AY93" s="78">
        <f t="shared" si="48"/>
        <v>3567.5</v>
      </c>
      <c r="BA93" s="54">
        <v>89</v>
      </c>
      <c r="BB93" s="82">
        <v>40</v>
      </c>
      <c r="BC93" s="78">
        <f t="shared" si="49"/>
        <v>2432</v>
      </c>
    </row>
    <row r="94" spans="1:55">
      <c r="A94" s="54">
        <v>88</v>
      </c>
      <c r="B94" s="82">
        <v>9</v>
      </c>
      <c r="C94" s="78">
        <f t="shared" si="29"/>
        <v>801</v>
      </c>
      <c r="E94" s="129">
        <f t="shared" si="39"/>
        <v>1.2</v>
      </c>
      <c r="F94" s="38">
        <f t="shared" si="30"/>
        <v>10.8</v>
      </c>
      <c r="G94" s="162">
        <f t="shared" si="31"/>
        <v>971.2</v>
      </c>
      <c r="I94" s="129">
        <f t="shared" si="40"/>
        <v>1.4</v>
      </c>
      <c r="J94" s="38">
        <f t="shared" si="32"/>
        <v>12.6</v>
      </c>
      <c r="K94" s="164">
        <f t="shared" si="33"/>
        <v>1151.4000000000001</v>
      </c>
      <c r="M94" s="129">
        <f t="shared" si="41"/>
        <v>1.7</v>
      </c>
      <c r="N94" s="38">
        <f t="shared" si="34"/>
        <v>15.3</v>
      </c>
      <c r="O94" s="166">
        <f t="shared" si="35"/>
        <v>1411.7</v>
      </c>
      <c r="Q94" s="129">
        <f t="shared" si="42"/>
        <v>2.1</v>
      </c>
      <c r="R94" s="38">
        <f t="shared" si="36"/>
        <v>18.899999999999999</v>
      </c>
      <c r="S94" s="131">
        <f t="shared" si="37"/>
        <v>1752.1</v>
      </c>
      <c r="AA94">
        <f t="shared" si="38"/>
        <v>1121.4000000000001</v>
      </c>
      <c r="AC94" s="54">
        <v>90</v>
      </c>
      <c r="AD94" s="82">
        <v>40</v>
      </c>
      <c r="AE94" s="78">
        <f t="shared" si="43"/>
        <v>2312</v>
      </c>
      <c r="AG94" s="54">
        <v>90</v>
      </c>
      <c r="AH94" s="82">
        <v>40</v>
      </c>
      <c r="AI94" s="78">
        <f t="shared" si="44"/>
        <v>2594</v>
      </c>
      <c r="AK94" s="54">
        <v>90</v>
      </c>
      <c r="AL94" s="82">
        <v>41.25</v>
      </c>
      <c r="AM94" s="78">
        <f t="shared" si="45"/>
        <v>3008.25</v>
      </c>
      <c r="AO94" s="54">
        <v>90</v>
      </c>
      <c r="AP94" s="82">
        <v>43</v>
      </c>
      <c r="AQ94" s="78">
        <f t="shared" si="46"/>
        <v>3102.5</v>
      </c>
      <c r="AS94" s="54">
        <v>90</v>
      </c>
      <c r="AT94" s="82">
        <v>44.25</v>
      </c>
      <c r="AU94" s="78">
        <f t="shared" si="47"/>
        <v>3191.75</v>
      </c>
      <c r="AW94" s="54">
        <v>90</v>
      </c>
      <c r="AX94" s="82">
        <v>45.5</v>
      </c>
      <c r="AY94" s="78">
        <f t="shared" si="48"/>
        <v>3613</v>
      </c>
      <c r="BA94" s="54">
        <v>90</v>
      </c>
      <c r="BB94" s="82">
        <v>40</v>
      </c>
      <c r="BC94" s="78">
        <f t="shared" si="49"/>
        <v>2472</v>
      </c>
    </row>
    <row r="95" spans="1:55">
      <c r="A95" s="54">
        <v>89</v>
      </c>
      <c r="B95" s="82">
        <v>9</v>
      </c>
      <c r="C95" s="78">
        <f t="shared" si="29"/>
        <v>810</v>
      </c>
      <c r="E95" s="129">
        <f t="shared" si="39"/>
        <v>1.2</v>
      </c>
      <c r="F95" s="38">
        <f t="shared" si="30"/>
        <v>10.8</v>
      </c>
      <c r="G95" s="162">
        <f t="shared" si="31"/>
        <v>982</v>
      </c>
      <c r="I95" s="129">
        <f t="shared" si="40"/>
        <v>1.4</v>
      </c>
      <c r="J95" s="38">
        <f t="shared" si="32"/>
        <v>12.6</v>
      </c>
      <c r="K95" s="164">
        <f t="shared" si="33"/>
        <v>1164</v>
      </c>
      <c r="M95" s="129">
        <f t="shared" si="41"/>
        <v>1.7</v>
      </c>
      <c r="N95" s="38">
        <f t="shared" si="34"/>
        <v>15.3</v>
      </c>
      <c r="O95" s="166">
        <f t="shared" si="35"/>
        <v>1427</v>
      </c>
      <c r="Q95" s="129">
        <f t="shared" si="42"/>
        <v>2.1</v>
      </c>
      <c r="R95" s="38">
        <f t="shared" si="36"/>
        <v>18.899999999999999</v>
      </c>
      <c r="S95" s="131">
        <f t="shared" si="37"/>
        <v>1771</v>
      </c>
      <c r="AA95">
        <f t="shared" si="38"/>
        <v>1134</v>
      </c>
      <c r="AC95" s="54">
        <v>91</v>
      </c>
      <c r="AD95" s="82">
        <v>40</v>
      </c>
      <c r="AE95" s="78">
        <f t="shared" si="43"/>
        <v>2352</v>
      </c>
      <c r="AG95" s="54">
        <v>91</v>
      </c>
      <c r="AH95" s="82">
        <v>40</v>
      </c>
      <c r="AI95" s="78">
        <f t="shared" si="44"/>
        <v>2634</v>
      </c>
      <c r="AK95" s="54">
        <v>91</v>
      </c>
      <c r="AL95" s="82">
        <v>41.25</v>
      </c>
      <c r="AM95" s="78">
        <f t="shared" si="45"/>
        <v>3049.5</v>
      </c>
      <c r="AO95" s="54">
        <v>91</v>
      </c>
      <c r="AP95" s="82">
        <v>43</v>
      </c>
      <c r="AQ95" s="78">
        <f t="shared" si="46"/>
        <v>3145.5</v>
      </c>
      <c r="AS95" s="54">
        <v>91</v>
      </c>
      <c r="AT95" s="82">
        <v>44.25</v>
      </c>
      <c r="AU95" s="78">
        <f t="shared" si="47"/>
        <v>3236</v>
      </c>
      <c r="AW95" s="54">
        <v>91</v>
      </c>
      <c r="AX95" s="82">
        <v>45.5</v>
      </c>
      <c r="AY95" s="78">
        <f t="shared" si="48"/>
        <v>3658.5</v>
      </c>
      <c r="BA95" s="54">
        <v>91</v>
      </c>
      <c r="BB95" s="82">
        <v>40</v>
      </c>
      <c r="BC95" s="78">
        <f t="shared" si="49"/>
        <v>2512</v>
      </c>
    </row>
    <row r="96" spans="1:55">
      <c r="A96" s="54">
        <v>90</v>
      </c>
      <c r="B96" s="82">
        <v>9</v>
      </c>
      <c r="C96" s="78">
        <f t="shared" si="29"/>
        <v>819</v>
      </c>
      <c r="E96" s="129">
        <f t="shared" si="39"/>
        <v>1.2</v>
      </c>
      <c r="F96" s="38">
        <f t="shared" si="30"/>
        <v>10.8</v>
      </c>
      <c r="G96" s="162">
        <f t="shared" si="31"/>
        <v>992.8</v>
      </c>
      <c r="I96" s="129">
        <f t="shared" si="40"/>
        <v>1.4</v>
      </c>
      <c r="J96" s="38">
        <f t="shared" si="32"/>
        <v>12.6</v>
      </c>
      <c r="K96" s="164">
        <f t="shared" si="33"/>
        <v>1176.5999999999999</v>
      </c>
      <c r="M96" s="129">
        <f t="shared" si="41"/>
        <v>1.7</v>
      </c>
      <c r="N96" s="38">
        <f t="shared" si="34"/>
        <v>15.3</v>
      </c>
      <c r="O96" s="166">
        <f t="shared" si="35"/>
        <v>1442.3</v>
      </c>
      <c r="Q96" s="129">
        <f t="shared" si="42"/>
        <v>2.1</v>
      </c>
      <c r="R96" s="38">
        <f t="shared" si="36"/>
        <v>18.899999999999999</v>
      </c>
      <c r="S96" s="131">
        <f t="shared" si="37"/>
        <v>1789.9</v>
      </c>
      <c r="AA96">
        <f t="shared" si="38"/>
        <v>1146.5999999999999</v>
      </c>
      <c r="AC96" s="54">
        <v>92</v>
      </c>
      <c r="AD96" s="82">
        <v>40</v>
      </c>
      <c r="AE96" s="78">
        <f t="shared" si="43"/>
        <v>2392</v>
      </c>
      <c r="AG96" s="54">
        <v>92</v>
      </c>
      <c r="AH96" s="82">
        <v>40</v>
      </c>
      <c r="AI96" s="78">
        <f t="shared" si="44"/>
        <v>2674</v>
      </c>
      <c r="AK96" s="54">
        <v>92</v>
      </c>
      <c r="AL96" s="82">
        <v>41.25</v>
      </c>
      <c r="AM96" s="78">
        <f t="shared" si="45"/>
        <v>3090.75</v>
      </c>
      <c r="AO96" s="54">
        <v>92</v>
      </c>
      <c r="AP96" s="82">
        <v>43</v>
      </c>
      <c r="AQ96" s="78">
        <f t="shared" si="46"/>
        <v>3188.5</v>
      </c>
      <c r="AS96" s="54">
        <v>92</v>
      </c>
      <c r="AT96" s="82">
        <v>44.25</v>
      </c>
      <c r="AU96" s="78">
        <f t="shared" si="47"/>
        <v>3280.25</v>
      </c>
      <c r="AW96" s="54">
        <v>92</v>
      </c>
      <c r="AX96" s="82">
        <v>45.5</v>
      </c>
      <c r="AY96" s="78">
        <f t="shared" si="48"/>
        <v>3704</v>
      </c>
      <c r="BA96" s="54">
        <v>92</v>
      </c>
      <c r="BB96" s="82">
        <v>40</v>
      </c>
      <c r="BC96" s="78">
        <f t="shared" si="49"/>
        <v>2552</v>
      </c>
    </row>
    <row r="97" spans="1:55">
      <c r="A97" s="54">
        <v>91</v>
      </c>
      <c r="B97" s="82">
        <v>9</v>
      </c>
      <c r="C97" s="78">
        <f t="shared" si="29"/>
        <v>828</v>
      </c>
      <c r="E97" s="129">
        <f t="shared" si="39"/>
        <v>1.2</v>
      </c>
      <c r="F97" s="38">
        <f t="shared" si="30"/>
        <v>10.8</v>
      </c>
      <c r="G97" s="162">
        <f t="shared" si="31"/>
        <v>1003.6</v>
      </c>
      <c r="I97" s="129">
        <f t="shared" si="40"/>
        <v>1.4</v>
      </c>
      <c r="J97" s="38">
        <f t="shared" si="32"/>
        <v>12.6</v>
      </c>
      <c r="K97" s="164">
        <f t="shared" si="33"/>
        <v>1189.2</v>
      </c>
      <c r="M97" s="129">
        <f t="shared" si="41"/>
        <v>1.7</v>
      </c>
      <c r="N97" s="38">
        <f t="shared" si="34"/>
        <v>15.3</v>
      </c>
      <c r="O97" s="166">
        <f t="shared" si="35"/>
        <v>1457.6</v>
      </c>
      <c r="Q97" s="129">
        <f t="shared" si="42"/>
        <v>2.1</v>
      </c>
      <c r="R97" s="38">
        <f t="shared" si="36"/>
        <v>18.899999999999999</v>
      </c>
      <c r="S97" s="131">
        <f t="shared" si="37"/>
        <v>1808.8</v>
      </c>
      <c r="AA97">
        <f t="shared" si="38"/>
        <v>1159.2</v>
      </c>
      <c r="AC97" s="54">
        <v>93</v>
      </c>
      <c r="AD97" s="82">
        <v>40</v>
      </c>
      <c r="AE97" s="78">
        <f t="shared" si="43"/>
        <v>2432</v>
      </c>
      <c r="AG97" s="54">
        <v>93</v>
      </c>
      <c r="AH97" s="82">
        <v>40</v>
      </c>
      <c r="AI97" s="78">
        <f t="shared" si="44"/>
        <v>2714</v>
      </c>
      <c r="AK97" s="54">
        <v>93</v>
      </c>
      <c r="AL97" s="82">
        <v>41.25</v>
      </c>
      <c r="AM97" s="78">
        <f t="shared" si="45"/>
        <v>3132</v>
      </c>
      <c r="AO97" s="54">
        <v>93</v>
      </c>
      <c r="AP97" s="82">
        <v>43</v>
      </c>
      <c r="AQ97" s="78">
        <f t="shared" si="46"/>
        <v>3231.5</v>
      </c>
      <c r="AS97" s="54">
        <v>93</v>
      </c>
      <c r="AT97" s="82">
        <v>44.25</v>
      </c>
      <c r="AU97" s="78">
        <f t="shared" si="47"/>
        <v>3324.5</v>
      </c>
      <c r="AW97" s="54">
        <v>93</v>
      </c>
      <c r="AX97" s="82">
        <v>45.5</v>
      </c>
      <c r="AY97" s="78">
        <f t="shared" si="48"/>
        <v>3749.5</v>
      </c>
      <c r="BA97" s="54">
        <v>93</v>
      </c>
      <c r="BB97" s="82">
        <v>40</v>
      </c>
      <c r="BC97" s="78">
        <f t="shared" si="49"/>
        <v>2592</v>
      </c>
    </row>
    <row r="98" spans="1:55">
      <c r="A98" s="54">
        <v>92</v>
      </c>
      <c r="B98" s="82">
        <v>9</v>
      </c>
      <c r="C98" s="78">
        <f t="shared" si="29"/>
        <v>837</v>
      </c>
      <c r="E98" s="129">
        <f t="shared" si="39"/>
        <v>1.2</v>
      </c>
      <c r="F98" s="38">
        <f t="shared" si="30"/>
        <v>10.8</v>
      </c>
      <c r="G98" s="162">
        <f t="shared" si="31"/>
        <v>1014.4</v>
      </c>
      <c r="I98" s="129">
        <f t="shared" si="40"/>
        <v>1.4</v>
      </c>
      <c r="J98" s="38">
        <f t="shared" si="32"/>
        <v>12.6</v>
      </c>
      <c r="K98" s="164">
        <f t="shared" si="33"/>
        <v>1201.8</v>
      </c>
      <c r="M98" s="129">
        <f t="shared" si="41"/>
        <v>1.7</v>
      </c>
      <c r="N98" s="38">
        <f t="shared" si="34"/>
        <v>15.3</v>
      </c>
      <c r="O98" s="166">
        <f t="shared" si="35"/>
        <v>1472.9</v>
      </c>
      <c r="Q98" s="129">
        <f t="shared" si="42"/>
        <v>2.1</v>
      </c>
      <c r="R98" s="38">
        <f t="shared" si="36"/>
        <v>18.899999999999999</v>
      </c>
      <c r="S98" s="131">
        <f t="shared" si="37"/>
        <v>1827.7</v>
      </c>
      <c r="AA98">
        <f t="shared" si="38"/>
        <v>1171.8</v>
      </c>
      <c r="AC98" s="54">
        <v>94</v>
      </c>
      <c r="AD98" s="82">
        <v>40</v>
      </c>
      <c r="AE98" s="78">
        <f t="shared" si="43"/>
        <v>2472</v>
      </c>
      <c r="AG98" s="54">
        <v>94</v>
      </c>
      <c r="AH98" s="82">
        <v>40</v>
      </c>
      <c r="AI98" s="78">
        <f t="shared" si="44"/>
        <v>2754</v>
      </c>
      <c r="AK98" s="54">
        <v>94</v>
      </c>
      <c r="AL98" s="82">
        <v>41.25</v>
      </c>
      <c r="AM98" s="78">
        <f t="shared" si="45"/>
        <v>3173.25</v>
      </c>
      <c r="AO98" s="54">
        <v>94</v>
      </c>
      <c r="AP98" s="82">
        <v>43</v>
      </c>
      <c r="AQ98" s="78">
        <f t="shared" si="46"/>
        <v>3274.5</v>
      </c>
      <c r="AS98" s="54">
        <v>94</v>
      </c>
      <c r="AT98" s="82">
        <v>44.25</v>
      </c>
      <c r="AU98" s="78">
        <f t="shared" si="47"/>
        <v>3368.75</v>
      </c>
      <c r="AW98" s="54">
        <v>94</v>
      </c>
      <c r="AX98" s="82">
        <v>45.5</v>
      </c>
      <c r="AY98" s="78">
        <f t="shared" si="48"/>
        <v>3795</v>
      </c>
      <c r="BA98" s="54">
        <v>94</v>
      </c>
      <c r="BB98" s="82">
        <v>40</v>
      </c>
      <c r="BC98" s="78">
        <f t="shared" si="49"/>
        <v>2632</v>
      </c>
    </row>
    <row r="99" spans="1:55">
      <c r="A99" s="54">
        <v>93</v>
      </c>
      <c r="B99" s="82">
        <v>9</v>
      </c>
      <c r="C99" s="78">
        <f t="shared" si="29"/>
        <v>846</v>
      </c>
      <c r="E99" s="129">
        <f t="shared" si="39"/>
        <v>1.2</v>
      </c>
      <c r="F99" s="38">
        <f t="shared" si="30"/>
        <v>10.8</v>
      </c>
      <c r="G99" s="162">
        <f t="shared" si="31"/>
        <v>1025.2</v>
      </c>
      <c r="I99" s="129">
        <f t="shared" si="40"/>
        <v>1.4</v>
      </c>
      <c r="J99" s="38">
        <f t="shared" si="32"/>
        <v>12.6</v>
      </c>
      <c r="K99" s="164">
        <f t="shared" si="33"/>
        <v>1214.4000000000001</v>
      </c>
      <c r="M99" s="129">
        <f t="shared" si="41"/>
        <v>1.7</v>
      </c>
      <c r="N99" s="38">
        <f t="shared" si="34"/>
        <v>15.3</v>
      </c>
      <c r="O99" s="166">
        <f t="shared" si="35"/>
        <v>1488.2</v>
      </c>
      <c r="Q99" s="129">
        <f t="shared" si="42"/>
        <v>2.1</v>
      </c>
      <c r="R99" s="38">
        <f t="shared" si="36"/>
        <v>18.899999999999999</v>
      </c>
      <c r="S99" s="131">
        <f>S98+R99</f>
        <v>1846.6</v>
      </c>
      <c r="AA99">
        <f t="shared" si="38"/>
        <v>1184.4000000000001</v>
      </c>
      <c r="AC99" s="54">
        <v>95</v>
      </c>
      <c r="AD99" s="82">
        <v>40</v>
      </c>
      <c r="AE99" s="78">
        <f t="shared" si="43"/>
        <v>2512</v>
      </c>
      <c r="AG99" s="54">
        <v>95</v>
      </c>
      <c r="AH99" s="82">
        <v>40</v>
      </c>
      <c r="AI99" s="78">
        <f t="shared" si="44"/>
        <v>2794</v>
      </c>
      <c r="AK99" s="54">
        <v>95</v>
      </c>
      <c r="AL99" s="82">
        <v>41.25</v>
      </c>
      <c r="AM99" s="78">
        <f t="shared" si="45"/>
        <v>3214.5</v>
      </c>
      <c r="AO99" s="54">
        <v>95</v>
      </c>
      <c r="AP99" s="82">
        <v>43</v>
      </c>
      <c r="AQ99" s="78">
        <f t="shared" si="46"/>
        <v>3317.5</v>
      </c>
      <c r="AS99" s="54">
        <v>95</v>
      </c>
      <c r="AT99" s="82">
        <v>44.25</v>
      </c>
      <c r="AU99" s="78">
        <f t="shared" si="47"/>
        <v>3413</v>
      </c>
      <c r="AW99" s="54">
        <v>95</v>
      </c>
      <c r="AX99" s="82">
        <v>45.5</v>
      </c>
      <c r="AY99" s="78">
        <f t="shared" si="48"/>
        <v>3840.5</v>
      </c>
      <c r="BA99" s="54">
        <v>95</v>
      </c>
      <c r="BB99" s="82">
        <v>40</v>
      </c>
      <c r="BC99" s="78">
        <f t="shared" si="49"/>
        <v>2672</v>
      </c>
    </row>
    <row r="100" spans="1:55">
      <c r="A100" s="54">
        <v>94</v>
      </c>
      <c r="B100" s="82">
        <v>9</v>
      </c>
      <c r="C100" s="78">
        <f t="shared" si="29"/>
        <v>855</v>
      </c>
      <c r="E100" s="129">
        <f t="shared" si="39"/>
        <v>1.2</v>
      </c>
      <c r="F100" s="38">
        <f t="shared" si="30"/>
        <v>10.8</v>
      </c>
      <c r="G100" s="162">
        <f t="shared" si="31"/>
        <v>1036</v>
      </c>
      <c r="I100" s="129">
        <f t="shared" si="40"/>
        <v>1.4</v>
      </c>
      <c r="J100" s="38">
        <f t="shared" si="32"/>
        <v>12.6</v>
      </c>
      <c r="K100" s="164">
        <f t="shared" si="33"/>
        <v>1227</v>
      </c>
      <c r="M100" s="129">
        <f t="shared" si="41"/>
        <v>1.7</v>
      </c>
      <c r="N100" s="38">
        <f t="shared" si="34"/>
        <v>15.3</v>
      </c>
      <c r="O100" s="166">
        <f t="shared" si="35"/>
        <v>1503.5</v>
      </c>
      <c r="Q100" s="129">
        <f t="shared" si="42"/>
        <v>2.1</v>
      </c>
      <c r="R100" s="38">
        <f t="shared" si="36"/>
        <v>18.899999999999999</v>
      </c>
      <c r="S100" s="131">
        <f t="shared" si="37"/>
        <v>1865.5</v>
      </c>
      <c r="AA100">
        <f t="shared" si="38"/>
        <v>1197</v>
      </c>
      <c r="AC100" s="54">
        <v>96</v>
      </c>
      <c r="AD100" s="82">
        <v>40</v>
      </c>
      <c r="AE100" s="78">
        <f t="shared" si="43"/>
        <v>2552</v>
      </c>
      <c r="AG100" s="54">
        <v>96</v>
      </c>
      <c r="AH100" s="82">
        <v>40</v>
      </c>
      <c r="AI100" s="78">
        <f t="shared" si="44"/>
        <v>2834</v>
      </c>
      <c r="AK100" s="54">
        <v>96</v>
      </c>
      <c r="AL100" s="82">
        <v>41.25</v>
      </c>
      <c r="AM100" s="78">
        <f t="shared" si="45"/>
        <v>3255.75</v>
      </c>
      <c r="AO100" s="54">
        <v>96</v>
      </c>
      <c r="AP100" s="82">
        <v>43</v>
      </c>
      <c r="AQ100" s="78">
        <f t="shared" si="46"/>
        <v>3360.5</v>
      </c>
      <c r="AS100" s="54">
        <v>96</v>
      </c>
      <c r="AT100" s="82">
        <v>44.25</v>
      </c>
      <c r="AU100" s="78">
        <f t="shared" si="47"/>
        <v>3457.25</v>
      </c>
      <c r="AW100" s="54">
        <v>96</v>
      </c>
      <c r="AX100" s="82">
        <v>45.5</v>
      </c>
      <c r="AY100" s="78">
        <f t="shared" si="48"/>
        <v>3886</v>
      </c>
      <c r="BA100" s="54">
        <v>96</v>
      </c>
      <c r="BB100" s="82">
        <v>40</v>
      </c>
      <c r="BC100" s="78">
        <f t="shared" si="49"/>
        <v>2712</v>
      </c>
    </row>
    <row r="101" spans="1:55">
      <c r="A101" s="54">
        <v>95</v>
      </c>
      <c r="B101" s="82">
        <v>9</v>
      </c>
      <c r="C101" s="78">
        <f t="shared" si="29"/>
        <v>864</v>
      </c>
      <c r="E101" s="129">
        <f t="shared" si="39"/>
        <v>1.2</v>
      </c>
      <c r="F101" s="38">
        <f t="shared" si="30"/>
        <v>10.8</v>
      </c>
      <c r="G101" s="162">
        <f t="shared" si="31"/>
        <v>1046.8</v>
      </c>
      <c r="I101" s="129">
        <f t="shared" si="40"/>
        <v>1.4</v>
      </c>
      <c r="J101" s="38">
        <f t="shared" si="32"/>
        <v>12.6</v>
      </c>
      <c r="K101" s="164">
        <f t="shared" si="33"/>
        <v>1239.5999999999999</v>
      </c>
      <c r="M101" s="129">
        <f t="shared" si="41"/>
        <v>1.7</v>
      </c>
      <c r="N101" s="38">
        <f t="shared" si="34"/>
        <v>15.3</v>
      </c>
      <c r="O101" s="166">
        <f t="shared" si="35"/>
        <v>1518.8</v>
      </c>
      <c r="Q101" s="129">
        <f t="shared" si="42"/>
        <v>2.1</v>
      </c>
      <c r="R101" s="38">
        <f t="shared" si="36"/>
        <v>18.899999999999999</v>
      </c>
      <c r="S101" s="131">
        <f t="shared" si="37"/>
        <v>1884.4</v>
      </c>
      <c r="AA101">
        <f t="shared" si="38"/>
        <v>1209.5999999999999</v>
      </c>
      <c r="AC101" s="54">
        <v>97</v>
      </c>
      <c r="AD101" s="82">
        <v>40</v>
      </c>
      <c r="AE101" s="78">
        <f t="shared" si="43"/>
        <v>2592</v>
      </c>
      <c r="AG101" s="54">
        <v>97</v>
      </c>
      <c r="AH101" s="82">
        <v>40</v>
      </c>
      <c r="AI101" s="78">
        <f t="shared" si="44"/>
        <v>2874</v>
      </c>
      <c r="AK101" s="54">
        <v>97</v>
      </c>
      <c r="AL101" s="82">
        <v>41.25</v>
      </c>
      <c r="AM101" s="78">
        <f t="shared" si="45"/>
        <v>3297</v>
      </c>
      <c r="AO101" s="54">
        <v>97</v>
      </c>
      <c r="AP101" s="82">
        <v>43</v>
      </c>
      <c r="AQ101" s="78">
        <f t="shared" si="46"/>
        <v>3403.5</v>
      </c>
      <c r="AS101" s="54">
        <v>97</v>
      </c>
      <c r="AT101" s="82">
        <v>44.25</v>
      </c>
      <c r="AU101" s="78">
        <f t="shared" si="47"/>
        <v>3501.5</v>
      </c>
      <c r="AW101" s="54">
        <v>97</v>
      </c>
      <c r="AX101" s="82">
        <v>45.5</v>
      </c>
      <c r="AY101" s="78">
        <f t="shared" si="48"/>
        <v>3931.5</v>
      </c>
      <c r="BA101" s="54">
        <v>97</v>
      </c>
      <c r="BB101" s="82">
        <v>40</v>
      </c>
      <c r="BC101" s="78">
        <f t="shared" si="49"/>
        <v>2752</v>
      </c>
    </row>
    <row r="102" spans="1:55">
      <c r="A102" s="54">
        <v>96</v>
      </c>
      <c r="B102" s="82">
        <v>9</v>
      </c>
      <c r="C102" s="78">
        <f t="shared" si="29"/>
        <v>873</v>
      </c>
      <c r="E102" s="129">
        <f t="shared" si="39"/>
        <v>1.2</v>
      </c>
      <c r="F102" s="38">
        <f t="shared" si="30"/>
        <v>10.8</v>
      </c>
      <c r="G102" s="162">
        <f t="shared" si="31"/>
        <v>1057.5999999999999</v>
      </c>
      <c r="I102" s="129">
        <f t="shared" si="40"/>
        <v>1.4</v>
      </c>
      <c r="J102" s="38">
        <f t="shared" si="32"/>
        <v>12.6</v>
      </c>
      <c r="K102" s="164">
        <f t="shared" si="33"/>
        <v>1252.2</v>
      </c>
      <c r="M102" s="129">
        <f t="shared" si="41"/>
        <v>1.7</v>
      </c>
      <c r="N102" s="38">
        <f t="shared" si="34"/>
        <v>15.3</v>
      </c>
      <c r="O102" s="166">
        <f t="shared" si="35"/>
        <v>1534.1</v>
      </c>
      <c r="Q102" s="129">
        <f t="shared" si="42"/>
        <v>2.1</v>
      </c>
      <c r="R102" s="38">
        <f t="shared" si="36"/>
        <v>18.899999999999999</v>
      </c>
      <c r="S102" s="131">
        <f t="shared" si="37"/>
        <v>1903.3</v>
      </c>
      <c r="AA102">
        <f t="shared" si="38"/>
        <v>1222.2</v>
      </c>
      <c r="AC102" s="54">
        <v>98</v>
      </c>
      <c r="AD102" s="82">
        <v>40</v>
      </c>
      <c r="AE102" s="78">
        <f t="shared" si="43"/>
        <v>2632</v>
      </c>
      <c r="AG102" s="54">
        <v>98</v>
      </c>
      <c r="AH102" s="82">
        <v>40</v>
      </c>
      <c r="AI102" s="78">
        <f t="shared" si="44"/>
        <v>2914</v>
      </c>
      <c r="AK102" s="54">
        <v>98</v>
      </c>
      <c r="AL102" s="82">
        <v>41.25</v>
      </c>
      <c r="AM102" s="78">
        <f t="shared" si="45"/>
        <v>3338.25</v>
      </c>
      <c r="AO102" s="54">
        <v>98</v>
      </c>
      <c r="AP102" s="82">
        <v>43</v>
      </c>
      <c r="AQ102" s="78">
        <f t="shared" si="46"/>
        <v>3446.5</v>
      </c>
      <c r="AS102" s="54">
        <v>98</v>
      </c>
      <c r="AT102" s="82">
        <v>44.25</v>
      </c>
      <c r="AU102" s="78">
        <f t="shared" si="47"/>
        <v>3545.75</v>
      </c>
      <c r="AW102" s="54">
        <v>98</v>
      </c>
      <c r="AX102" s="82">
        <v>45.5</v>
      </c>
      <c r="AY102" s="78">
        <f t="shared" si="48"/>
        <v>3977</v>
      </c>
      <c r="BA102" s="54">
        <v>98</v>
      </c>
      <c r="BB102" s="82">
        <v>40</v>
      </c>
      <c r="BC102" s="78">
        <f t="shared" si="49"/>
        <v>2792</v>
      </c>
    </row>
    <row r="103" spans="1:55">
      <c r="A103" s="54">
        <v>97</v>
      </c>
      <c r="B103" s="82">
        <v>9</v>
      </c>
      <c r="C103" s="78">
        <f t="shared" si="29"/>
        <v>882</v>
      </c>
      <c r="E103" s="129">
        <f t="shared" si="39"/>
        <v>1.2</v>
      </c>
      <c r="F103" s="38">
        <f t="shared" si="30"/>
        <v>10.8</v>
      </c>
      <c r="G103" s="162">
        <f t="shared" si="31"/>
        <v>1068.4000000000001</v>
      </c>
      <c r="I103" s="129">
        <f t="shared" si="40"/>
        <v>1.4</v>
      </c>
      <c r="J103" s="38">
        <f t="shared" si="32"/>
        <v>12.6</v>
      </c>
      <c r="K103" s="164">
        <f t="shared" si="33"/>
        <v>1264.8</v>
      </c>
      <c r="M103" s="129">
        <f t="shared" si="41"/>
        <v>1.7</v>
      </c>
      <c r="N103" s="38">
        <f t="shared" si="34"/>
        <v>15.3</v>
      </c>
      <c r="O103" s="166">
        <f t="shared" si="35"/>
        <v>1549.4</v>
      </c>
      <c r="Q103" s="129">
        <f t="shared" si="42"/>
        <v>2.1</v>
      </c>
      <c r="R103" s="38">
        <f t="shared" si="36"/>
        <v>18.899999999999999</v>
      </c>
      <c r="S103" s="131">
        <f t="shared" si="37"/>
        <v>1922.2</v>
      </c>
      <c r="AA103">
        <f t="shared" si="38"/>
        <v>1234.8</v>
      </c>
      <c r="AC103" s="54">
        <v>99</v>
      </c>
      <c r="AD103" s="82">
        <v>40</v>
      </c>
      <c r="AE103" s="78">
        <f t="shared" si="43"/>
        <v>2672</v>
      </c>
      <c r="AG103" s="54">
        <v>99</v>
      </c>
      <c r="AH103" s="82">
        <v>40</v>
      </c>
      <c r="AI103" s="78">
        <f t="shared" si="44"/>
        <v>2954</v>
      </c>
      <c r="AK103" s="54">
        <v>99</v>
      </c>
      <c r="AL103" s="82">
        <v>41.25</v>
      </c>
      <c r="AM103" s="78">
        <f t="shared" si="45"/>
        <v>3379.5</v>
      </c>
      <c r="AO103" s="54">
        <v>99</v>
      </c>
      <c r="AP103" s="82">
        <v>43</v>
      </c>
      <c r="AQ103" s="78">
        <f t="shared" si="46"/>
        <v>3489.5</v>
      </c>
      <c r="AS103" s="54">
        <v>99</v>
      </c>
      <c r="AT103" s="82">
        <v>44.25</v>
      </c>
      <c r="AU103" s="78">
        <f t="shared" si="47"/>
        <v>3590</v>
      </c>
      <c r="AW103" s="54">
        <v>99</v>
      </c>
      <c r="AX103" s="82">
        <v>45.5</v>
      </c>
      <c r="AY103" s="78">
        <f t="shared" si="48"/>
        <v>4022.5</v>
      </c>
      <c r="BA103" s="54">
        <v>99</v>
      </c>
      <c r="BB103" s="82">
        <v>40</v>
      </c>
      <c r="BC103" s="78">
        <f t="shared" si="49"/>
        <v>2832</v>
      </c>
    </row>
    <row r="104" spans="1:55">
      <c r="A104" s="54">
        <v>98</v>
      </c>
      <c r="B104" s="82">
        <v>9</v>
      </c>
      <c r="C104" s="78">
        <f t="shared" ref="C104:C106" si="50">C103+B104</f>
        <v>891</v>
      </c>
      <c r="E104" s="129">
        <f t="shared" si="39"/>
        <v>1.2</v>
      </c>
      <c r="F104" s="38">
        <f>B104*E104</f>
        <v>10.8</v>
      </c>
      <c r="G104" s="162">
        <f t="shared" si="31"/>
        <v>1079.2</v>
      </c>
      <c r="I104" s="129">
        <f t="shared" si="40"/>
        <v>1.4</v>
      </c>
      <c r="J104" s="38">
        <f t="shared" si="32"/>
        <v>12.6</v>
      </c>
      <c r="K104" s="164">
        <f t="shared" si="33"/>
        <v>1277.4000000000001</v>
      </c>
      <c r="M104" s="129">
        <f t="shared" si="41"/>
        <v>1.7</v>
      </c>
      <c r="N104" s="38">
        <f t="shared" si="34"/>
        <v>15.3</v>
      </c>
      <c r="O104" s="166">
        <f t="shared" si="35"/>
        <v>1564.7</v>
      </c>
      <c r="Q104" s="129">
        <f t="shared" si="42"/>
        <v>2.1</v>
      </c>
      <c r="R104" s="38">
        <f t="shared" si="36"/>
        <v>18.899999999999999</v>
      </c>
      <c r="S104" s="131">
        <f t="shared" si="37"/>
        <v>1941.1</v>
      </c>
      <c r="AA104">
        <f t="shared" si="38"/>
        <v>1247.4000000000001</v>
      </c>
      <c r="AC104" s="54" t="s">
        <v>1216</v>
      </c>
      <c r="AG104" s="54" t="s">
        <v>1216</v>
      </c>
      <c r="AK104" s="54" t="s">
        <v>1216</v>
      </c>
      <c r="AO104" s="54" t="s">
        <v>1216</v>
      </c>
      <c r="AS104" s="54" t="s">
        <v>1216</v>
      </c>
      <c r="AW104" s="54" t="s">
        <v>1216</v>
      </c>
      <c r="BA104" s="54" t="s">
        <v>1216</v>
      </c>
    </row>
    <row r="105" spans="1:55">
      <c r="A105" s="54">
        <v>99</v>
      </c>
      <c r="B105" s="82">
        <v>9</v>
      </c>
      <c r="C105" s="78">
        <f t="shared" si="50"/>
        <v>900</v>
      </c>
      <c r="E105" s="129">
        <f t="shared" si="39"/>
        <v>1.2</v>
      </c>
      <c r="F105" s="38">
        <f t="shared" ref="F105" si="51">B105*E105</f>
        <v>10.8</v>
      </c>
      <c r="G105" s="162">
        <f t="shared" si="31"/>
        <v>1090</v>
      </c>
      <c r="I105" s="129">
        <f t="shared" si="40"/>
        <v>1.4</v>
      </c>
      <c r="J105" s="38">
        <f t="shared" si="32"/>
        <v>12.6</v>
      </c>
      <c r="K105" s="164">
        <f t="shared" si="33"/>
        <v>1290</v>
      </c>
      <c r="M105" s="129">
        <f t="shared" si="41"/>
        <v>1.7</v>
      </c>
      <c r="N105" s="38">
        <f t="shared" si="34"/>
        <v>15.3</v>
      </c>
      <c r="O105" s="166">
        <f t="shared" si="35"/>
        <v>1580</v>
      </c>
      <c r="Q105" s="129">
        <f t="shared" si="42"/>
        <v>2.1</v>
      </c>
      <c r="R105" s="38">
        <f t="shared" si="36"/>
        <v>18.899999999999999</v>
      </c>
      <c r="S105" s="131">
        <f t="shared" si="37"/>
        <v>1960</v>
      </c>
      <c r="AA105">
        <f t="shared" si="38"/>
        <v>1260</v>
      </c>
      <c r="AC105" s="54" t="s">
        <v>2028</v>
      </c>
      <c r="AG105" s="54" t="s">
        <v>2028</v>
      </c>
      <c r="AK105" s="54" t="s">
        <v>2028</v>
      </c>
      <c r="AO105" s="54" t="s">
        <v>2028</v>
      </c>
      <c r="AS105" s="54" t="s">
        <v>2028</v>
      </c>
      <c r="AW105" s="54" t="s">
        <v>2028</v>
      </c>
      <c r="BA105" s="54" t="s">
        <v>2028</v>
      </c>
    </row>
    <row r="106" spans="1:55">
      <c r="A106" s="54">
        <v>100</v>
      </c>
      <c r="B106" s="82">
        <v>9</v>
      </c>
      <c r="C106" s="78">
        <f t="shared" si="50"/>
        <v>909</v>
      </c>
      <c r="E106" s="129">
        <f t="shared" si="39"/>
        <v>1.2</v>
      </c>
      <c r="F106" s="38">
        <f t="shared" ref="F106" si="52">B106*E106</f>
        <v>10.8</v>
      </c>
      <c r="G106" s="162">
        <f t="shared" si="31"/>
        <v>1100.8</v>
      </c>
      <c r="I106" s="129">
        <f t="shared" si="40"/>
        <v>1.4</v>
      </c>
      <c r="J106" s="38">
        <f t="shared" ref="J106" si="53">B106*I106</f>
        <v>12.6</v>
      </c>
      <c r="K106" s="164">
        <f t="shared" si="33"/>
        <v>1302.5999999999999</v>
      </c>
      <c r="M106" s="129">
        <f t="shared" si="41"/>
        <v>1.7</v>
      </c>
      <c r="N106" s="38">
        <f t="shared" ref="N106" si="54">B106*M106</f>
        <v>15.3</v>
      </c>
      <c r="O106" s="166">
        <f t="shared" ref="O106" si="55">O105+N106</f>
        <v>1595.3</v>
      </c>
      <c r="Q106" s="129">
        <f t="shared" si="42"/>
        <v>2.1</v>
      </c>
      <c r="R106" s="38">
        <f t="shared" ref="R106" si="56">B106*Q106</f>
        <v>18.899999999999999</v>
      </c>
      <c r="S106" s="131">
        <f t="shared" ref="S106" si="57">S105+R106</f>
        <v>1978.9</v>
      </c>
      <c r="AA106">
        <f t="shared" si="38"/>
        <v>1272.5999999999999</v>
      </c>
      <c r="AC106" s="54" t="s">
        <v>1290</v>
      </c>
      <c r="AG106" s="54" t="s">
        <v>1290</v>
      </c>
      <c r="AK106" s="54" t="s">
        <v>1290</v>
      </c>
      <c r="AO106" s="54" t="s">
        <v>1290</v>
      </c>
      <c r="AS106" s="54" t="s">
        <v>1290</v>
      </c>
      <c r="AW106" s="54" t="s">
        <v>1290</v>
      </c>
      <c r="BA106" s="54" t="s">
        <v>1290</v>
      </c>
    </row>
    <row r="107" spans="1:55">
      <c r="C107" s="78"/>
      <c r="G107"/>
      <c r="AA107">
        <f t="shared" si="38"/>
        <v>1272.5999999999999</v>
      </c>
      <c r="AC107" s="54" t="s">
        <v>2053</v>
      </c>
      <c r="AG107" s="54" t="s">
        <v>2053</v>
      </c>
      <c r="AK107" s="54" t="s">
        <v>2053</v>
      </c>
      <c r="AO107" s="54" t="s">
        <v>2053</v>
      </c>
      <c r="AS107" s="54" t="s">
        <v>2053</v>
      </c>
      <c r="AW107" s="54" t="s">
        <v>2053</v>
      </c>
      <c r="BA107" s="54" t="s">
        <v>2053</v>
      </c>
    </row>
    <row r="108" spans="1:55">
      <c r="C108" s="78"/>
      <c r="G108"/>
      <c r="AA108">
        <f t="shared" si="38"/>
        <v>1272.5999999999999</v>
      </c>
      <c r="AC108" s="54" t="s">
        <v>1112</v>
      </c>
      <c r="AG108" s="54" t="s">
        <v>1112</v>
      </c>
      <c r="AK108" s="54" t="s">
        <v>1112</v>
      </c>
      <c r="AO108" s="54" t="s">
        <v>1112</v>
      </c>
      <c r="AS108" s="54" t="s">
        <v>1112</v>
      </c>
      <c r="AW108" s="54" t="s">
        <v>1112</v>
      </c>
      <c r="BA108" s="54" t="s">
        <v>1112</v>
      </c>
    </row>
    <row r="109" spans="1:55">
      <c r="C109" s="78"/>
      <c r="G109"/>
      <c r="AA109">
        <f t="shared" si="38"/>
        <v>1272.5999999999999</v>
      </c>
      <c r="AC109" s="54" t="s">
        <v>2054</v>
      </c>
      <c r="AG109" s="54" t="s">
        <v>2054</v>
      </c>
      <c r="AK109" s="54" t="s">
        <v>2054</v>
      </c>
      <c r="AO109" s="54" t="s">
        <v>2054</v>
      </c>
      <c r="AS109" s="54" t="s">
        <v>2054</v>
      </c>
      <c r="AW109" s="54" t="s">
        <v>2054</v>
      </c>
      <c r="BA109" s="54" t="s">
        <v>2054</v>
      </c>
    </row>
    <row r="110" spans="1:55">
      <c r="G110"/>
      <c r="AA110">
        <f t="shared" si="38"/>
        <v>1272.5999999999999</v>
      </c>
      <c r="AC110" s="54" t="s">
        <v>1291</v>
      </c>
      <c r="AG110" s="54" t="s">
        <v>1291</v>
      </c>
      <c r="AK110" s="54" t="s">
        <v>1291</v>
      </c>
      <c r="AO110" s="54" t="s">
        <v>1291</v>
      </c>
      <c r="AS110" s="54" t="s">
        <v>1291</v>
      </c>
      <c r="AW110" s="54" t="s">
        <v>1291</v>
      </c>
      <c r="BA110" s="54" t="s">
        <v>1291</v>
      </c>
    </row>
    <row r="111" spans="1:55">
      <c r="G111"/>
      <c r="AA111">
        <f t="shared" si="38"/>
        <v>1272.5999999999999</v>
      </c>
      <c r="AC111" s="54" t="s">
        <v>2055</v>
      </c>
      <c r="AG111" s="54" t="s">
        <v>2055</v>
      </c>
      <c r="AK111" s="54" t="s">
        <v>2055</v>
      </c>
      <c r="AO111" s="54" t="s">
        <v>2055</v>
      </c>
      <c r="AS111" s="54" t="s">
        <v>2055</v>
      </c>
      <c r="AW111" s="54" t="s">
        <v>2055</v>
      </c>
      <c r="BA111" s="54" t="s">
        <v>2055</v>
      </c>
    </row>
    <row r="112" spans="1:55">
      <c r="G112"/>
      <c r="AA112">
        <f t="shared" si="38"/>
        <v>1272.5999999999999</v>
      </c>
      <c r="AC112" s="54" t="s">
        <v>2056</v>
      </c>
      <c r="AG112" s="54" t="s">
        <v>2056</v>
      </c>
      <c r="AK112" s="54" t="s">
        <v>2056</v>
      </c>
      <c r="AO112" s="54" t="s">
        <v>2056</v>
      </c>
      <c r="AS112" s="54" t="s">
        <v>2056</v>
      </c>
      <c r="AW112" s="54" t="s">
        <v>2056</v>
      </c>
      <c r="BA112" s="54" t="s">
        <v>2056</v>
      </c>
    </row>
    <row r="113" spans="2:55">
      <c r="G113"/>
      <c r="AA113">
        <f t="shared" si="38"/>
        <v>1272.5999999999999</v>
      </c>
      <c r="AC113" s="54" t="s">
        <v>2057</v>
      </c>
      <c r="AG113" s="54" t="s">
        <v>2057</v>
      </c>
      <c r="AK113" s="54" t="s">
        <v>2057</v>
      </c>
      <c r="AO113" s="54" t="s">
        <v>2057</v>
      </c>
      <c r="AS113" s="54" t="s">
        <v>2057</v>
      </c>
      <c r="AW113" s="54" t="s">
        <v>2057</v>
      </c>
      <c r="BA113" s="54" t="s">
        <v>2057</v>
      </c>
    </row>
    <row r="114" spans="2:55">
      <c r="G114"/>
      <c r="AA114">
        <f t="shared" si="38"/>
        <v>1272.5999999999999</v>
      </c>
      <c r="AC114" s="54" t="s">
        <v>1292</v>
      </c>
      <c r="AG114" s="54" t="s">
        <v>1292</v>
      </c>
      <c r="AK114" s="54" t="s">
        <v>1292</v>
      </c>
      <c r="AO114" s="54" t="s">
        <v>1292</v>
      </c>
      <c r="AS114" s="54" t="s">
        <v>1292</v>
      </c>
      <c r="AW114" s="54" t="s">
        <v>1292</v>
      </c>
      <c r="BA114" s="54" t="s">
        <v>1292</v>
      </c>
    </row>
    <row r="115" spans="2:55">
      <c r="G115"/>
      <c r="AA115">
        <f t="shared" si="38"/>
        <v>1272.5999999999999</v>
      </c>
      <c r="AC115" s="54" t="s">
        <v>2029</v>
      </c>
      <c r="AG115" s="54" t="s">
        <v>2029</v>
      </c>
      <c r="AK115" s="54" t="s">
        <v>2029</v>
      </c>
      <c r="AO115" s="54" t="s">
        <v>2029</v>
      </c>
      <c r="AS115" s="54" t="s">
        <v>2029</v>
      </c>
      <c r="AW115" s="54" t="s">
        <v>2029</v>
      </c>
      <c r="BA115" s="54" t="s">
        <v>2029</v>
      </c>
    </row>
    <row r="116" spans="2:55">
      <c r="G116"/>
      <c r="AA116">
        <f t="shared" si="38"/>
        <v>1272.5999999999999</v>
      </c>
      <c r="AC116" s="54" t="s">
        <v>2058</v>
      </c>
      <c r="AG116" s="54" t="s">
        <v>2058</v>
      </c>
      <c r="AK116" s="54" t="s">
        <v>2058</v>
      </c>
      <c r="AO116" s="54" t="s">
        <v>2058</v>
      </c>
      <c r="AS116" s="54" t="s">
        <v>2058</v>
      </c>
      <c r="AW116" s="54" t="s">
        <v>2058</v>
      </c>
      <c r="BA116" s="54" t="s">
        <v>2058</v>
      </c>
    </row>
    <row r="117" spans="2:55">
      <c r="G117"/>
      <c r="AA117">
        <f t="shared" si="38"/>
        <v>1272.5999999999999</v>
      </c>
      <c r="AC117" s="54" t="s">
        <v>1605</v>
      </c>
      <c r="AG117" s="54" t="s">
        <v>1605</v>
      </c>
      <c r="AK117" s="54" t="s">
        <v>1605</v>
      </c>
      <c r="AO117" s="54" t="s">
        <v>1605</v>
      </c>
      <c r="AS117" s="54" t="s">
        <v>1605</v>
      </c>
      <c r="AW117" s="54" t="s">
        <v>1605</v>
      </c>
      <c r="BA117" s="54" t="s">
        <v>1605</v>
      </c>
    </row>
    <row r="118" spans="2:55">
      <c r="G118"/>
      <c r="AA118">
        <f t="shared" si="38"/>
        <v>1272.5999999999999</v>
      </c>
      <c r="AC118" s="54" t="s">
        <v>1293</v>
      </c>
      <c r="AG118" s="54" t="s">
        <v>1293</v>
      </c>
      <c r="AK118" s="54" t="s">
        <v>1293</v>
      </c>
      <c r="AO118" s="54" t="s">
        <v>1293</v>
      </c>
      <c r="AS118" s="54" t="s">
        <v>1293</v>
      </c>
      <c r="AW118" s="54" t="s">
        <v>1293</v>
      </c>
      <c r="BA118" s="54" t="s">
        <v>1293</v>
      </c>
    </row>
    <row r="119" spans="2:55">
      <c r="G119"/>
      <c r="AA119">
        <f t="shared" si="38"/>
        <v>1272.5999999999999</v>
      </c>
      <c r="AC119" s="54" t="s">
        <v>2059</v>
      </c>
      <c r="AG119" s="54" t="s">
        <v>2059</v>
      </c>
      <c r="AK119" s="54" t="s">
        <v>2059</v>
      </c>
      <c r="AO119" s="54" t="s">
        <v>2059</v>
      </c>
      <c r="AS119" s="54" t="s">
        <v>2059</v>
      </c>
      <c r="AW119" s="54" t="s">
        <v>2059</v>
      </c>
      <c r="BA119" s="54" t="s">
        <v>2059</v>
      </c>
    </row>
    <row r="120" spans="2:55">
      <c r="G120"/>
      <c r="AA120">
        <f t="shared" si="38"/>
        <v>1272.5999999999999</v>
      </c>
      <c r="AC120" s="54" t="s">
        <v>1221</v>
      </c>
      <c r="AG120" s="54" t="s">
        <v>1221</v>
      </c>
      <c r="AK120" s="54" t="s">
        <v>1221</v>
      </c>
      <c r="AO120" s="54" t="s">
        <v>1221</v>
      </c>
      <c r="AS120" s="54" t="s">
        <v>1221</v>
      </c>
      <c r="AW120" s="54" t="s">
        <v>1221</v>
      </c>
      <c r="BA120" s="54" t="s">
        <v>1221</v>
      </c>
    </row>
    <row r="121" spans="2:55">
      <c r="G121"/>
      <c r="AA121">
        <f t="shared" si="38"/>
        <v>1272.5999999999999</v>
      </c>
      <c r="AC121" s="54" t="s">
        <v>2060</v>
      </c>
      <c r="AG121" s="54" t="s">
        <v>2060</v>
      </c>
      <c r="AK121" s="54" t="s">
        <v>2060</v>
      </c>
      <c r="AO121" s="54" t="s">
        <v>2060</v>
      </c>
      <c r="AS121" s="54" t="s">
        <v>2060</v>
      </c>
      <c r="AW121" s="54" t="s">
        <v>2060</v>
      </c>
      <c r="BA121" s="54" t="s">
        <v>2060</v>
      </c>
    </row>
    <row r="122" spans="2:55">
      <c r="G122"/>
      <c r="AA122">
        <f t="shared" si="38"/>
        <v>1272.5999999999999</v>
      </c>
      <c r="AC122" s="54" t="s">
        <v>1294</v>
      </c>
      <c r="AG122" s="54" t="s">
        <v>1294</v>
      </c>
      <c r="AK122" s="54" t="s">
        <v>1294</v>
      </c>
      <c r="AO122" s="54" t="s">
        <v>1294</v>
      </c>
      <c r="AS122" s="54" t="s">
        <v>1294</v>
      </c>
      <c r="AW122" s="54" t="s">
        <v>1294</v>
      </c>
      <c r="BA122" s="54" t="s">
        <v>1294</v>
      </c>
    </row>
    <row r="123" spans="2:55">
      <c r="G123"/>
      <c r="AA123">
        <f t="shared" si="38"/>
        <v>1272.5999999999999</v>
      </c>
      <c r="AC123" s="54" t="s">
        <v>2061</v>
      </c>
      <c r="AG123" s="54" t="s">
        <v>2061</v>
      </c>
      <c r="AK123" s="54" t="s">
        <v>2061</v>
      </c>
      <c r="AO123" s="54" t="s">
        <v>2061</v>
      </c>
      <c r="AS123" s="54" t="s">
        <v>2061</v>
      </c>
      <c r="AW123" s="54" t="s">
        <v>2061</v>
      </c>
      <c r="BA123" s="54" t="s">
        <v>2061</v>
      </c>
    </row>
    <row r="124" spans="2:55">
      <c r="G124"/>
      <c r="AA124">
        <f t="shared" si="38"/>
        <v>1272.5999999999999</v>
      </c>
      <c r="AC124" s="54" t="s">
        <v>2062</v>
      </c>
      <c r="AD124" s="83"/>
      <c r="AE124" s="78"/>
      <c r="AG124" s="54" t="s">
        <v>2062</v>
      </c>
      <c r="AH124" s="83"/>
      <c r="AI124" s="78"/>
      <c r="AK124" s="54" t="s">
        <v>2062</v>
      </c>
      <c r="AL124" s="83"/>
      <c r="AM124" s="78"/>
      <c r="AO124" s="54" t="s">
        <v>2062</v>
      </c>
      <c r="AP124" s="83"/>
      <c r="AQ124" s="78"/>
      <c r="AS124" s="54" t="s">
        <v>2062</v>
      </c>
      <c r="AT124" s="83"/>
      <c r="AU124" s="78"/>
      <c r="AW124" s="54" t="s">
        <v>2062</v>
      </c>
      <c r="AX124" s="83"/>
      <c r="AY124" s="78"/>
      <c r="BA124" s="54" t="s">
        <v>2062</v>
      </c>
      <c r="BB124" s="83"/>
      <c r="BC124" s="78"/>
    </row>
    <row r="125" spans="2:55">
      <c r="G125"/>
      <c r="AA125">
        <f t="shared" si="38"/>
        <v>1272.5999999999999</v>
      </c>
      <c r="AC125" s="54" t="s">
        <v>1937</v>
      </c>
      <c r="AG125" s="54" t="s">
        <v>1937</v>
      </c>
      <c r="AK125" s="54" t="s">
        <v>1937</v>
      </c>
      <c r="AO125" s="54" t="s">
        <v>1937</v>
      </c>
      <c r="AS125" s="54" t="s">
        <v>1937</v>
      </c>
      <c r="AW125" s="54" t="s">
        <v>1937</v>
      </c>
      <c r="BA125" s="54" t="s">
        <v>1937</v>
      </c>
    </row>
    <row r="126" spans="2:55">
      <c r="B126" s="83"/>
      <c r="C126" s="78"/>
      <c r="G126"/>
      <c r="AA126">
        <f t="shared" si="38"/>
        <v>1272.5999999999999</v>
      </c>
      <c r="AC126" s="54" t="s">
        <v>1295</v>
      </c>
      <c r="AG126" s="54" t="s">
        <v>1295</v>
      </c>
      <c r="AK126" s="54" t="s">
        <v>1295</v>
      </c>
      <c r="AO126" s="54" t="s">
        <v>1295</v>
      </c>
      <c r="AS126" s="54" t="s">
        <v>1295</v>
      </c>
      <c r="AW126" s="54" t="s">
        <v>1295</v>
      </c>
      <c r="BA126" s="54" t="s">
        <v>1295</v>
      </c>
    </row>
    <row r="127" spans="2:55">
      <c r="G127"/>
      <c r="AA127">
        <f t="shared" si="38"/>
        <v>1272.5999999999999</v>
      </c>
      <c r="AC127" s="54" t="s">
        <v>2063</v>
      </c>
      <c r="AG127" s="54" t="s">
        <v>2063</v>
      </c>
      <c r="AK127" s="54" t="s">
        <v>2063</v>
      </c>
      <c r="AO127" s="54" t="s">
        <v>2063</v>
      </c>
      <c r="AS127" s="54" t="s">
        <v>2063</v>
      </c>
      <c r="AW127" s="54" t="s">
        <v>2063</v>
      </c>
      <c r="BA127" s="54" t="s">
        <v>2063</v>
      </c>
    </row>
    <row r="128" spans="2:55">
      <c r="G128"/>
      <c r="AA128">
        <f t="shared" si="38"/>
        <v>1272.5999999999999</v>
      </c>
      <c r="AC128" s="54" t="s">
        <v>2064</v>
      </c>
      <c r="AG128" s="54" t="s">
        <v>2064</v>
      </c>
      <c r="AK128" s="54" t="s">
        <v>2064</v>
      </c>
      <c r="AO128" s="54" t="s">
        <v>2064</v>
      </c>
      <c r="AS128" s="54" t="s">
        <v>2064</v>
      </c>
      <c r="AW128" s="54" t="s">
        <v>2064</v>
      </c>
      <c r="BA128" s="54" t="s">
        <v>2064</v>
      </c>
    </row>
    <row r="129" spans="7:55">
      <c r="G129"/>
      <c r="AA129">
        <f t="shared" si="38"/>
        <v>1272.5999999999999</v>
      </c>
      <c r="AC129" s="54" t="s">
        <v>1452</v>
      </c>
      <c r="AG129" s="54" t="s">
        <v>1452</v>
      </c>
      <c r="AK129" s="54" t="s">
        <v>1452</v>
      </c>
      <c r="AO129" s="54" t="s">
        <v>1452</v>
      </c>
      <c r="AS129" s="54" t="s">
        <v>1452</v>
      </c>
      <c r="AW129" s="54" t="s">
        <v>1452</v>
      </c>
      <c r="BA129" s="54" t="s">
        <v>1452</v>
      </c>
    </row>
    <row r="130" spans="7:55">
      <c r="G130"/>
      <c r="AA130">
        <f t="shared" si="38"/>
        <v>1272.5999999999999</v>
      </c>
      <c r="AC130" s="54" t="s">
        <v>1296</v>
      </c>
      <c r="AG130" s="54" t="s">
        <v>1296</v>
      </c>
      <c r="AK130" s="54" t="s">
        <v>1296</v>
      </c>
      <c r="AO130" s="54" t="s">
        <v>1296</v>
      </c>
      <c r="AS130" s="54" t="s">
        <v>1296</v>
      </c>
      <c r="AW130" s="54" t="s">
        <v>1296</v>
      </c>
      <c r="BA130" s="54" t="s">
        <v>1296</v>
      </c>
    </row>
    <row r="131" spans="7:55">
      <c r="G131"/>
      <c r="AA131">
        <f t="shared" si="38"/>
        <v>1272.5999999999999</v>
      </c>
      <c r="AC131" s="54" t="s">
        <v>2065</v>
      </c>
      <c r="AG131" s="54" t="s">
        <v>2065</v>
      </c>
      <c r="AK131" s="54" t="s">
        <v>2065</v>
      </c>
      <c r="AO131" s="54" t="s">
        <v>2065</v>
      </c>
      <c r="AS131" s="54" t="s">
        <v>2065</v>
      </c>
      <c r="AW131" s="54" t="s">
        <v>2065</v>
      </c>
      <c r="BA131" s="54" t="s">
        <v>2065</v>
      </c>
    </row>
    <row r="132" spans="7:55">
      <c r="G132"/>
      <c r="AA132">
        <f t="shared" si="38"/>
        <v>1272.5999999999999</v>
      </c>
      <c r="AC132" s="54" t="s">
        <v>1117</v>
      </c>
      <c r="AG132" s="54" t="s">
        <v>1117</v>
      </c>
      <c r="AK132" s="54" t="s">
        <v>1117</v>
      </c>
      <c r="AO132" s="54" t="s">
        <v>1117</v>
      </c>
      <c r="AS132" s="54" t="s">
        <v>1117</v>
      </c>
      <c r="AW132" s="54" t="s">
        <v>1117</v>
      </c>
      <c r="BA132" s="54" t="s">
        <v>1117</v>
      </c>
    </row>
    <row r="133" spans="7:55">
      <c r="G133"/>
      <c r="AA133">
        <f t="shared" si="38"/>
        <v>1272.5999999999999</v>
      </c>
      <c r="AC133" s="54" t="s">
        <v>2066</v>
      </c>
      <c r="AG133" s="54" t="s">
        <v>2066</v>
      </c>
      <c r="AK133" s="54" t="s">
        <v>2066</v>
      </c>
      <c r="AO133" s="54" t="s">
        <v>2066</v>
      </c>
      <c r="AS133" s="54" t="s">
        <v>2066</v>
      </c>
      <c r="AW133" s="54" t="s">
        <v>2066</v>
      </c>
      <c r="BA133" s="54" t="s">
        <v>2066</v>
      </c>
    </row>
    <row r="134" spans="7:55">
      <c r="G134"/>
      <c r="AA134">
        <f t="shared" si="38"/>
        <v>1272.5999999999999</v>
      </c>
      <c r="AC134" s="54" t="s">
        <v>1297</v>
      </c>
      <c r="AG134" s="54" t="s">
        <v>1297</v>
      </c>
      <c r="AK134" s="54" t="s">
        <v>1297</v>
      </c>
      <c r="AO134" s="54" t="s">
        <v>1297</v>
      </c>
      <c r="AS134" s="54" t="s">
        <v>1297</v>
      </c>
      <c r="AW134" s="54" t="s">
        <v>1297</v>
      </c>
      <c r="BA134" s="54" t="s">
        <v>1297</v>
      </c>
    </row>
    <row r="135" spans="7:55">
      <c r="G135"/>
      <c r="AA135">
        <f t="shared" si="38"/>
        <v>1272.5999999999999</v>
      </c>
      <c r="AC135" s="54" t="s">
        <v>1453</v>
      </c>
      <c r="AG135" s="54" t="s">
        <v>1453</v>
      </c>
      <c r="AK135" s="54" t="s">
        <v>1453</v>
      </c>
      <c r="AO135" s="54" t="s">
        <v>1453</v>
      </c>
      <c r="AS135" s="54" t="s">
        <v>1453</v>
      </c>
      <c r="AW135" s="54" t="s">
        <v>1453</v>
      </c>
      <c r="BA135" s="54" t="s">
        <v>1453</v>
      </c>
    </row>
    <row r="136" spans="7:55">
      <c r="G136"/>
      <c r="AA136">
        <f t="shared" si="38"/>
        <v>1272.5999999999999</v>
      </c>
      <c r="AC136" s="54" t="s">
        <v>2067</v>
      </c>
      <c r="AG136" s="54" t="s">
        <v>2067</v>
      </c>
      <c r="AK136" s="54" t="s">
        <v>2067</v>
      </c>
      <c r="AO136" s="54" t="s">
        <v>2067</v>
      </c>
      <c r="AS136" s="54" t="s">
        <v>2067</v>
      </c>
      <c r="AW136" s="54" t="s">
        <v>2067</v>
      </c>
      <c r="BA136" s="54" t="s">
        <v>2067</v>
      </c>
    </row>
    <row r="137" spans="7:55">
      <c r="G137"/>
      <c r="AA137">
        <f t="shared" ref="AA137:AA138" si="58">AA136+J137</f>
        <v>1272.5999999999999</v>
      </c>
      <c r="AC137" s="54" t="s">
        <v>2068</v>
      </c>
      <c r="AG137" s="54" t="s">
        <v>2068</v>
      </c>
      <c r="AK137" s="54" t="s">
        <v>2068</v>
      </c>
      <c r="AO137" s="54" t="s">
        <v>2068</v>
      </c>
      <c r="AS137" s="54" t="s">
        <v>2068</v>
      </c>
      <c r="AW137" s="54" t="s">
        <v>2068</v>
      </c>
      <c r="BA137" s="54" t="s">
        <v>2068</v>
      </c>
    </row>
    <row r="138" spans="7:55">
      <c r="G138"/>
      <c r="AA138">
        <f t="shared" si="58"/>
        <v>1272.5999999999999</v>
      </c>
      <c r="AC138" s="54" t="s">
        <v>1298</v>
      </c>
      <c r="AG138" s="54" t="s">
        <v>1298</v>
      </c>
      <c r="AK138" s="54" t="s">
        <v>1298</v>
      </c>
      <c r="AO138" s="54" t="s">
        <v>1298</v>
      </c>
      <c r="AS138" s="54" t="s">
        <v>1298</v>
      </c>
      <c r="AW138" s="54" t="s">
        <v>1298</v>
      </c>
      <c r="BA138" s="54" t="s">
        <v>1298</v>
      </c>
    </row>
    <row r="139" spans="7:55">
      <c r="G139"/>
      <c r="AC139" s="54" t="s">
        <v>2069</v>
      </c>
      <c r="AG139" s="54" t="s">
        <v>2069</v>
      </c>
      <c r="AK139" s="54" t="s">
        <v>2069</v>
      </c>
      <c r="AO139" s="54" t="s">
        <v>2069</v>
      </c>
      <c r="AS139" s="54" t="s">
        <v>2069</v>
      </c>
      <c r="AW139" s="54" t="s">
        <v>2069</v>
      </c>
      <c r="BA139" s="54" t="s">
        <v>2069</v>
      </c>
    </row>
    <row r="140" spans="7:55">
      <c r="G140"/>
      <c r="AC140" s="54" t="s">
        <v>1682</v>
      </c>
      <c r="AG140" s="54" t="s">
        <v>1682</v>
      </c>
      <c r="AK140" s="54" t="s">
        <v>1682</v>
      </c>
      <c r="AO140" s="54" t="s">
        <v>1682</v>
      </c>
      <c r="AS140" s="54" t="s">
        <v>1682</v>
      </c>
      <c r="AW140" s="54" t="s">
        <v>1682</v>
      </c>
      <c r="BA140" s="54" t="s">
        <v>1682</v>
      </c>
    </row>
    <row r="141" spans="7:55">
      <c r="G141"/>
      <c r="AC141" s="54" t="s">
        <v>1454</v>
      </c>
      <c r="AG141" s="54" t="s">
        <v>1454</v>
      </c>
      <c r="AK141" s="54" t="s">
        <v>1454</v>
      </c>
      <c r="AO141" s="54" t="s">
        <v>1454</v>
      </c>
      <c r="AS141" s="54" t="s">
        <v>1454</v>
      </c>
      <c r="AW141" s="54" t="s">
        <v>1454</v>
      </c>
      <c r="BA141" s="54" t="s">
        <v>1454</v>
      </c>
    </row>
    <row r="142" spans="7:55">
      <c r="G142"/>
      <c r="AC142" s="54" t="s">
        <v>1299</v>
      </c>
      <c r="AG142" s="54" t="s">
        <v>1299</v>
      </c>
      <c r="AK142" s="54" t="s">
        <v>1299</v>
      </c>
      <c r="AO142" s="54" t="s">
        <v>1299</v>
      </c>
      <c r="AS142" s="54" t="s">
        <v>1299</v>
      </c>
      <c r="AW142" s="54" t="s">
        <v>1299</v>
      </c>
      <c r="BA142" s="54" t="s">
        <v>1299</v>
      </c>
    </row>
    <row r="143" spans="7:55">
      <c r="G143"/>
      <c r="AC143" s="54" t="s">
        <v>2070</v>
      </c>
      <c r="AG143" s="54" t="s">
        <v>2070</v>
      </c>
      <c r="AK143" s="54" t="s">
        <v>2070</v>
      </c>
      <c r="AO143" s="54" t="s">
        <v>2070</v>
      </c>
      <c r="AS143" s="54" t="s">
        <v>2070</v>
      </c>
      <c r="AW143" s="54" t="s">
        <v>2070</v>
      </c>
      <c r="BA143" s="54" t="s">
        <v>2070</v>
      </c>
    </row>
    <row r="144" spans="7:55">
      <c r="G144"/>
      <c r="AC144" s="54" t="s">
        <v>1526</v>
      </c>
      <c r="AD144" s="83"/>
      <c r="AE144" s="78"/>
      <c r="AG144" s="54" t="s">
        <v>1526</v>
      </c>
      <c r="AH144" s="83"/>
      <c r="AI144" s="78"/>
      <c r="AK144" s="54" t="s">
        <v>1526</v>
      </c>
      <c r="AL144" s="83"/>
      <c r="AM144" s="78"/>
      <c r="AO144" s="54" t="s">
        <v>1526</v>
      </c>
      <c r="AP144" s="83"/>
      <c r="AQ144" s="78"/>
      <c r="AS144" s="54" t="s">
        <v>1526</v>
      </c>
      <c r="AT144" s="83"/>
      <c r="AU144" s="78"/>
      <c r="AW144" s="54" t="s">
        <v>1526</v>
      </c>
      <c r="AX144" s="83"/>
      <c r="AY144" s="78"/>
      <c r="BA144" s="54" t="s">
        <v>1526</v>
      </c>
      <c r="BB144" s="83"/>
      <c r="BC144" s="78"/>
    </row>
    <row r="145" spans="2:53">
      <c r="G145"/>
      <c r="AC145" s="54" t="s">
        <v>2071</v>
      </c>
      <c r="AG145" s="54" t="s">
        <v>2071</v>
      </c>
      <c r="AK145" s="54" t="s">
        <v>2071</v>
      </c>
      <c r="AO145" s="54" t="s">
        <v>2071</v>
      </c>
      <c r="AS145" s="54" t="s">
        <v>2071</v>
      </c>
      <c r="AW145" s="54" t="s">
        <v>2071</v>
      </c>
      <c r="BA145" s="54" t="s">
        <v>2071</v>
      </c>
    </row>
    <row r="146" spans="2:53">
      <c r="B146" s="83"/>
      <c r="C146" s="78"/>
      <c r="G146"/>
      <c r="AC146" s="54" t="s">
        <v>1300</v>
      </c>
      <c r="AG146" s="54" t="s">
        <v>1300</v>
      </c>
      <c r="AK146" s="54" t="s">
        <v>1300</v>
      </c>
      <c r="AO146" s="54" t="s">
        <v>1300</v>
      </c>
      <c r="AS146" s="54" t="s">
        <v>1300</v>
      </c>
      <c r="AW146" s="54" t="s">
        <v>1300</v>
      </c>
      <c r="BA146" s="54" t="s">
        <v>1300</v>
      </c>
    </row>
    <row r="147" spans="2:53">
      <c r="G147"/>
      <c r="AC147" s="54" t="s">
        <v>1455</v>
      </c>
      <c r="AG147" s="54" t="s">
        <v>1455</v>
      </c>
      <c r="AK147" s="54" t="s">
        <v>1455</v>
      </c>
      <c r="AO147" s="54" t="s">
        <v>1455</v>
      </c>
      <c r="AS147" s="54" t="s">
        <v>1455</v>
      </c>
      <c r="AW147" s="54" t="s">
        <v>1455</v>
      </c>
      <c r="BA147" s="54" t="s">
        <v>1455</v>
      </c>
    </row>
    <row r="148" spans="2:53">
      <c r="G148"/>
      <c r="AC148" s="54" t="s">
        <v>2072</v>
      </c>
      <c r="AG148" s="54" t="s">
        <v>2072</v>
      </c>
      <c r="AK148" s="54" t="s">
        <v>2072</v>
      </c>
      <c r="AO148" s="54" t="s">
        <v>2072</v>
      </c>
      <c r="AS148" s="54" t="s">
        <v>2072</v>
      </c>
      <c r="AW148" s="54" t="s">
        <v>2072</v>
      </c>
      <c r="BA148" s="54" t="s">
        <v>2072</v>
      </c>
    </row>
    <row r="149" spans="2:53">
      <c r="G149"/>
      <c r="AC149" s="54" t="s">
        <v>2073</v>
      </c>
      <c r="AG149" s="54" t="s">
        <v>2073</v>
      </c>
      <c r="AK149" s="54" t="s">
        <v>2073</v>
      </c>
      <c r="AO149" s="54" t="s">
        <v>2073</v>
      </c>
      <c r="AS149" s="54" t="s">
        <v>2073</v>
      </c>
      <c r="AW149" s="54" t="s">
        <v>2073</v>
      </c>
      <c r="BA149" s="54" t="s">
        <v>2073</v>
      </c>
    </row>
    <row r="150" spans="2:53">
      <c r="G150"/>
      <c r="AC150" s="54" t="s">
        <v>1301</v>
      </c>
      <c r="AG150" s="54" t="s">
        <v>1301</v>
      </c>
      <c r="AK150" s="54" t="s">
        <v>1301</v>
      </c>
      <c r="AO150" s="54" t="s">
        <v>1301</v>
      </c>
      <c r="AS150" s="54" t="s">
        <v>1301</v>
      </c>
      <c r="AW150" s="54" t="s">
        <v>1301</v>
      </c>
      <c r="BA150" s="54" t="s">
        <v>1301</v>
      </c>
    </row>
    <row r="151" spans="2:53">
      <c r="G151"/>
      <c r="AC151" s="54" t="s">
        <v>2074</v>
      </c>
      <c r="AG151" s="54" t="s">
        <v>2074</v>
      </c>
      <c r="AK151" s="54" t="s">
        <v>2074</v>
      </c>
      <c r="AO151" s="54" t="s">
        <v>2074</v>
      </c>
      <c r="AS151" s="54" t="s">
        <v>2074</v>
      </c>
      <c r="AW151" s="54" t="s">
        <v>2074</v>
      </c>
      <c r="BA151" s="54" t="s">
        <v>2074</v>
      </c>
    </row>
    <row r="152" spans="2:53">
      <c r="G152"/>
      <c r="AC152" s="54" t="s">
        <v>2075</v>
      </c>
      <c r="AG152" s="54" t="s">
        <v>2075</v>
      </c>
      <c r="AK152" s="54" t="s">
        <v>2075</v>
      </c>
      <c r="AO152" s="54" t="s">
        <v>2075</v>
      </c>
      <c r="AS152" s="54" t="s">
        <v>2075</v>
      </c>
      <c r="AW152" s="54" t="s">
        <v>2075</v>
      </c>
      <c r="BA152" s="54" t="s">
        <v>2075</v>
      </c>
    </row>
    <row r="153" spans="2:53">
      <c r="G153"/>
      <c r="AC153" s="54" t="s">
        <v>1456</v>
      </c>
      <c r="AG153" s="54" t="s">
        <v>1456</v>
      </c>
      <c r="AK153" s="54" t="s">
        <v>1456</v>
      </c>
      <c r="AO153" s="54" t="s">
        <v>1456</v>
      </c>
      <c r="AS153" s="54" t="s">
        <v>1456</v>
      </c>
      <c r="AW153" s="54" t="s">
        <v>1456</v>
      </c>
      <c r="BA153" s="54" t="s">
        <v>1456</v>
      </c>
    </row>
    <row r="154" spans="2:53">
      <c r="G154"/>
      <c r="AC154" s="54" t="s">
        <v>1302</v>
      </c>
      <c r="AG154" s="54" t="s">
        <v>1302</v>
      </c>
      <c r="AK154" s="54" t="s">
        <v>1302</v>
      </c>
      <c r="AO154" s="54" t="s">
        <v>1302</v>
      </c>
      <c r="AS154" s="54" t="s">
        <v>1302</v>
      </c>
      <c r="AW154" s="54" t="s">
        <v>1302</v>
      </c>
      <c r="BA154" s="54" t="s">
        <v>1302</v>
      </c>
    </row>
    <row r="155" spans="2:53">
      <c r="G155"/>
      <c r="AC155" s="54" t="s">
        <v>2076</v>
      </c>
      <c r="AG155" s="54" t="s">
        <v>2076</v>
      </c>
      <c r="AK155" s="54" t="s">
        <v>2076</v>
      </c>
      <c r="AO155" s="54" t="s">
        <v>2076</v>
      </c>
      <c r="AS155" s="54" t="s">
        <v>2076</v>
      </c>
      <c r="AW155" s="54" t="s">
        <v>2076</v>
      </c>
      <c r="BA155" s="54" t="s">
        <v>2076</v>
      </c>
    </row>
    <row r="156" spans="2:53">
      <c r="G156"/>
      <c r="AC156" s="54" t="s">
        <v>1122</v>
      </c>
      <c r="AG156" s="54" t="s">
        <v>1122</v>
      </c>
      <c r="AK156" s="54" t="s">
        <v>1122</v>
      </c>
      <c r="AO156" s="54" t="s">
        <v>1122</v>
      </c>
      <c r="AS156" s="54" t="s">
        <v>1122</v>
      </c>
      <c r="AW156" s="54" t="s">
        <v>1122</v>
      </c>
      <c r="BA156" s="54" t="s">
        <v>1122</v>
      </c>
    </row>
    <row r="157" spans="2:53">
      <c r="G157"/>
      <c r="AC157" s="54" t="s">
        <v>2077</v>
      </c>
      <c r="AG157" s="54" t="s">
        <v>2077</v>
      </c>
      <c r="AK157" s="54" t="s">
        <v>2077</v>
      </c>
      <c r="AO157" s="54" t="s">
        <v>2077</v>
      </c>
      <c r="AS157" s="54" t="s">
        <v>2077</v>
      </c>
      <c r="AW157" s="54" t="s">
        <v>2077</v>
      </c>
      <c r="BA157" s="54" t="s">
        <v>2077</v>
      </c>
    </row>
    <row r="158" spans="2:53">
      <c r="G158"/>
      <c r="AC158" s="54" t="s">
        <v>1303</v>
      </c>
      <c r="AG158" s="54" t="s">
        <v>1303</v>
      </c>
      <c r="AK158" s="54" t="s">
        <v>1303</v>
      </c>
      <c r="AO158" s="54" t="s">
        <v>1303</v>
      </c>
      <c r="AS158" s="54" t="s">
        <v>1303</v>
      </c>
      <c r="AW158" s="54" t="s">
        <v>1303</v>
      </c>
      <c r="BA158" s="54" t="s">
        <v>1303</v>
      </c>
    </row>
    <row r="159" spans="2:53">
      <c r="G159"/>
      <c r="AC159" s="54" t="s">
        <v>1457</v>
      </c>
      <c r="AG159" s="54" t="s">
        <v>1457</v>
      </c>
      <c r="AK159" s="54" t="s">
        <v>1457</v>
      </c>
      <c r="AO159" s="54" t="s">
        <v>1457</v>
      </c>
      <c r="AS159" s="54" t="s">
        <v>1457</v>
      </c>
      <c r="AW159" s="54" t="s">
        <v>1457</v>
      </c>
      <c r="BA159" s="54" t="s">
        <v>1457</v>
      </c>
    </row>
    <row r="160" spans="2:53">
      <c r="G160"/>
      <c r="AC160" s="54" t="s">
        <v>1683</v>
      </c>
      <c r="AG160" s="54" t="s">
        <v>1683</v>
      </c>
      <c r="AK160" s="54" t="s">
        <v>1683</v>
      </c>
      <c r="AO160" s="54" t="s">
        <v>1683</v>
      </c>
      <c r="AS160" s="54" t="s">
        <v>1683</v>
      </c>
      <c r="AW160" s="54" t="s">
        <v>1683</v>
      </c>
      <c r="BA160" s="54" t="s">
        <v>1683</v>
      </c>
    </row>
    <row r="161" spans="2:55">
      <c r="G161"/>
      <c r="AC161" s="54" t="s">
        <v>2078</v>
      </c>
      <c r="AG161" s="54" t="s">
        <v>2078</v>
      </c>
      <c r="AK161" s="54" t="s">
        <v>2078</v>
      </c>
      <c r="AO161" s="54" t="s">
        <v>2078</v>
      </c>
      <c r="AS161" s="54" t="s">
        <v>2078</v>
      </c>
      <c r="AW161" s="54" t="s">
        <v>2078</v>
      </c>
      <c r="BA161" s="54" t="s">
        <v>2078</v>
      </c>
    </row>
    <row r="162" spans="2:55">
      <c r="G162"/>
      <c r="AC162" s="54" t="s">
        <v>1304</v>
      </c>
      <c r="AG162" s="54" t="s">
        <v>1304</v>
      </c>
      <c r="AK162" s="54" t="s">
        <v>1304</v>
      </c>
      <c r="AO162" s="54" t="s">
        <v>1304</v>
      </c>
      <c r="AS162" s="54" t="s">
        <v>1304</v>
      </c>
      <c r="AW162" s="54" t="s">
        <v>1304</v>
      </c>
      <c r="BA162" s="54" t="s">
        <v>1304</v>
      </c>
    </row>
    <row r="163" spans="2:55">
      <c r="G163"/>
      <c r="AC163" s="54" t="s">
        <v>2079</v>
      </c>
      <c r="AG163" s="54" t="s">
        <v>2079</v>
      </c>
      <c r="AK163" s="54" t="s">
        <v>2079</v>
      </c>
      <c r="AO163" s="54" t="s">
        <v>2079</v>
      </c>
      <c r="AS163" s="54" t="s">
        <v>2079</v>
      </c>
      <c r="AW163" s="54" t="s">
        <v>2079</v>
      </c>
      <c r="BA163" s="54" t="s">
        <v>2079</v>
      </c>
    </row>
    <row r="164" spans="2:55">
      <c r="G164"/>
      <c r="AC164" s="54" t="s">
        <v>2080</v>
      </c>
      <c r="AD164" s="83"/>
      <c r="AE164" s="78"/>
      <c r="AG164" s="54" t="s">
        <v>2080</v>
      </c>
      <c r="AH164" s="83"/>
      <c r="AI164" s="78"/>
      <c r="AK164" s="54" t="s">
        <v>2080</v>
      </c>
      <c r="AL164" s="83"/>
      <c r="AM164" s="78"/>
      <c r="AO164" s="54" t="s">
        <v>2080</v>
      </c>
      <c r="AP164" s="83"/>
      <c r="AQ164" s="78"/>
      <c r="AS164" s="54" t="s">
        <v>2080</v>
      </c>
      <c r="AT164" s="83"/>
      <c r="AU164" s="78"/>
      <c r="AW164" s="54" t="s">
        <v>2080</v>
      </c>
      <c r="AX164" s="83"/>
      <c r="AY164" s="78"/>
      <c r="BA164" s="54" t="s">
        <v>2080</v>
      </c>
      <c r="BB164" s="83"/>
      <c r="BC164" s="78"/>
    </row>
    <row r="165" spans="2:55">
      <c r="G165"/>
      <c r="AC165" s="54" t="s">
        <v>1458</v>
      </c>
      <c r="AG165" s="54" t="s">
        <v>1458</v>
      </c>
      <c r="AK165" s="54" t="s">
        <v>1458</v>
      </c>
      <c r="AO165" s="54" t="s">
        <v>1458</v>
      </c>
      <c r="AS165" s="54" t="s">
        <v>1458</v>
      </c>
      <c r="AW165" s="54" t="s">
        <v>1458</v>
      </c>
      <c r="BA165" s="54" t="s">
        <v>1458</v>
      </c>
    </row>
    <row r="166" spans="2:55">
      <c r="B166" s="83"/>
      <c r="C166" s="78"/>
      <c r="G166"/>
      <c r="AC166" s="54" t="s">
        <v>2081</v>
      </c>
      <c r="AG166" s="54" t="s">
        <v>2081</v>
      </c>
      <c r="AK166" s="54" t="s">
        <v>2081</v>
      </c>
      <c r="AO166" s="54" t="s">
        <v>2081</v>
      </c>
      <c r="AS166" s="54" t="s">
        <v>2081</v>
      </c>
      <c r="AW166" s="54" t="s">
        <v>2081</v>
      </c>
      <c r="BA166" s="54" t="s">
        <v>2081</v>
      </c>
    </row>
    <row r="167" spans="2:55">
      <c r="G167"/>
      <c r="AC167" s="54" t="s">
        <v>2082</v>
      </c>
      <c r="AG167" s="54" t="s">
        <v>2082</v>
      </c>
      <c r="AK167" s="54" t="s">
        <v>2082</v>
      </c>
      <c r="AO167" s="54" t="s">
        <v>2082</v>
      </c>
      <c r="AS167" s="54" t="s">
        <v>2082</v>
      </c>
      <c r="AW167" s="54" t="s">
        <v>2082</v>
      </c>
      <c r="BA167" s="54" t="s">
        <v>2082</v>
      </c>
    </row>
    <row r="168" spans="2:55">
      <c r="G168"/>
      <c r="AC168" s="54" t="s">
        <v>1527</v>
      </c>
      <c r="AG168" s="54" t="s">
        <v>1527</v>
      </c>
      <c r="AK168" s="54" t="s">
        <v>1527</v>
      </c>
      <c r="AO168" s="54" t="s">
        <v>1527</v>
      </c>
      <c r="AS168" s="54" t="s">
        <v>1527</v>
      </c>
      <c r="AW168" s="54" t="s">
        <v>1527</v>
      </c>
      <c r="BA168" s="54" t="s">
        <v>1527</v>
      </c>
    </row>
    <row r="169" spans="2:55">
      <c r="G169"/>
      <c r="AC169" s="54" t="s">
        <v>2083</v>
      </c>
      <c r="AG169" s="54" t="s">
        <v>2083</v>
      </c>
      <c r="AK169" s="54" t="s">
        <v>2083</v>
      </c>
      <c r="AO169" s="54" t="s">
        <v>2083</v>
      </c>
      <c r="AS169" s="54" t="s">
        <v>2083</v>
      </c>
      <c r="AW169" s="54" t="s">
        <v>2083</v>
      </c>
      <c r="BA169" s="54" t="s">
        <v>2083</v>
      </c>
    </row>
    <row r="170" spans="2:55">
      <c r="G170"/>
      <c r="AC170" s="54" t="s">
        <v>1684</v>
      </c>
      <c r="AG170" s="54" t="s">
        <v>1684</v>
      </c>
      <c r="AK170" s="54" t="s">
        <v>1684</v>
      </c>
      <c r="AO170" s="54" t="s">
        <v>1684</v>
      </c>
      <c r="AS170" s="54" t="s">
        <v>1684</v>
      </c>
      <c r="AW170" s="54" t="s">
        <v>1684</v>
      </c>
      <c r="BA170" s="54" t="s">
        <v>1684</v>
      </c>
    </row>
    <row r="171" spans="2:55">
      <c r="G171"/>
      <c r="AC171" s="54" t="s">
        <v>1459</v>
      </c>
      <c r="AG171" s="54" t="s">
        <v>1459</v>
      </c>
      <c r="AK171" s="54" t="s">
        <v>1459</v>
      </c>
      <c r="AO171" s="54" t="s">
        <v>1459</v>
      </c>
      <c r="AS171" s="54" t="s">
        <v>1459</v>
      </c>
      <c r="AW171" s="54" t="s">
        <v>1459</v>
      </c>
      <c r="BA171" s="54" t="s">
        <v>1459</v>
      </c>
    </row>
    <row r="172" spans="2:55">
      <c r="G172"/>
      <c r="AC172" s="54" t="s">
        <v>2084</v>
      </c>
      <c r="AG172" s="54" t="s">
        <v>2084</v>
      </c>
      <c r="AK172" s="54" t="s">
        <v>2084</v>
      </c>
      <c r="AO172" s="54" t="s">
        <v>2084</v>
      </c>
      <c r="AS172" s="54" t="s">
        <v>2084</v>
      </c>
      <c r="AW172" s="54" t="s">
        <v>2084</v>
      </c>
      <c r="BA172" s="54" t="s">
        <v>2084</v>
      </c>
    </row>
    <row r="173" spans="2:55">
      <c r="G173"/>
      <c r="AC173" s="54" t="s">
        <v>2085</v>
      </c>
      <c r="AG173" s="54" t="s">
        <v>2085</v>
      </c>
      <c r="AK173" s="54" t="s">
        <v>2085</v>
      </c>
      <c r="AO173" s="54" t="s">
        <v>2085</v>
      </c>
      <c r="AS173" s="54" t="s">
        <v>2085</v>
      </c>
      <c r="AW173" s="54" t="s">
        <v>2085</v>
      </c>
      <c r="BA173" s="54" t="s">
        <v>2085</v>
      </c>
    </row>
    <row r="174" spans="2:55">
      <c r="G174"/>
      <c r="AC174" s="54" t="s">
        <v>2086</v>
      </c>
      <c r="AG174" s="54" t="s">
        <v>2086</v>
      </c>
      <c r="AK174" s="54" t="s">
        <v>2086</v>
      </c>
      <c r="AO174" s="54" t="s">
        <v>2086</v>
      </c>
      <c r="AS174" s="54" t="s">
        <v>2086</v>
      </c>
      <c r="AW174" s="54" t="s">
        <v>2086</v>
      </c>
      <c r="BA174" s="54" t="s">
        <v>2086</v>
      </c>
    </row>
    <row r="175" spans="2:55">
      <c r="G175"/>
      <c r="AC175" s="54" t="s">
        <v>1938</v>
      </c>
      <c r="AG175" s="54" t="s">
        <v>1938</v>
      </c>
      <c r="AK175" s="54" t="s">
        <v>1938</v>
      </c>
      <c r="AO175" s="54" t="s">
        <v>1938</v>
      </c>
      <c r="AS175" s="54" t="s">
        <v>1938</v>
      </c>
      <c r="AW175" s="54" t="s">
        <v>1938</v>
      </c>
      <c r="BA175" s="54" t="s">
        <v>1938</v>
      </c>
    </row>
    <row r="176" spans="2:55">
      <c r="G176"/>
      <c r="AC176" s="54" t="s">
        <v>2087</v>
      </c>
      <c r="AG176" s="54" t="s">
        <v>2087</v>
      </c>
      <c r="AK176" s="54" t="s">
        <v>2087</v>
      </c>
      <c r="AO176" s="54" t="s">
        <v>2087</v>
      </c>
      <c r="AS176" s="54" t="s">
        <v>2087</v>
      </c>
      <c r="AW176" s="54" t="s">
        <v>2087</v>
      </c>
      <c r="BA176" s="54" t="s">
        <v>2087</v>
      </c>
    </row>
    <row r="177" spans="2:55">
      <c r="G177"/>
      <c r="AC177" s="54" t="s">
        <v>1460</v>
      </c>
      <c r="AG177" s="54" t="s">
        <v>1460</v>
      </c>
      <c r="AK177" s="54" t="s">
        <v>1460</v>
      </c>
      <c r="AO177" s="54" t="s">
        <v>1460</v>
      </c>
      <c r="AS177" s="54" t="s">
        <v>1460</v>
      </c>
      <c r="AW177" s="54" t="s">
        <v>1460</v>
      </c>
      <c r="BA177" s="54" t="s">
        <v>1460</v>
      </c>
    </row>
    <row r="178" spans="2:55">
      <c r="G178"/>
      <c r="AC178" s="54" t="s">
        <v>2088</v>
      </c>
      <c r="AG178" s="54" t="s">
        <v>2088</v>
      </c>
      <c r="AK178" s="54" t="s">
        <v>2088</v>
      </c>
      <c r="AO178" s="54" t="s">
        <v>2088</v>
      </c>
      <c r="AS178" s="54" t="s">
        <v>2088</v>
      </c>
      <c r="AW178" s="54" t="s">
        <v>2088</v>
      </c>
      <c r="BA178" s="54" t="s">
        <v>2088</v>
      </c>
    </row>
    <row r="179" spans="2:55">
      <c r="G179"/>
      <c r="AC179" s="54" t="s">
        <v>2089</v>
      </c>
      <c r="AG179" s="54" t="s">
        <v>2089</v>
      </c>
      <c r="AK179" s="54" t="s">
        <v>2089</v>
      </c>
      <c r="AO179" s="54" t="s">
        <v>2089</v>
      </c>
      <c r="AS179" s="54" t="s">
        <v>2089</v>
      </c>
      <c r="AW179" s="54" t="s">
        <v>2089</v>
      </c>
      <c r="BA179" s="54" t="s">
        <v>2089</v>
      </c>
    </row>
    <row r="180" spans="2:55">
      <c r="G180"/>
      <c r="AC180" s="54" t="s">
        <v>1127</v>
      </c>
      <c r="AG180" s="54" t="s">
        <v>1127</v>
      </c>
      <c r="AK180" s="54" t="s">
        <v>1127</v>
      </c>
      <c r="AO180" s="54" t="s">
        <v>1127</v>
      </c>
      <c r="AS180" s="54" t="s">
        <v>1127</v>
      </c>
      <c r="AW180" s="54" t="s">
        <v>1127</v>
      </c>
      <c r="BA180" s="54" t="s">
        <v>1127</v>
      </c>
    </row>
    <row r="181" spans="2:55">
      <c r="G181"/>
      <c r="AC181" s="54" t="s">
        <v>2090</v>
      </c>
      <c r="AG181" s="54" t="s">
        <v>2090</v>
      </c>
      <c r="AK181" s="54" t="s">
        <v>2090</v>
      </c>
      <c r="AO181" s="54" t="s">
        <v>2090</v>
      </c>
      <c r="AS181" s="54" t="s">
        <v>2090</v>
      </c>
      <c r="AW181" s="54" t="s">
        <v>2090</v>
      </c>
      <c r="BA181" s="54" t="s">
        <v>2090</v>
      </c>
    </row>
    <row r="182" spans="2:55">
      <c r="G182"/>
      <c r="AC182" s="54" t="s">
        <v>2091</v>
      </c>
      <c r="AG182" s="54" t="s">
        <v>2091</v>
      </c>
      <c r="AK182" s="54" t="s">
        <v>2091</v>
      </c>
      <c r="AO182" s="54" t="s">
        <v>2091</v>
      </c>
      <c r="AS182" s="54" t="s">
        <v>2091</v>
      </c>
      <c r="AW182" s="54" t="s">
        <v>2091</v>
      </c>
      <c r="BA182" s="54" t="s">
        <v>2091</v>
      </c>
    </row>
    <row r="183" spans="2:55">
      <c r="G183"/>
      <c r="AC183" s="54" t="s">
        <v>1461</v>
      </c>
      <c r="AG183" s="54" t="s">
        <v>1461</v>
      </c>
      <c r="AK183" s="54" t="s">
        <v>1461</v>
      </c>
      <c r="AO183" s="54" t="s">
        <v>1461</v>
      </c>
      <c r="AS183" s="54" t="s">
        <v>1461</v>
      </c>
      <c r="AW183" s="54" t="s">
        <v>1461</v>
      </c>
      <c r="BA183" s="54" t="s">
        <v>1461</v>
      </c>
    </row>
    <row r="184" spans="2:55">
      <c r="G184"/>
      <c r="AC184" s="54" t="s">
        <v>2092</v>
      </c>
      <c r="AD184" s="83"/>
      <c r="AE184" s="78"/>
      <c r="AG184" s="54" t="s">
        <v>2092</v>
      </c>
      <c r="AH184" s="83"/>
      <c r="AI184" s="78"/>
      <c r="AK184" s="54" t="s">
        <v>2092</v>
      </c>
      <c r="AL184" s="83"/>
      <c r="AM184" s="78"/>
      <c r="AO184" s="54" t="s">
        <v>2092</v>
      </c>
      <c r="AP184" s="83"/>
      <c r="AQ184" s="78"/>
      <c r="AS184" s="54" t="s">
        <v>2092</v>
      </c>
      <c r="AT184" s="83"/>
      <c r="AU184" s="78"/>
      <c r="AW184" s="54" t="s">
        <v>2092</v>
      </c>
      <c r="AX184" s="83"/>
      <c r="AY184" s="78"/>
      <c r="BA184" s="54" t="s">
        <v>2092</v>
      </c>
      <c r="BB184" s="83"/>
      <c r="BC184" s="78"/>
    </row>
    <row r="185" spans="2:55">
      <c r="G185"/>
      <c r="AC185" s="54" t="s">
        <v>2093</v>
      </c>
      <c r="AG185" s="54" t="s">
        <v>2093</v>
      </c>
      <c r="AK185" s="54" t="s">
        <v>2093</v>
      </c>
      <c r="AO185" s="54" t="s">
        <v>2093</v>
      </c>
      <c r="AS185" s="54" t="s">
        <v>2093</v>
      </c>
      <c r="AW185" s="54" t="s">
        <v>2093</v>
      </c>
      <c r="BA185" s="54" t="s">
        <v>2093</v>
      </c>
    </row>
    <row r="186" spans="2:55">
      <c r="B186" s="83"/>
      <c r="C186" s="78"/>
      <c r="G186"/>
      <c r="AC186" s="54" t="s">
        <v>2094</v>
      </c>
      <c r="AG186" s="54" t="s">
        <v>2094</v>
      </c>
      <c r="AK186" s="54" t="s">
        <v>2094</v>
      </c>
      <c r="AO186" s="54" t="s">
        <v>2094</v>
      </c>
      <c r="AS186" s="54" t="s">
        <v>2094</v>
      </c>
      <c r="AW186" s="54" t="s">
        <v>2094</v>
      </c>
      <c r="BA186" s="54" t="s">
        <v>2094</v>
      </c>
    </row>
    <row r="187" spans="2:55">
      <c r="G187"/>
      <c r="AC187" s="54" t="s">
        <v>2095</v>
      </c>
      <c r="AG187" s="54" t="s">
        <v>2095</v>
      </c>
      <c r="AK187" s="54" t="s">
        <v>2095</v>
      </c>
      <c r="AO187" s="54" t="s">
        <v>2095</v>
      </c>
      <c r="AS187" s="54" t="s">
        <v>2095</v>
      </c>
      <c r="AW187" s="54" t="s">
        <v>2095</v>
      </c>
      <c r="BA187" s="54" t="s">
        <v>2095</v>
      </c>
    </row>
    <row r="188" spans="2:55">
      <c r="G188"/>
      <c r="AC188" s="54" t="s">
        <v>2096</v>
      </c>
      <c r="AG188" s="54" t="s">
        <v>2096</v>
      </c>
      <c r="AK188" s="54" t="s">
        <v>2096</v>
      </c>
      <c r="AO188" s="54" t="s">
        <v>2096</v>
      </c>
      <c r="AS188" s="54" t="s">
        <v>2096</v>
      </c>
      <c r="AW188" s="54" t="s">
        <v>2096</v>
      </c>
      <c r="BA188" s="54" t="s">
        <v>2096</v>
      </c>
    </row>
    <row r="189" spans="2:55">
      <c r="G189"/>
      <c r="AC189" s="54" t="s">
        <v>1462</v>
      </c>
      <c r="AG189" s="54" t="s">
        <v>1462</v>
      </c>
      <c r="AK189" s="54" t="s">
        <v>1462</v>
      </c>
      <c r="AO189" s="54" t="s">
        <v>1462</v>
      </c>
      <c r="AS189" s="54" t="s">
        <v>1462</v>
      </c>
      <c r="AW189" s="54" t="s">
        <v>1462</v>
      </c>
      <c r="BA189" s="54" t="s">
        <v>1462</v>
      </c>
    </row>
    <row r="190" spans="2:55">
      <c r="G190"/>
      <c r="AC190" s="54" t="s">
        <v>1685</v>
      </c>
      <c r="AG190" s="54" t="s">
        <v>1685</v>
      </c>
      <c r="AK190" s="54" t="s">
        <v>1685</v>
      </c>
      <c r="AO190" s="54" t="s">
        <v>1685</v>
      </c>
      <c r="AS190" s="54" t="s">
        <v>1685</v>
      </c>
      <c r="AW190" s="54" t="s">
        <v>1685</v>
      </c>
      <c r="BA190" s="54" t="s">
        <v>1685</v>
      </c>
    </row>
    <row r="191" spans="2:55">
      <c r="G191"/>
      <c r="AC191" s="54" t="s">
        <v>2097</v>
      </c>
      <c r="AG191" s="54" t="s">
        <v>2097</v>
      </c>
      <c r="AK191" s="54" t="s">
        <v>2097</v>
      </c>
      <c r="AO191" s="54" t="s">
        <v>2097</v>
      </c>
      <c r="AS191" s="54" t="s">
        <v>2097</v>
      </c>
      <c r="AW191" s="54" t="s">
        <v>2097</v>
      </c>
      <c r="BA191" s="54" t="s">
        <v>2097</v>
      </c>
    </row>
    <row r="192" spans="2:55">
      <c r="G192"/>
      <c r="AC192" s="54" t="s">
        <v>1849</v>
      </c>
      <c r="AG192" s="54" t="s">
        <v>1849</v>
      </c>
      <c r="AK192" s="54" t="s">
        <v>1849</v>
      </c>
      <c r="AO192" s="54" t="s">
        <v>1849</v>
      </c>
      <c r="AS192" s="54" t="s">
        <v>1849</v>
      </c>
      <c r="AW192" s="54" t="s">
        <v>1849</v>
      </c>
      <c r="BA192" s="54" t="s">
        <v>1849</v>
      </c>
    </row>
    <row r="193" spans="2:55">
      <c r="G193"/>
      <c r="AC193" s="54" t="s">
        <v>2098</v>
      </c>
      <c r="AG193" s="54" t="s">
        <v>2098</v>
      </c>
      <c r="AK193" s="54" t="s">
        <v>2098</v>
      </c>
      <c r="AO193" s="54" t="s">
        <v>2098</v>
      </c>
      <c r="AS193" s="54" t="s">
        <v>2098</v>
      </c>
      <c r="AW193" s="54" t="s">
        <v>2098</v>
      </c>
      <c r="BA193" s="54" t="s">
        <v>2098</v>
      </c>
    </row>
    <row r="194" spans="2:55">
      <c r="G194"/>
      <c r="AC194" s="54" t="s">
        <v>2099</v>
      </c>
      <c r="AG194" s="54" t="s">
        <v>2099</v>
      </c>
      <c r="AK194" s="54" t="s">
        <v>2099</v>
      </c>
      <c r="AO194" s="54" t="s">
        <v>2099</v>
      </c>
      <c r="AS194" s="54" t="s">
        <v>2099</v>
      </c>
      <c r="AW194" s="54" t="s">
        <v>2099</v>
      </c>
      <c r="BA194" s="54" t="s">
        <v>2099</v>
      </c>
    </row>
    <row r="195" spans="2:55">
      <c r="G195"/>
      <c r="AC195" s="54" t="s">
        <v>1463</v>
      </c>
      <c r="AG195" s="54" t="s">
        <v>1463</v>
      </c>
      <c r="AK195" s="54" t="s">
        <v>1463</v>
      </c>
      <c r="AO195" s="54" t="s">
        <v>1463</v>
      </c>
      <c r="AS195" s="54" t="s">
        <v>1463</v>
      </c>
      <c r="AW195" s="54" t="s">
        <v>1463</v>
      </c>
      <c r="BA195" s="54" t="s">
        <v>1463</v>
      </c>
    </row>
    <row r="196" spans="2:55">
      <c r="G196"/>
      <c r="AC196" s="54" t="s">
        <v>2100</v>
      </c>
      <c r="AG196" s="54" t="s">
        <v>2100</v>
      </c>
      <c r="AK196" s="54" t="s">
        <v>2100</v>
      </c>
      <c r="AO196" s="54" t="s">
        <v>2100</v>
      </c>
      <c r="AS196" s="54" t="s">
        <v>2100</v>
      </c>
      <c r="AW196" s="54" t="s">
        <v>2100</v>
      </c>
      <c r="BA196" s="54" t="s">
        <v>2100</v>
      </c>
    </row>
    <row r="197" spans="2:55">
      <c r="G197"/>
      <c r="AC197" s="54" t="s">
        <v>2101</v>
      </c>
      <c r="AG197" s="54" t="s">
        <v>2101</v>
      </c>
      <c r="AK197" s="54" t="s">
        <v>2101</v>
      </c>
      <c r="AO197" s="54" t="s">
        <v>2101</v>
      </c>
      <c r="AS197" s="54" t="s">
        <v>2101</v>
      </c>
      <c r="AW197" s="54" t="s">
        <v>2101</v>
      </c>
      <c r="BA197" s="54" t="s">
        <v>2101</v>
      </c>
    </row>
    <row r="198" spans="2:55">
      <c r="G198"/>
      <c r="AC198" s="54" t="s">
        <v>1606</v>
      </c>
      <c r="AG198" s="54" t="s">
        <v>1606</v>
      </c>
      <c r="AK198" s="54" t="s">
        <v>1606</v>
      </c>
      <c r="AO198" s="54" t="s">
        <v>1606</v>
      </c>
      <c r="AS198" s="54" t="s">
        <v>1606</v>
      </c>
      <c r="AW198" s="54" t="s">
        <v>1606</v>
      </c>
      <c r="BA198" s="54" t="s">
        <v>1606</v>
      </c>
    </row>
    <row r="199" spans="2:55">
      <c r="G199"/>
      <c r="AC199" s="54" t="s">
        <v>2102</v>
      </c>
      <c r="AG199" s="54" t="s">
        <v>2102</v>
      </c>
      <c r="AK199" s="54" t="s">
        <v>2102</v>
      </c>
      <c r="AO199" s="54" t="s">
        <v>2102</v>
      </c>
      <c r="AS199" s="54" t="s">
        <v>2102</v>
      </c>
      <c r="AW199" s="54" t="s">
        <v>2102</v>
      </c>
      <c r="BA199" s="54" t="s">
        <v>2102</v>
      </c>
    </row>
    <row r="200" spans="2:55">
      <c r="G200"/>
      <c r="AC200" s="54" t="s">
        <v>1686</v>
      </c>
      <c r="AG200" s="54" t="s">
        <v>1686</v>
      </c>
      <c r="AK200" s="54" t="s">
        <v>1686</v>
      </c>
      <c r="AO200" s="54" t="s">
        <v>1686</v>
      </c>
      <c r="AS200" s="54" t="s">
        <v>1686</v>
      </c>
      <c r="AW200" s="54" t="s">
        <v>1686</v>
      </c>
      <c r="BA200" s="54" t="s">
        <v>1686</v>
      </c>
    </row>
    <row r="201" spans="2:55">
      <c r="G201"/>
      <c r="AC201" s="54" t="s">
        <v>1464</v>
      </c>
      <c r="AG201" s="54" t="s">
        <v>1464</v>
      </c>
      <c r="AK201" s="54" t="s">
        <v>1464</v>
      </c>
      <c r="AO201" s="54" t="s">
        <v>1464</v>
      </c>
      <c r="AS201" s="54" t="s">
        <v>1464</v>
      </c>
      <c r="AW201" s="54" t="s">
        <v>1464</v>
      </c>
      <c r="BA201" s="54" t="s">
        <v>1464</v>
      </c>
    </row>
    <row r="202" spans="2:55">
      <c r="G202"/>
      <c r="AC202" s="54" t="s">
        <v>2103</v>
      </c>
      <c r="AG202" s="54" t="s">
        <v>2103</v>
      </c>
      <c r="AK202" s="54" t="s">
        <v>2103</v>
      </c>
      <c r="AO202" s="54" t="s">
        <v>2103</v>
      </c>
      <c r="AS202" s="54" t="s">
        <v>2103</v>
      </c>
      <c r="AW202" s="54" t="s">
        <v>2103</v>
      </c>
      <c r="BA202" s="54" t="s">
        <v>2103</v>
      </c>
    </row>
    <row r="203" spans="2:55">
      <c r="G203"/>
      <c r="AC203" s="54" t="s">
        <v>2104</v>
      </c>
      <c r="AG203" s="54" t="s">
        <v>2104</v>
      </c>
      <c r="AK203" s="54" t="s">
        <v>2104</v>
      </c>
      <c r="AO203" s="54" t="s">
        <v>2104</v>
      </c>
      <c r="AS203" s="54" t="s">
        <v>2104</v>
      </c>
      <c r="AW203" s="54" t="s">
        <v>2104</v>
      </c>
      <c r="BA203" s="54" t="s">
        <v>2104</v>
      </c>
    </row>
    <row r="204" spans="2:55">
      <c r="G204"/>
      <c r="AC204" s="54" t="s">
        <v>1226</v>
      </c>
      <c r="AD204" s="84"/>
      <c r="AE204" s="79"/>
      <c r="AG204" s="54" t="s">
        <v>1226</v>
      </c>
      <c r="AH204" s="84"/>
      <c r="AI204" s="79"/>
      <c r="AK204" s="54" t="s">
        <v>1226</v>
      </c>
      <c r="AL204" s="84"/>
      <c r="AM204" s="79"/>
      <c r="AO204" s="54" t="s">
        <v>1226</v>
      </c>
      <c r="AP204" s="84"/>
      <c r="AQ204" s="79"/>
      <c r="AS204" s="54" t="s">
        <v>1226</v>
      </c>
      <c r="AT204" s="84"/>
      <c r="AU204" s="79"/>
      <c r="AW204" s="54" t="s">
        <v>1226</v>
      </c>
      <c r="AX204" s="84"/>
      <c r="AY204" s="79"/>
      <c r="BA204" s="54" t="s">
        <v>1226</v>
      </c>
      <c r="BB204" s="84"/>
      <c r="BC204" s="79"/>
    </row>
    <row r="205" spans="2:55">
      <c r="G205"/>
    </row>
    <row r="206" spans="2:55">
      <c r="B206" s="84"/>
      <c r="C206" s="79"/>
      <c r="G206"/>
    </row>
    <row r="207" spans="2:55">
      <c r="G207"/>
    </row>
    <row r="208" spans="2:55">
      <c r="G208"/>
    </row>
    <row r="209" spans="7:55">
      <c r="G209"/>
    </row>
    <row r="210" spans="7:55">
      <c r="G210"/>
    </row>
    <row r="211" spans="7:55">
      <c r="G211"/>
    </row>
    <row r="212" spans="7:55">
      <c r="G212"/>
    </row>
    <row r="213" spans="7:55">
      <c r="G213"/>
    </row>
    <row r="214" spans="7:55">
      <c r="G214"/>
    </row>
    <row r="215" spans="7:55">
      <c r="G215"/>
    </row>
    <row r="216" spans="7:55">
      <c r="G216"/>
    </row>
    <row r="217" spans="7:55">
      <c r="G217"/>
    </row>
    <row r="218" spans="7:55">
      <c r="G218"/>
    </row>
    <row r="219" spans="7:55">
      <c r="G219"/>
    </row>
    <row r="220" spans="7:55">
      <c r="G220"/>
    </row>
    <row r="221" spans="7:55">
      <c r="G221"/>
    </row>
    <row r="222" spans="7:55">
      <c r="G222"/>
    </row>
    <row r="223" spans="7:55">
      <c r="G223"/>
    </row>
    <row r="224" spans="7:55">
      <c r="G224"/>
      <c r="AC224" s="62"/>
      <c r="AD224" s="83"/>
      <c r="AE224" s="78"/>
      <c r="AG224" s="62"/>
      <c r="AH224" s="83"/>
      <c r="AI224" s="78"/>
      <c r="AK224" s="62"/>
      <c r="AL224" s="83"/>
      <c r="AM224" s="78"/>
      <c r="AO224" s="62"/>
      <c r="AP224" s="83"/>
      <c r="AQ224" s="78"/>
      <c r="AS224" s="62"/>
      <c r="AT224" s="83"/>
      <c r="AU224" s="78"/>
      <c r="AW224" s="62"/>
      <c r="AX224" s="83"/>
      <c r="AY224" s="78"/>
      <c r="BA224" s="62"/>
      <c r="BB224" s="83"/>
      <c r="BC224" s="78"/>
    </row>
    <row r="225" spans="1:7">
      <c r="G225"/>
    </row>
    <row r="226" spans="1:7">
      <c r="A226" s="62"/>
      <c r="B226" s="83"/>
      <c r="C226" s="78"/>
    </row>
    <row r="244" spans="1:55">
      <c r="AC244" s="62"/>
      <c r="AD244" s="83"/>
      <c r="AE244" s="78"/>
      <c r="AG244" s="62"/>
      <c r="AH244" s="83"/>
      <c r="AI244" s="78"/>
      <c r="AK244" s="62"/>
      <c r="AL244" s="83"/>
      <c r="AM244" s="78"/>
      <c r="AO244" s="62"/>
      <c r="AP244" s="83"/>
      <c r="AQ244" s="78"/>
      <c r="AS244" s="62"/>
      <c r="AT244" s="83"/>
      <c r="AU244" s="78"/>
      <c r="AW244" s="62"/>
      <c r="AX244" s="83"/>
      <c r="AY244" s="78"/>
      <c r="BA244" s="62"/>
      <c r="BB244" s="83"/>
      <c r="BC244" s="78"/>
    </row>
    <row r="246" spans="1:55">
      <c r="A246" s="62"/>
      <c r="B246" s="83"/>
      <c r="C246" s="78"/>
    </row>
    <row r="264" spans="1:55">
      <c r="AC264" s="62"/>
      <c r="AD264" s="83"/>
      <c r="AE264" s="78"/>
      <c r="AG264" s="62"/>
      <c r="AH264" s="83"/>
      <c r="AI264" s="78"/>
      <c r="AK264" s="62"/>
      <c r="AL264" s="83"/>
      <c r="AM264" s="78"/>
      <c r="AO264" s="62"/>
      <c r="AP264" s="83"/>
      <c r="AQ264" s="78"/>
      <c r="AS264" s="62"/>
      <c r="AT264" s="83"/>
      <c r="AU264" s="78"/>
      <c r="AW264" s="62"/>
      <c r="AX264" s="83"/>
      <c r="AY264" s="78"/>
      <c r="BA264" s="62"/>
      <c r="BB264" s="83"/>
      <c r="BC264" s="78"/>
    </row>
    <row r="266" spans="1:55">
      <c r="A266" s="62"/>
      <c r="B266" s="83"/>
      <c r="C266" s="78"/>
    </row>
    <row r="284" spans="1:55">
      <c r="AC284" s="62"/>
      <c r="AD284" s="83"/>
      <c r="AE284" s="78"/>
      <c r="AG284" s="62"/>
      <c r="AH284" s="83"/>
      <c r="AI284" s="78"/>
      <c r="AK284" s="62"/>
      <c r="AL284" s="83"/>
      <c r="AM284" s="78"/>
      <c r="AO284" s="62"/>
      <c r="AP284" s="83"/>
      <c r="AQ284" s="78"/>
      <c r="AS284" s="62"/>
      <c r="AT284" s="83"/>
      <c r="AU284" s="78"/>
      <c r="AW284" s="62"/>
      <c r="AX284" s="83"/>
      <c r="AY284" s="78"/>
      <c r="BA284" s="62"/>
      <c r="BB284" s="83"/>
      <c r="BC284" s="78"/>
    </row>
    <row r="286" spans="1:55">
      <c r="A286" s="62"/>
      <c r="B286" s="83"/>
      <c r="C286" s="78"/>
    </row>
    <row r="324" spans="1:55">
      <c r="AC324" s="62"/>
      <c r="AD324" s="83"/>
      <c r="AE324" s="78"/>
      <c r="AG324" s="62"/>
      <c r="AH324" s="83"/>
      <c r="AI324" s="78"/>
      <c r="AK324" s="62"/>
      <c r="AL324" s="83"/>
      <c r="AM324" s="78"/>
      <c r="AO324" s="62"/>
      <c r="AP324" s="83"/>
      <c r="AQ324" s="78"/>
      <c r="AS324" s="62"/>
      <c r="AT324" s="83"/>
      <c r="AU324" s="78"/>
      <c r="AW324" s="62"/>
      <c r="AX324" s="83"/>
      <c r="AY324" s="78"/>
      <c r="BA324" s="62"/>
      <c r="BB324" s="83"/>
      <c r="BC324" s="78"/>
    </row>
    <row r="326" spans="1:55">
      <c r="A326" s="62"/>
      <c r="B326" s="83"/>
      <c r="C326" s="78"/>
    </row>
    <row r="344" spans="1:55">
      <c r="AC344" s="62"/>
      <c r="AD344" s="83"/>
      <c r="AE344" s="78"/>
      <c r="AG344" s="62"/>
      <c r="AH344" s="83"/>
      <c r="AI344" s="78"/>
      <c r="AK344" s="62"/>
      <c r="AL344" s="83"/>
      <c r="AM344" s="78"/>
      <c r="AO344" s="62"/>
      <c r="AP344" s="83"/>
      <c r="AQ344" s="78"/>
      <c r="AS344" s="62"/>
      <c r="AT344" s="83"/>
      <c r="AU344" s="78"/>
      <c r="AW344" s="62"/>
      <c r="AX344" s="83"/>
      <c r="AY344" s="78"/>
      <c r="BA344" s="62"/>
      <c r="BB344" s="83"/>
      <c r="BC344" s="78"/>
    </row>
    <row r="346" spans="1:55">
      <c r="A346" s="62"/>
      <c r="B346" s="83"/>
      <c r="C346" s="78"/>
    </row>
    <row r="364" spans="1:55">
      <c r="AC364" s="62"/>
      <c r="AD364" s="83"/>
      <c r="AE364" s="78"/>
      <c r="AG364" s="62"/>
      <c r="AH364" s="83"/>
      <c r="AI364" s="78"/>
      <c r="AK364" s="62"/>
      <c r="AL364" s="83"/>
      <c r="AM364" s="78"/>
      <c r="AO364" s="62"/>
      <c r="AP364" s="83"/>
      <c r="AQ364" s="78"/>
      <c r="AS364" s="62"/>
      <c r="AT364" s="83"/>
      <c r="AU364" s="78"/>
      <c r="AW364" s="62"/>
      <c r="AX364" s="83"/>
      <c r="AY364" s="78"/>
      <c r="BA364" s="62"/>
      <c r="BB364" s="83"/>
      <c r="BC364" s="78"/>
    </row>
    <row r="366" spans="1:55">
      <c r="A366" s="62"/>
      <c r="B366" s="83"/>
      <c r="C366" s="78"/>
    </row>
    <row r="384" spans="29:55">
      <c r="AC384" s="62"/>
      <c r="AD384" s="83"/>
      <c r="AE384" s="78"/>
      <c r="AG384" s="62"/>
      <c r="AH384" s="83"/>
      <c r="AI384" s="78"/>
      <c r="AK384" s="62"/>
      <c r="AL384" s="83"/>
      <c r="AM384" s="78"/>
      <c r="AO384" s="62"/>
      <c r="AP384" s="83"/>
      <c r="AQ384" s="78"/>
      <c r="AS384" s="62"/>
      <c r="AT384" s="83"/>
      <c r="AU384" s="78"/>
      <c r="AW384" s="62"/>
      <c r="AX384" s="83"/>
      <c r="AY384" s="78"/>
      <c r="BA384" s="62"/>
      <c r="BB384" s="83"/>
      <c r="BC384" s="78"/>
    </row>
    <row r="386" spans="1:3">
      <c r="A386" s="62"/>
      <c r="B386" s="83"/>
      <c r="C386" s="78"/>
    </row>
    <row r="424" spans="1:55">
      <c r="AC424" s="62"/>
      <c r="AD424" s="83"/>
      <c r="AE424" s="78"/>
      <c r="AG424" s="62"/>
      <c r="AH424" s="83"/>
      <c r="AI424" s="78"/>
      <c r="AK424" s="62"/>
      <c r="AL424" s="83"/>
      <c r="AM424" s="78"/>
      <c r="AO424" s="62"/>
      <c r="AP424" s="83"/>
      <c r="AQ424" s="78"/>
      <c r="AS424" s="62"/>
      <c r="AT424" s="83"/>
      <c r="AU424" s="78"/>
      <c r="AW424" s="62"/>
      <c r="AX424" s="83"/>
      <c r="AY424" s="78"/>
      <c r="BA424" s="62"/>
      <c r="BB424" s="83"/>
      <c r="BC424" s="78"/>
    </row>
    <row r="426" spans="1:55">
      <c r="A426" s="62"/>
      <c r="B426" s="83"/>
      <c r="C426" s="78"/>
    </row>
    <row r="444" spans="1:55">
      <c r="AC444" s="62"/>
      <c r="AD444" s="83"/>
      <c r="AE444" s="78"/>
      <c r="AG444" s="62"/>
      <c r="AH444" s="83"/>
      <c r="AI444" s="78"/>
      <c r="AK444" s="62"/>
      <c r="AL444" s="83"/>
      <c r="AM444" s="78"/>
      <c r="AO444" s="62"/>
      <c r="AP444" s="83"/>
      <c r="AQ444" s="78"/>
      <c r="AS444" s="62"/>
      <c r="AT444" s="83"/>
      <c r="AU444" s="78"/>
      <c r="AW444" s="62"/>
      <c r="AX444" s="83"/>
      <c r="AY444" s="78"/>
      <c r="BA444" s="62"/>
      <c r="BB444" s="83"/>
      <c r="BC444" s="78"/>
    </row>
    <row r="446" spans="1:55">
      <c r="A446" s="62"/>
      <c r="B446" s="83"/>
      <c r="C446" s="78"/>
    </row>
    <row r="464" spans="29:55">
      <c r="AC464" s="62"/>
      <c r="AD464" s="83"/>
      <c r="AE464" s="78"/>
      <c r="AG464" s="62"/>
      <c r="AH464" s="83"/>
      <c r="AI464" s="78"/>
      <c r="AK464" s="62"/>
      <c r="AL464" s="83"/>
      <c r="AM464" s="78"/>
      <c r="AO464" s="62"/>
      <c r="AP464" s="83"/>
      <c r="AQ464" s="78"/>
      <c r="AS464" s="62"/>
      <c r="AT464" s="83"/>
      <c r="AU464" s="78"/>
      <c r="AW464" s="62"/>
      <c r="AX464" s="83"/>
      <c r="AY464" s="78"/>
      <c r="BA464" s="62"/>
      <c r="BB464" s="83"/>
      <c r="BC464" s="78"/>
    </row>
    <row r="466" spans="1:3">
      <c r="A466" s="62"/>
      <c r="B466" s="83"/>
      <c r="C466" s="78"/>
    </row>
    <row r="484" spans="1:55">
      <c r="AC484" s="62"/>
      <c r="AD484" s="83"/>
      <c r="AE484" s="78"/>
      <c r="AG484" s="62"/>
      <c r="AH484" s="83"/>
      <c r="AI484" s="78"/>
      <c r="AK484" s="62"/>
      <c r="AL484" s="83"/>
      <c r="AM484" s="78"/>
      <c r="AO484" s="62"/>
      <c r="AP484" s="83"/>
      <c r="AQ484" s="78"/>
      <c r="AS484" s="62"/>
      <c r="AT484" s="83"/>
      <c r="AU484" s="78"/>
      <c r="AW484" s="62"/>
      <c r="AX484" s="83"/>
      <c r="AY484" s="78"/>
      <c r="BA484" s="62"/>
      <c r="BB484" s="83"/>
      <c r="BC484" s="78"/>
    </row>
    <row r="486" spans="1:55">
      <c r="A486" s="62"/>
      <c r="B486" s="83"/>
      <c r="C486" s="78"/>
    </row>
    <row r="524" spans="1:55">
      <c r="AC524" s="62"/>
      <c r="AD524" s="83"/>
      <c r="AE524" s="78"/>
      <c r="AG524" s="62"/>
      <c r="AH524" s="83"/>
      <c r="AI524" s="78"/>
      <c r="AK524" s="62"/>
      <c r="AL524" s="83"/>
      <c r="AM524" s="78"/>
      <c r="AO524" s="62"/>
      <c r="AP524" s="83"/>
      <c r="AQ524" s="78"/>
      <c r="AS524" s="62"/>
      <c r="AT524" s="83"/>
      <c r="AU524" s="78"/>
      <c r="AW524" s="62"/>
      <c r="AX524" s="83"/>
      <c r="AY524" s="78"/>
      <c r="BA524" s="62"/>
      <c r="BB524" s="83"/>
      <c r="BC524" s="78"/>
    </row>
    <row r="526" spans="1:55">
      <c r="A526" s="62"/>
      <c r="B526" s="83"/>
      <c r="C526" s="78"/>
    </row>
    <row r="544" spans="29:55">
      <c r="AC544" s="62"/>
      <c r="AD544" s="83"/>
      <c r="AE544" s="78"/>
      <c r="AG544" s="62"/>
      <c r="AH544" s="83"/>
      <c r="AI544" s="78"/>
      <c r="AK544" s="62"/>
      <c r="AL544" s="83"/>
      <c r="AM544" s="78"/>
      <c r="AO544" s="62"/>
      <c r="AP544" s="83"/>
      <c r="AQ544" s="78"/>
      <c r="AS544" s="62"/>
      <c r="AT544" s="83"/>
      <c r="AU544" s="78"/>
      <c r="AW544" s="62"/>
      <c r="AX544" s="83"/>
      <c r="AY544" s="78"/>
      <c r="BA544" s="62"/>
      <c r="BB544" s="83"/>
      <c r="BC544" s="78"/>
    </row>
    <row r="546" spans="1:3">
      <c r="A546" s="62"/>
      <c r="B546" s="83"/>
      <c r="C546" s="78"/>
    </row>
    <row r="564" spans="1:55">
      <c r="AC564" s="62"/>
      <c r="AD564" s="83"/>
      <c r="AE564" s="78"/>
      <c r="AG564" s="62"/>
      <c r="AH564" s="83"/>
      <c r="AI564" s="78"/>
      <c r="AK564" s="62"/>
      <c r="AL564" s="83"/>
      <c r="AM564" s="78"/>
      <c r="AO564" s="62"/>
      <c r="AP564" s="83"/>
      <c r="AQ564" s="78"/>
      <c r="AS564" s="62"/>
      <c r="AT564" s="83"/>
      <c r="AU564" s="78"/>
      <c r="AW564" s="62"/>
      <c r="AX564" s="83"/>
      <c r="AY564" s="78"/>
      <c r="BA564" s="62"/>
      <c r="BB564" s="83"/>
      <c r="BC564" s="78"/>
    </row>
    <row r="566" spans="1:55">
      <c r="A566" s="62"/>
      <c r="B566" s="83"/>
      <c r="C566" s="78"/>
    </row>
    <row r="584" spans="1:55">
      <c r="AC584" s="62"/>
      <c r="AD584" s="83"/>
      <c r="AE584" s="78"/>
      <c r="AG584" s="62"/>
      <c r="AH584" s="83"/>
      <c r="AI584" s="78"/>
      <c r="AK584" s="62"/>
      <c r="AL584" s="83"/>
      <c r="AM584" s="78"/>
      <c r="AO584" s="62"/>
      <c r="AP584" s="83"/>
      <c r="AQ584" s="78"/>
      <c r="AS584" s="62"/>
      <c r="AT584" s="83"/>
      <c r="AU584" s="78"/>
      <c r="AW584" s="62"/>
      <c r="AX584" s="83"/>
      <c r="AY584" s="78"/>
      <c r="BA584" s="62"/>
      <c r="BB584" s="83"/>
      <c r="BC584" s="78"/>
    </row>
    <row r="586" spans="1:55">
      <c r="A586" s="62"/>
      <c r="B586" s="83"/>
      <c r="C586" s="78"/>
    </row>
    <row r="624" spans="29:55">
      <c r="AC624" s="62"/>
      <c r="AD624" s="83"/>
      <c r="AE624" s="78"/>
      <c r="AG624" s="62"/>
      <c r="AH624" s="83"/>
      <c r="AI624" s="78"/>
      <c r="AK624" s="62"/>
      <c r="AL624" s="83"/>
      <c r="AM624" s="78"/>
      <c r="AO624" s="62"/>
      <c r="AP624" s="83"/>
      <c r="AQ624" s="78"/>
      <c r="AS624" s="62"/>
      <c r="AT624" s="83"/>
      <c r="AU624" s="78"/>
      <c r="AW624" s="62"/>
      <c r="AX624" s="83"/>
      <c r="AY624" s="78"/>
      <c r="BA624" s="62"/>
      <c r="BB624" s="83"/>
      <c r="BC624" s="78"/>
    </row>
    <row r="626" spans="1:3">
      <c r="A626" s="62"/>
      <c r="B626" s="83"/>
      <c r="C626" s="78"/>
    </row>
    <row r="644" spans="1:55">
      <c r="AC644" s="62"/>
      <c r="AD644" s="83"/>
      <c r="AE644" s="78"/>
      <c r="AG644" s="62"/>
      <c r="AH644" s="83"/>
      <c r="AI644" s="78"/>
      <c r="AK644" s="62"/>
      <c r="AL644" s="83"/>
      <c r="AM644" s="78"/>
      <c r="AO644" s="62"/>
      <c r="AP644" s="83"/>
      <c r="AQ644" s="78"/>
      <c r="AS644" s="62"/>
      <c r="AT644" s="83"/>
      <c r="AU644" s="78"/>
      <c r="AW644" s="62"/>
      <c r="AX644" s="83"/>
      <c r="AY644" s="78"/>
      <c r="BA644" s="62"/>
      <c r="BB644" s="83"/>
      <c r="BC644" s="78"/>
    </row>
    <row r="646" spans="1:55">
      <c r="A646" s="62"/>
      <c r="B646" s="83"/>
      <c r="C646" s="78"/>
    </row>
    <row r="664" spans="1:55">
      <c r="AC664" s="62"/>
      <c r="AD664" s="83"/>
      <c r="AE664" s="78"/>
      <c r="AG664" s="62"/>
      <c r="AH664" s="83"/>
      <c r="AI664" s="78"/>
      <c r="AK664" s="62"/>
      <c r="AL664" s="83"/>
      <c r="AM664" s="78"/>
      <c r="AO664" s="62"/>
      <c r="AP664" s="83"/>
      <c r="AQ664" s="78"/>
      <c r="AS664" s="62"/>
      <c r="AT664" s="83"/>
      <c r="AU664" s="78"/>
      <c r="AW664" s="62"/>
      <c r="AX664" s="83"/>
      <c r="AY664" s="78"/>
      <c r="BA664" s="62"/>
      <c r="BB664" s="83"/>
      <c r="BC664" s="78"/>
    </row>
    <row r="666" spans="1:55">
      <c r="A666" s="62"/>
      <c r="B666" s="83"/>
      <c r="C666" s="78"/>
    </row>
    <row r="684" spans="1:55">
      <c r="AC684" s="62"/>
      <c r="AD684" s="83"/>
      <c r="AE684" s="78"/>
      <c r="AG684" s="62"/>
      <c r="AH684" s="83"/>
      <c r="AI684" s="78"/>
      <c r="AK684" s="62"/>
      <c r="AL684" s="83"/>
      <c r="AM684" s="78"/>
      <c r="AO684" s="62"/>
      <c r="AP684" s="83"/>
      <c r="AQ684" s="78"/>
      <c r="AS684" s="62"/>
      <c r="AT684" s="83"/>
      <c r="AU684" s="78"/>
      <c r="AW684" s="62"/>
      <c r="AX684" s="83"/>
      <c r="AY684" s="78"/>
      <c r="BA684" s="62"/>
      <c r="BB684" s="83"/>
      <c r="BC684" s="78"/>
    </row>
    <row r="686" spans="1:55">
      <c r="A686" s="62"/>
      <c r="B686" s="83"/>
      <c r="C686" s="78"/>
    </row>
    <row r="724" spans="1:55">
      <c r="AC724" s="62"/>
      <c r="AD724" s="83"/>
      <c r="AE724" s="78"/>
      <c r="AG724" s="62"/>
      <c r="AH724" s="83"/>
      <c r="AI724" s="78"/>
      <c r="AK724" s="62"/>
      <c r="AL724" s="83"/>
      <c r="AM724" s="78"/>
      <c r="AO724" s="62"/>
      <c r="AP724" s="83"/>
      <c r="AQ724" s="78"/>
      <c r="AS724" s="62"/>
      <c r="AT724" s="83"/>
      <c r="AU724" s="78"/>
      <c r="AW724" s="62"/>
      <c r="AX724" s="83"/>
      <c r="AY724" s="78"/>
      <c r="BA724" s="62"/>
      <c r="BB724" s="83"/>
      <c r="BC724" s="78"/>
    </row>
    <row r="726" spans="1:55">
      <c r="A726" s="62"/>
      <c r="B726" s="83"/>
      <c r="C726" s="78"/>
    </row>
    <row r="744" spans="1:55">
      <c r="AC744" s="62"/>
      <c r="AD744" s="83"/>
      <c r="AE744" s="78"/>
      <c r="AG744" s="62"/>
      <c r="AH744" s="83"/>
      <c r="AI744" s="78"/>
      <c r="AK744" s="62"/>
      <c r="AL744" s="83"/>
      <c r="AM744" s="78"/>
      <c r="AO744" s="62"/>
      <c r="AP744" s="83"/>
      <c r="AQ744" s="78"/>
      <c r="AS744" s="62"/>
      <c r="AT744" s="83"/>
      <c r="AU744" s="78"/>
      <c r="AW744" s="62"/>
      <c r="AX744" s="83"/>
      <c r="AY744" s="78"/>
      <c r="BA744" s="62"/>
      <c r="BB744" s="83"/>
      <c r="BC744" s="78"/>
    </row>
    <row r="746" spans="1:55">
      <c r="A746" s="62"/>
      <c r="B746" s="83"/>
      <c r="C746" s="78"/>
    </row>
    <row r="764" spans="1:55">
      <c r="AC764" s="62"/>
      <c r="AD764" s="83"/>
      <c r="AE764" s="78"/>
      <c r="AG764" s="62"/>
      <c r="AH764" s="83"/>
      <c r="AI764" s="78"/>
      <c r="AK764" s="62"/>
      <c r="AL764" s="83"/>
      <c r="AM764" s="78"/>
      <c r="AO764" s="62"/>
      <c r="AP764" s="83"/>
      <c r="AQ764" s="78"/>
      <c r="AS764" s="62"/>
      <c r="AT764" s="83"/>
      <c r="AU764" s="78"/>
      <c r="AW764" s="62"/>
      <c r="AX764" s="83"/>
      <c r="AY764" s="78"/>
      <c r="BA764" s="62"/>
      <c r="BB764" s="83"/>
      <c r="BC764" s="78"/>
    </row>
    <row r="766" spans="1:55">
      <c r="A766" s="62"/>
      <c r="B766" s="83"/>
      <c r="C766" s="78"/>
    </row>
    <row r="784" spans="29:55">
      <c r="AC784" s="62"/>
      <c r="AD784" s="83"/>
      <c r="AE784" s="78"/>
      <c r="AG784" s="62"/>
      <c r="AH784" s="83"/>
      <c r="AI784" s="78"/>
      <c r="AK784" s="62"/>
      <c r="AL784" s="83"/>
      <c r="AM784" s="78"/>
      <c r="AO784" s="62"/>
      <c r="AP784" s="83"/>
      <c r="AQ784" s="78"/>
      <c r="AS784" s="62"/>
      <c r="AT784" s="83"/>
      <c r="AU784" s="78"/>
      <c r="AW784" s="62"/>
      <c r="AX784" s="83"/>
      <c r="AY784" s="78"/>
      <c r="BA784" s="62"/>
      <c r="BB784" s="83"/>
      <c r="BC784" s="78"/>
    </row>
    <row r="786" spans="1:3">
      <c r="A786" s="62"/>
      <c r="B786" s="83"/>
      <c r="C786" s="78"/>
    </row>
  </sheetData>
  <mergeCells count="3">
    <mergeCell ref="U5:Z6"/>
    <mergeCell ref="U15:Z16"/>
    <mergeCell ref="A1:D2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Plane</vt:lpstr>
      <vt:lpstr>Upgrade</vt:lpstr>
      <vt:lpstr>#end</vt:lpstr>
      <vt:lpstr>Star</vt:lpstr>
      <vt:lpstr>Sheet1</vt:lpstr>
      <vt:lpstr>Sheet2</vt:lpstr>
      <vt:lpstr>生命值</vt:lpstr>
      <vt:lpstr>数值模型</vt:lpstr>
      <vt:lpstr>攻击力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vit·修</cp:lastModifiedBy>
  <dcterms:created xsi:type="dcterms:W3CDTF">2015-02-10T06:46:00Z</dcterms:created>
  <dcterms:modified xsi:type="dcterms:W3CDTF">2025-11-12T16:42:53Z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0B13DCCE9EE8491C85E34ABA6AAFCE71</vt:lpwstr>
  </property>
</Properties>
</file>